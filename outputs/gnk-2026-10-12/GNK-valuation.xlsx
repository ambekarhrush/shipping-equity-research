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fa75eed98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c4e7326a954c65"/>
    <x:sheet xmlns:r="http://schemas.openxmlformats.org/officeDocument/2006/relationships" name="Assumptions" sheetId="2" r:id="Rb64b1e724b4b4dec"/>
    <x:sheet xmlns:r="http://schemas.openxmlformats.org/officeDocument/2006/relationships" name="NAV" sheetId="3" r:id="Rbbb291f44e0b405c"/>
    <x:sheet xmlns:r="http://schemas.openxmlformats.org/officeDocument/2006/relationships" name="Cash Flow" sheetId="4" r:id="R8552d811ed02443a"/>
    <x:sheet xmlns:r="http://schemas.openxmlformats.org/officeDocument/2006/relationships" name="Debt" sheetId="5" r:id="R1e8c75dd0bb04b68"/>
    <x:sheet xmlns:r="http://schemas.openxmlformats.org/officeDocument/2006/relationships" name="Fleet" sheetId="6" r:id="R90ad08b75fe34b0c"/>
    <x:sheet xmlns:r="http://schemas.openxmlformats.org/officeDocument/2006/relationships" name="Days" sheetId="7" r:id="Ra81025e4a60044b8"/>
    <x:sheet xmlns:r="http://schemas.openxmlformats.org/officeDocument/2006/relationships" name="Historical" sheetId="8" r:id="Recfc7e2b00f64c80"/>
    <x:sheet xmlns:r="http://schemas.openxmlformats.org/officeDocument/2006/relationships" name="Sources" sheetId="9" r:id="R50ce0f78c4e24912"/>
    <x:sheet xmlns:r="http://schemas.openxmlformats.org/officeDocument/2006/relationships" name="Checks" sheetId="10" r:id="Rebf7e07b45c1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%;(0.0%);&quot;–&quot;"/>
    <x:numFmt numFmtId="201" formatCode="#,##0;(#,##0);&quot;–&quot;"/>
    <x:numFmt numFmtId="202" formatCode="0.00x"/>
    <x:numFmt numFmtId="203" formatCode="#,##0.00;(#,##0.00);&quot;–&quot;"/>
    <x:numFmt numFmtId="204" formatCode="dd-mmm-yy"/>
    <x:numFmt numFmtId="205" formatCode="#,##0.0,,;(#,##0.0,,);&quot;–&quot;"/>
    <x:numFmt numFmtId="206" formatCode="$0.00;($0.00);&quot;–&quot;"/>
    <x:numFmt numFmtId="207" formatCode="0.000x"/>
    <x:numFmt numFmtId="208" formatCode="#,##0.0"/>
    <x:numFmt numFmtId="209" formatCode="dd-mmm-yyyy"/>
    <x:numFmt numFmtId="210" formatCode="0.000000"/>
    <x:numFmt numFmtId="211" formatCode=";;;"/>
    <x:numFmt numFmtId="212" formatCode="0.00"/>
  </x:numFmts>
  <x:fonts count="12">
    <x:font>
      <x:sz val="11"/>
      <x:name val="Carlito"/>
    </x:font>
    <x:font>
      <x:sz val="10"/>
      <x:color rgb="FF142C46"/>
      <x:name val="Arial"/>
    </x:font>
    <x:font>
      <x:b/>
      <x:sz val="16"/>
      <x:color rgb="FF142C46"/>
      <x:name val="Arial"/>
    </x:font>
    <x:font>
      <x:sz val="10"/>
      <x:color rgb="FF18734A"/>
      <x:name val="Arial"/>
    </x:font>
    <x:font>
      <x:sz val="10"/>
      <x:color rgb="FF20252B"/>
      <x:name val="Arial"/>
    </x:font>
    <x:font>
      <x:sz val="10"/>
      <x:color rgb="FF627185"/>
      <x:name val="Arial"/>
    </x:font>
    <x:font>
      <x:b/>
      <x:sz val="10"/>
      <x:color rgb="FF142C46"/>
      <x:name val="Arial"/>
    </x:font>
    <x:font>
      <x:b/>
      <x:sz val="10"/>
      <x:color rgb="FF20252B"/>
      <x:name val="Arial"/>
    </x:font>
    <x:font>
      <x:sz val="10"/>
      <x:color rgb="FF1748A0"/>
      <x:name val="Arial"/>
    </x:font>
    <x:font>
      <x:b/>
      <x:sz val="10"/>
      <x:color rgb="FFFFFFFF"/>
      <x:name val="Arial"/>
    </x:font>
    <x:font>
      <x:sz val="9"/>
      <x:color rgb="FF627185"/>
      <x:name val="Arial"/>
    </x:font>
    <x:font>
      <x:b/>
      <x:sz val="10"/>
      <x:color rgb="FF1748A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6DF"/>
      </x:patternFill>
    </x:fill>
    <x:fill>
      <x:patternFill patternType="solid">
        <x:fgColor rgb="FF142C46"/>
      </x:patternFill>
    </x:fill>
    <x:fill>
      <x:patternFill patternType="solid">
        <x:fgColor rgb="FFEAF0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42C46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2" fontId="7" fillId="2" borderId="0" xfId="0" applyNumberFormat="1" applyFont="1" applyFill="1" applyBorder="1" applyAlignment="1">
      <x:alignment vertical="center"/>
    </x:xf>
    <x:xf numFmtId="202" fontId="8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5" fontId="4" fillId="5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/>
    </x:xf>
    <x:xf numFmtId="212" fontId="3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12921"/>
      </x:font>
      <x:fill>
        <x:patternFill patternType="solid">
          <x:bgColor rgb="FFFDE9E5"/>
        </x:patternFill>
      </x:fill>
    </x:dxf>
    <x:dxf>
      <x:font>
        <x:b/>
        <x:color rgb="FFA12921"/>
      </x:font>
      <x:fill>
        <x:patternFill patternType="solid">
          <x:bgColor rgb="FFFDE9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608290c524d83" /><Relationship Type="http://schemas.openxmlformats.org/officeDocument/2006/relationships/theme" Target="/xl/theme/theme1.xml" Id="Re9a198a280454228" /><Relationship Type="http://schemas.openxmlformats.org/officeDocument/2006/relationships/sharedStrings" Target="/xl/sharedStrings.xml" Id="Rd5740aa669244933" /><Relationship Type="http://schemas.openxmlformats.org/officeDocument/2006/relationships/worksheet" Target="/xl/worksheets/sheet1.xml" Id="R6dc4e7326a954c65" /><Relationship Type="http://schemas.openxmlformats.org/officeDocument/2006/relationships/worksheet" Target="/xl/worksheets/sheet2.xml" Id="Rb64b1e724b4b4dec" /><Relationship Type="http://schemas.openxmlformats.org/officeDocument/2006/relationships/worksheet" Target="/xl/worksheets/sheet3.xml" Id="Rbbb291f44e0b405c" /><Relationship Type="http://schemas.openxmlformats.org/officeDocument/2006/relationships/worksheet" Target="/xl/worksheets/sheet4.xml" Id="R8552d811ed02443a" /><Relationship Type="http://schemas.openxmlformats.org/officeDocument/2006/relationships/worksheet" Target="/xl/worksheets/sheet5.xml" Id="R1e8c75dd0bb04b68" /><Relationship Type="http://schemas.openxmlformats.org/officeDocument/2006/relationships/worksheet" Target="/xl/worksheets/sheet6.xml" Id="R90ad08b75fe34b0c" /><Relationship Type="http://schemas.openxmlformats.org/officeDocument/2006/relationships/worksheet" Target="/xl/worksheets/sheet7.xml" Id="Ra81025e4a60044b8" /><Relationship Type="http://schemas.openxmlformats.org/officeDocument/2006/relationships/worksheet" Target="/xl/worksheets/sheet8.xml" Id="Recfc7e2b00f64c80" /><Relationship Type="http://schemas.openxmlformats.org/officeDocument/2006/relationships/worksheet" Target="/xl/worksheets/sheet9.xml" Id="R50ce0f78c4e24912" /><Relationship Type="http://schemas.openxmlformats.org/officeDocument/2006/relationships/worksheet" Target="/xl/worksheets/sheet10.xml" Id="Rebf7e07b45c141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cfaccbef4642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Quarterly unlevered cash flow (USD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Free cash flow (USD m)</c:v>
          </c:tx>
          <c:spPr>
            <a:solidFill xmlns:a="http://schemas.openxmlformats.org/drawingml/2006/main">
              <a:srgbClr val="537598"/>
            </a:solidFill>
          </c:spPr>
          <c:cat>
            <c:strRef>
              <c:f>'Summary'!$F$44:$F$55</c:f>
              <c:strCache>
                <c:ptCount val="0"/>
              </c:strCache>
            </c:strRef>
          </c:cat>
          <c:val>
            <c:numRef>
              <c:f>'Summary'!$G$44:$G$55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42</xdr:row>
      <xdr:rowOff>0</xdr:rowOff>
    </xdr:from>
    <xdr:to>
      <xdr:col>18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cfaccbef46425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75c590a01d4c70" /></Relationships>
</file>

<file path=xl/worksheets/sheet1.xml><?xml version="1.0" encoding="utf-8"?>
<x:worksheet xmlns:x="http://schemas.openxmlformats.org/spreadsheetml/2006/main">
  <x:sheetPr>
    <x:tabColor rgb="FF142C46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Genco Shipping &amp; Trading valuation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A6" s="2"/>
      <x:c r="B6" s="2"/>
      <x:c r="C6" s="2" t="str">
        <x:v>Information cutoff</x:v>
      </x:c>
      <x:c r="D6" s="49" t="n">
        <x:v>46307</x:v>
      </x:c>
      <x:c r="E6" s="2"/>
      <x:c r="F6" s="2" t="str">
        <x:v>USD. Market close: 2026-10-12.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5" customHeight="1">
      <x:c r="A8" s="2"/>
      <x:c r="B8" s="2"/>
      <x:c r="C8" s="30" t="str">
        <x:v>What is the fleet worth?</x:v>
      </x:c>
      <x:c r="D8" s="30"/>
      <x:c r="E8" s="30"/>
      <x:c r="F8" s="30"/>
      <x:c r="G8" s="30"/>
      <x:c r="H8" s="30"/>
      <x:c r="I8" s="30"/>
      <x:c r="J8" s="30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A10" s="2"/>
      <x:c r="B10" s="2"/>
      <x:c r="C10" s="2" t="str">
        <x:v>Market price</x:v>
      </x:c>
      <x:c r="D10" s="54" t="n">
        <x:f>'NAV'!D29</x:f>
        <x:v>26.67</x:v>
      </x:c>
      <x:c r="E10" s="2"/>
      <x:c r="F10" s="2" t="str">
        <x:v>Edit the blue cells in Assumptions. Keep reported history unchanged.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A11" s="2"/>
      <x:c r="B11" s="2"/>
      <x:c r="C11" s="2" t="str">
        <x:v>Asset NAV per share</x:v>
      </x:c>
      <x:c r="D11" s="54" t="n">
        <x:f>'NAV'!D28</x:f>
        <x:v>27.15029957024641</x:v>
      </x:c>
      <x:c r="E11" s="2"/>
      <x:c r="F11" s="2" t="str">
        <x:v>Dated broker-anchored fleet value with the selected asset-value adjustment.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A12" s="2"/>
      <x:c r="B12" s="2"/>
      <x:c r="C12" s="2" t="str">
        <x:v>Price / asset NAV</x:v>
      </x:c>
      <x:c r="D12" s="55" t="n">
        <x:f>'NAV'!D30</x:f>
        <x:v>0.9823096032880329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5" customHeight="1">
      <x:c r="A14" s="2"/>
      <x:c r="B14" s="2"/>
      <x:c r="C14" s="30" t="str">
        <x:v>What do remaining cash flows support? (USD millions)</x:v>
      </x:c>
      <x:c r="D14" s="30"/>
      <x:c r="E14" s="30"/>
      <x:c r="F14" s="30"/>
      <x:c r="G14" s="30"/>
      <x:c r="H14" s="30"/>
      <x:c r="I14" s="30"/>
      <x:c r="J14" s="30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A16" s="2"/>
      <x:c r="B16" s="2"/>
      <x:c r="C16" s="2" t="str">
        <x:v>Operating enterprise value</x:v>
      </x:c>
      <x:c r="D16" s="38" t="n">
        <x:f>SUM('Cash Flow'!E96:AQ96)</x:f>
        <x:v>1159947082.7695303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A17" s="2"/>
      <x:c r="B17" s="2"/>
      <x:c r="C17" s="2" t="str">
        <x:v>Cash less debt and other claims</x:v>
      </x:c>
      <x:c r="D17" s="38" t="n">
        <x:f>'NAV'!D17-'NAV'!D20-'NAV'!D21</x:f>
        <x:v>-321975284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A18" s="2"/>
      <x:c r="B18" s="2"/>
      <x:c r="C18" s="2" t="str">
        <x:v>DCF equity value</x:v>
      </x:c>
      <x:c r="D18" s="38" t="n">
        <x:f>SUM(D16:D17)</x:f>
        <x:v>837971798.7695303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A19" s="2"/>
      <x:c r="B19" s="2"/>
      <x:c r="C19" s="2" t="str">
        <x:v>DCF equity per share</x:v>
      </x:c>
      <x:c r="D19" s="54" t="n">
        <x:f>D18/'NAV'!D27</x:f>
        <x:v>19.22544320140397</x:v>
      </x:c>
      <x:c r="E19" s="2"/>
      <x:c r="F19" s="2" t="str">
        <x:v>Finite fleet life. No perpetual growth or unfinanced replacement fleet.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5" customHeight="1">
      <x:c r="A21" s="2"/>
      <x:c r="B21" s="2"/>
      <x:c r="C21" s="30" t="str">
        <x:v>What cash can the business generate? (USD millions)</x:v>
      </x:c>
      <x:c r="D21" s="30"/>
      <x:c r="E21" s="30"/>
      <x:c r="F21" s="30"/>
      <x:c r="G21" s="30"/>
      <x:c r="H21" s="30"/>
      <x:c r="I21" s="30"/>
      <x:c r="J21" s="30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1" customHeight="1">
      <x:c r="A23" s="2"/>
      <x:c r="B23" s="2"/>
      <x:c r="C23" s="2" t="str">
        <x:v>2027 TCE cash revenue</x:v>
      </x:c>
      <x:c r="D23" s="38" t="n">
        <x:f>SUM('Cash Flow'!F82,'Cash Flow'!G82,'Cash Flow'!H82,'Cash Flow'!I82)</x:f>
        <x:v>314917440.0828974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A24" s="2"/>
      <x:c r="B24" s="2"/>
      <x:c r="C24" s="2" t="str">
        <x:v>2027 unlevered free cash flow</x:v>
      </x:c>
      <x:c r="D24" s="38" t="n">
        <x:f>SUM('Cash Flow'!F94,'Cash Flow'!G94,'Cash Flow'!H94,'Cash Flow'!I94)</x:f>
        <x:v>142718587.50976053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A25" s="2"/>
      <x:c r="B25" s="2"/>
      <x:c r="C25" s="2" t="str">
        <x:v>2027 cash after financing</x:v>
      </x:c>
      <x:c r="D25" s="38" t="n">
        <x:f>SUM('Debt'!F18,'Debt'!G18,'Debt'!H18,'Debt'!I18)</x:f>
        <x:v>120868587.50976053</x:v>
      </x:c>
      <x:c r="E25" s="2"/>
      <x:c r="F25" s="2" t="str">
        <x:v>Debt maturity timing is estimated; excludes future dividends and refinancing.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A26" s="2"/>
      <x:c r="B26" s="2"/>
      <x:c r="C26" s="2"/>
      <x:c r="D26" s="38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5" customHeight="1">
      <x:c r="A27" s="2"/>
      <x:c r="B27" s="2"/>
      <x:c r="C27" s="30" t="str">
        <x:v>What open freight rates justify the share price?</x:v>
      </x:c>
      <x:c r="D27" s="53"/>
      <x:c r="E27" s="30"/>
      <x:c r="F27" s="30"/>
      <x:c r="G27" s="30"/>
      <x:c r="H27" s="30"/>
      <x:c r="I27" s="30"/>
      <x:c r="J27" s="30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A28" s="2"/>
      <x:c r="B28" s="2"/>
      <x:c r="C28" s="2"/>
      <x:c r="D28" s="38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1" customHeight="1">
      <x:c r="A29" s="2"/>
      <x:c r="B29" s="2"/>
      <x:c r="C29" s="2" t="str">
        <x:v>PV sensitivity to unit rate change</x:v>
      </x:c>
      <x:c r="D29" s="38" t="n">
        <x:f>SUM('Cash Flow'!E104:AQ104)</x:f>
        <x:v>2016821466.8697433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A30" s="2"/>
      <x:c r="B30" s="2"/>
      <x:c r="C30" s="2" t="str">
        <x:v>Implied open-rate multiplier</x:v>
      </x:c>
      <x:c r="D30" s="55" t="n">
        <x:f>IF(D29=0,NA(),('NAV'!D29*'NAV'!D27-D17-D16+D29*'Assumptions'!D6)/D29)</x:f>
        <x:v>1.1608882897721688</x:v>
      </x:c>
      <x:c r="E30" s="2"/>
      <x:c r="F30" s="2" t="str">
        <x:v>Solves one common class-rate multiplier, with every other input held fixed.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A31" s="2"/>
      <x:c r="B31" s="2"/>
      <x:c r="C31" s="2" t="str">
        <x:v>DCF repricing residual</x:v>
      </x:c>
      <x:c r="D31" s="56" t="n">
        <x:f>(D16-D29*'Assumptions'!D6+D29*D30+D17)/'NAV'!D27-'NAV'!D29</x:f>
        <x:v>7.105427357601002e-15</x:v>
      </x:c>
      <x:c r="E31" s="2"/>
      <x:c r="F31" s="2" t="str">
        <x:v>Zero confirms the affine repricing identity; Python also solves by bisection.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A34" s="2"/>
      <x:c r="B34" s="2"/>
      <x:c r="C34" s="2" t="str">
        <x:v>Operating vessels</x:v>
      </x:c>
      <x:c r="D34" s="2" t="n">
        <x:f>COUNTIFS('Fleet'!G7:G50,"&lt;="&amp;D6)</x:f>
        <x:v>44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A35" s="2"/>
      <x:c r="B35" s="2"/>
      <x:c r="C35" s="2" t="str">
        <x:v>Committed newbuilds</x:v>
      </x:c>
      <x:c r="D35" s="2" t="n">
        <x:f>COUNTIFS('Fleet'!G7:G50,"&gt;"&amp;D6)</x:f>
        <x:v>0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A38" s="2"/>
      <x:c r="B38" s="2"/>
      <x:c r="C38" s="8" t="str">
        <x:v>Research view: conditional valuation, not a final stock recommendation.</x:v>
      </x:c>
      <x:c r="D38" s="8"/>
      <x:c r="E38" s="8"/>
      <x:c r="F38" s="8"/>
      <x:c r="G38" s="8"/>
      <x:c r="H38" s="8"/>
      <x:c r="I38" s="8"/>
      <x:c r="J38" s="8"/>
      <x:c r="K38" s="2"/>
      <x:c r="L38" s="2"/>
      <x:c r="M38" s="2"/>
      <x:c r="N38" s="2"/>
      <x:c r="O38" s="2"/>
      <x:c r="P38" s="2"/>
      <x:c r="Q38" s="2"/>
      <x:c r="R38" s="2"/>
    </x:row>
    <x:row r="39" ht="21" customHeight="1">
      <x:c r="A39" s="2"/>
      <x:c r="B39" s="2"/>
      <x:c r="C39" s="8" t="str">
        <x:v>Cash bridge, charter coverage, remaining commitments and broker-anchored fleet value updates require review.</x:v>
      </x:c>
      <x:c r="D39" s="8"/>
      <x:c r="E39" s="8"/>
      <x:c r="F39" s="8"/>
      <x:c r="G39" s="8"/>
      <x:c r="H39" s="8"/>
      <x:c r="I39" s="8"/>
      <x:c r="J39" s="8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A40" s="2"/>
      <x:c r="B40" s="2"/>
      <x:c r="C40" s="8" t="str">
        <x:v>Forecast rates are explicit scenarios. The workbook does not contain a licensed freight curve.</x:v>
      </x:c>
      <x:c r="D40" s="8"/>
      <x:c r="E40" s="8"/>
      <x:c r="F40" s="8"/>
      <x:c r="G40" s="8"/>
      <x:c r="H40" s="8"/>
      <x:c r="I40" s="8"/>
      <x:c r="J40" s="8"/>
      <x:c r="K40" s="2"/>
      <x:c r="L40" s="2"/>
      <x:c r="M40" s="2"/>
      <x:c r="N40" s="2"/>
      <x:c r="O40" s="2"/>
      <x:c r="P40" s="2"/>
      <x:c r="Q40" s="2"/>
      <x:c r="R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8" customHeight="1">
      <x:c r="A43" s="2"/>
      <x:c r="B43" s="2"/>
      <x:c r="C43" s="2"/>
      <x:c r="D43" s="2"/>
      <x:c r="E43" s="2"/>
      <x:c r="F43" s="25" t="str">
        <x:v>Period</x:v>
      </x:c>
      <x:c r="G43" s="25" t="str">
        <x:v>Free cash flow (USD m)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A44" s="2"/>
      <x:c r="B44" s="2"/>
      <x:c r="C44" s="2"/>
      <x:c r="D44" s="2"/>
      <x:c r="E44" s="2"/>
      <x:c r="F44" s="2" t="str">
        <x:v>Q4:26 stub</x:v>
      </x:c>
      <x:c r="G44" s="5" t="n">
        <x:f>'Cash Flow'!E94/1000000</x:f>
        <x:v>26.06635569747327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A45" s="2"/>
      <x:c r="B45" s="2"/>
      <x:c r="C45" s="2"/>
      <x:c r="D45" s="2"/>
      <x:c r="E45" s="2"/>
      <x:c r="F45" s="2" t="str">
        <x:v>Q1:27</x:v>
      </x:c>
      <x:c r="G45" s="5" t="n">
        <x:f>'Cash Flow'!F94/1000000</x:f>
        <x:v>34.93297269888663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A46" s="2"/>
      <x:c r="B46" s="2"/>
      <x:c r="C46" s="2"/>
      <x:c r="D46" s="2"/>
      <x:c r="E46" s="2"/>
      <x:c r="F46" s="2" t="str">
        <x:v>Q2:27</x:v>
      </x:c>
      <x:c r="G46" s="5" t="n">
        <x:f>'Cash Flow'!G94/1000000</x:f>
        <x:v>35.48956295743702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A47" s="2"/>
      <x:c r="B47" s="2"/>
      <x:c r="C47" s="2"/>
      <x:c r="D47" s="2"/>
      <x:c r="E47" s="2"/>
      <x:c r="F47" s="2" t="str">
        <x:v>Q3:27</x:v>
      </x:c>
      <x:c r="G47" s="5" t="n">
        <x:f>'Cash Flow'!H94/1000000</x:f>
        <x:v>36.05811141059844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A48" s="2"/>
      <x:c r="B48" s="2"/>
      <x:c r="C48" s="2"/>
      <x:c r="D48" s="2"/>
      <x:c r="E48" s="2"/>
      <x:c r="F48" s="2" t="str">
        <x:v>Q4:27</x:v>
      </x:c>
      <x:c r="G48" s="5" t="n">
        <x:f>'Cash Flow'!I94/1000000</x:f>
        <x:v>36.23794044283843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A49" s="2"/>
      <x:c r="B49" s="2"/>
      <x:c r="C49" s="2"/>
      <x:c r="D49" s="2"/>
      <x:c r="E49" s="2"/>
      <x:c r="F49" s="2" t="str">
        <x:v>Q1:28</x:v>
      </x:c>
      <x:c r="G49" s="5" t="n">
        <x:f>'Cash Flow'!J94/1000000</x:f>
        <x:v>36.021824522985405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A50" s="2"/>
      <x:c r="B50" s="2"/>
      <x:c r="C50" s="2"/>
      <x:c r="D50" s="2"/>
      <x:c r="E50" s="2"/>
      <x:c r="F50" s="2" t="str">
        <x:v>Q2:28</x:v>
      </x:c>
      <x:c r="G50" s="5" t="n">
        <x:f>'Cash Flow'!K94/1000000</x:f>
        <x:v>36.20071278840005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A51" s="2"/>
      <x:c r="B51" s="2"/>
      <x:c r="C51" s="2"/>
      <x:c r="D51" s="2"/>
      <x:c r="E51" s="2"/>
      <x:c r="F51" s="2" t="str">
        <x:v>Q3:28</x:v>
      </x:c>
      <x:c r="G51" s="5" t="n">
        <x:f>'Cash Flow'!L94/1000000</x:f>
        <x:v>36.78126910731912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A52" s="2"/>
      <x:c r="B52" s="2"/>
      <x:c r="C52" s="2"/>
      <x:c r="D52" s="2"/>
      <x:c r="E52" s="2"/>
      <x:c r="F52" s="2" t="str">
        <x:v>Q4:28</x:v>
      </x:c>
      <x:c r="G52" s="5" t="n">
        <x:f>'Cash Flow'!M94/1000000</x:f>
        <x:v>36.96470467200551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A53" s="2"/>
      <x:c r="B53" s="2"/>
      <x:c r="C53" s="2"/>
      <x:c r="D53" s="2"/>
      <x:c r="E53" s="2"/>
      <x:c r="F53" s="2" t="str">
        <x:v>Q1:29</x:v>
      </x:c>
      <x:c r="G53" s="5" t="n">
        <x:f>'Cash Flow'!N94/1000000</x:f>
        <x:v>36.33886135850391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1" customHeight="1">
      <x:c r="A54" s="2"/>
      <x:c r="B54" s="2"/>
      <x:c r="C54" s="2"/>
      <x:c r="D54" s="2"/>
      <x:c r="E54" s="2"/>
      <x:c r="F54" s="2" t="str">
        <x:v>Q2:29</x:v>
      </x:c>
      <x:c r="G54" s="5" t="n">
        <x:f>'Cash Flow'!O94/1000000</x:f>
        <x:v>36.92534458585251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A55" s="2"/>
      <x:c r="B55" s="2"/>
      <x:c r="C55" s="2"/>
      <x:c r="D55" s="2"/>
      <x:c r="E55" s="2"/>
      <x:c r="F55" s="2" t="str">
        <x:v>Q3:29</x:v>
      </x:c>
      <x:c r="G55" s="5" t="n">
        <x:f>'Cash Flow'!P94/1000000</x:f>
        <x:v>37.5168944894655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</x:sheetData>
  <x:pageMargins left="0.7" right="0.7" top="0.75" bottom="0.75" header="0.3" footer="0.3"/>
  <x:drawing xmlns:r="http://schemas.openxmlformats.org/officeDocument/2006/relationships" r:id="Rdf75c590a01d4c70"/>
</x:worksheet>
</file>

<file path=xl/worksheets/sheet2.xml><?xml version="1.0" encoding="utf-8"?>
<x:worksheet xmlns:x="http://schemas.openxmlformats.org/spreadsheetml/2006/main">
  <x:sheetPr>
    <x:tabColor rgb="FF53759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" customHeight="1">
      <x:c r="A2" s="2"/>
      <x:c r="B2" s="2"/>
      <x:c r="C2" s="3" t="str">
        <x:v>Assumptions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</x:row>
    <x:row r="4" ht="21" customHeight="1">
      <x:c r="A4" s="2"/>
      <x:c r="B4" s="2"/>
      <x:c r="C4" s="2" t="str">
        <x:v>Case selected</x:v>
      </x:c>
      <x:c r="D4" s="6" t="str">
        <x:f>CHOOSE(D5,"Bear","Base","Bull")</x:f>
        <x:v>Base</x:v>
      </x:c>
      <x:c r="E4" s="2"/>
      <x:c r="F4" s="2"/>
      <x:c r="G4" s="2"/>
      <x:c r="H4" s="2"/>
      <x:c r="I4" s="2"/>
      <x:c r="J4" s="2"/>
      <x:c r="K4" s="2"/>
      <x:c r="L4" s="2" t="str">
        <x:v>DCF per share sensitivity</x:v>
      </x:c>
      <x:c r="M4" s="2"/>
      <x:c r="N4" s="2"/>
      <x:c r="O4" s="2"/>
      <x:c r="P4" s="2"/>
      <x:c r="Q4" s="2"/>
    </x:row>
    <x:row r="5" ht="21" customHeight="1">
      <x:c r="A5" s="2"/>
      <x:c r="B5" s="2"/>
      <x:c r="C5" s="2" t="str">
        <x:v>Case number</x:v>
      </x:c>
      <x:c r="D5" s="16" t="n">
        <x:v>2</x:v>
      </x:c>
      <x:c r="E5" s="2"/>
      <x:c r="F5" s="2" t="str">
        <x:v>1 Bear, 2 Base, 3 Bull</x:v>
      </x:c>
      <x:c r="G5" s="2"/>
      <x:c r="H5" s="2"/>
      <x:c r="I5" s="2"/>
      <x:c r="J5" s="2"/>
      <x:c r="K5" s="2"/>
      <x:c r="L5" s="2" t="str">
        <x:v>Columns: rate multiplier. Rows: discount-rate adjustment.</x:v>
      </x:c>
      <x:c r="M5" s="2"/>
      <x:c r="N5" s="2"/>
      <x:c r="O5" s="2"/>
      <x:c r="P5" s="2"/>
      <x:c r="Q5" s="2"/>
    </x:row>
    <x:row r="6" ht="25" customHeight="1">
      <x:c r="A6" s="2"/>
      <x:c r="B6" s="2"/>
      <x:c r="C6" s="30" t="str">
        <x:v>Open-rate multiplier</x:v>
      </x:c>
      <x:c r="D6" s="59" t="n">
        <x:v>1</x:v>
      </x:c>
      <x:c r="E6" s="30"/>
      <x:c r="F6" s="30" t="str">
        <x:v>Change this to test all open charter rates together.</x:v>
      </x:c>
      <x:c r="G6" s="30"/>
      <x:c r="H6" s="30"/>
      <x:c r="I6" s="30"/>
      <x:c r="J6" s="30"/>
      <x:c r="K6" s="2"/>
      <x:c r="L6" s="2"/>
      <x:c r="M6" s="2"/>
      <x:c r="N6" s="2"/>
      <x:c r="O6" s="2"/>
      <x:c r="P6" s="2"/>
      <x:c r="Q6" s="2"/>
    </x:row>
    <x:row r="7" ht="21" customHeight="1">
      <x:c r="A7" s="2"/>
      <x:c r="B7" s="2"/>
      <x:c r="C7" s="2" t="str">
        <x:v>Discount-rate adjustment</x:v>
      </x:c>
      <x:c r="D7" s="20" t="n">
        <x:v>0</x:v>
      </x:c>
      <x:c r="E7" s="2"/>
      <x:c r="F7" s="2" t="str">
        <x:v>Add to the selected discount rate.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60" t="n">
        <x:f>'Summary'!D19</x:f>
        <x:v>19.22544320140397</x:v>
      </x:c>
      <x:c r="M8" s="55" t="n">
        <x:v>0.8</x:v>
      </x:c>
      <x:c r="N8" s="55" t="n">
        <x:v>0.9</x:v>
      </x:c>
      <x:c r="O8" s="55" t="n">
        <x:v>1</x:v>
      </x:c>
      <x:c r="P8" s="55" t="n">
        <x:v>1.1</x:v>
      </x:c>
      <x:c r="Q8" s="55" t="n">
        <x:v>1.2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7" t="n">
        <x:v>-0.02</x:v>
      </x:c>
      <x:c r="M9" s="54" t="n">
        <x:f t="dataTable" ref="M9:Q13" dt2D="1" r1="D6" r2="D7"/>
        <x:v>12.2311366575383</x:v>
      </x:c>
      <x:c r="N9" s="54" t="n">
        <x:v>17.3990464383209</x:v>
      </x:c>
      <x:c r="O9" s="54" t="n">
        <x:v>22.5669562191034</x:v>
      </x:c>
      <x:c r="P9" s="54" t="n">
        <x:v>27.734865999886</x:v>
      </x:c>
      <x:c r="Q9" s="54" t="n">
        <x:v>32.9027757806686</x:v>
      </x:c>
    </x:row>
    <x:row r="10" ht="21" customHeight="1">
      <x:c r="A10" s="2"/>
      <x:c r="B10" s="2"/>
      <x:c r="C10" s="13" t="str">
        <x:v>Newcastlemax open TCE</x:v>
      </x:c>
      <x:c r="D10" s="17" t="n">
        <x:f>IF(ISNUMBER(CHOOSE($D$5,D11,D12,D13)),CHOOSE($D$5,D11,D12,D13),NA())</x:f>
        <x:v>26000</x:v>
      </x:c>
      <x:c r="E10" s="13" t="str">
        <x:v>USD/day</x:v>
      </x:c>
      <x:c r="F10" s="10" t="str">
        <x:v>Illustrative class-rate range. No licensed class curve or calibrated freight forecast.</x:v>
      </x:c>
      <x:c r="G10" s="10"/>
      <x:c r="H10" s="10"/>
      <x:c r="I10" s="10"/>
      <x:c r="J10" s="10"/>
      <x:c r="K10" s="2"/>
      <x:c r="L10" s="7" t="n">
        <x:v>-0.01</x:v>
      </x:c>
      <x:c r="M10" s="54" t="n">
        <x:v>11.0450864657653</x:v>
      </x:c>
      <x:c r="N10" s="54" t="n">
        <x:v>15.930068941902</x:v>
      </x:c>
      <x:c r="O10" s="54" t="n">
        <x:v>20.8150514180387</x:v>
      </x:c>
      <x:c r="P10" s="54" t="n">
        <x:v>25.7000338941754</x:v>
      </x:c>
      <x:c r="Q10" s="54" t="n">
        <x:v>30.5850163703121</x:v>
      </x:c>
    </x:row>
    <x:row r="11" ht="21" customHeight="1">
      <x:c r="A11" s="2"/>
      <x:c r="B11" s="2"/>
      <x:c r="C11" s="2" t="str">
        <x:v>Bear</x:v>
      </x:c>
      <x:c r="D11" s="18" t="n">
        <x:v>18000</x:v>
      </x:c>
      <x:c r="E11" s="2"/>
      <x:c r="F11" s="10"/>
      <x:c r="G11" s="10"/>
      <x:c r="H11" s="10"/>
      <x:c r="I11" s="10"/>
      <x:c r="J11" s="10"/>
      <x:c r="K11" s="2"/>
      <x:c r="L11" s="7" t="n">
        <x:v>0</x:v>
      </x:c>
      <x:c r="M11" s="54" t="n">
        <x:v>9.9711254270798</x:v>
      </x:c>
      <x:c r="N11" s="54" t="n">
        <x:v>14.5982843142419</x:v>
      </x:c>
      <x:c r="O11" s="54" t="n">
        <x:v>19.225443201404</x:v>
      </x:c>
      <x:c r="P11" s="54" t="n">
        <x:v>23.8526020885661</x:v>
      </x:c>
      <x:c r="Q11" s="54" t="n">
        <x:v>28.4797609757282</x:v>
      </x:c>
    </x:row>
    <x:row r="12" ht="21" customHeight="1">
      <x:c r="A12" s="2"/>
      <x:c r="B12" s="2"/>
      <x:c r="C12" s="2" t="str">
        <x:v>Base</x:v>
      </x:c>
      <x:c r="D12" s="18" t="n">
        <x:v>26000</x:v>
      </x:c>
      <x:c r="E12" s="2"/>
      <x:c r="F12" s="10"/>
      <x:c r="G12" s="10"/>
      <x:c r="H12" s="10"/>
      <x:c r="I12" s="10"/>
      <x:c r="J12" s="10"/>
      <x:c r="K12" s="2"/>
      <x:c r="L12" s="7" t="n">
        <x:v>0.01</x:v>
      </x:c>
      <x:c r="M12" s="54" t="n">
        <x:v>8.9961933946799</x:v>
      </x:c>
      <x:c r="N12" s="54" t="n">
        <x:v>13.3878375474016</x:v>
      </x:c>
      <x:c r="O12" s="54" t="n">
        <x:v>17.7794817001233</x:v>
      </x:c>
      <x:c r="P12" s="54" t="n">
        <x:v>22.171125852845</x:v>
      </x:c>
      <x:c r="Q12" s="54" t="n">
        <x:v>26.5627700055667</x:v>
      </x:c>
    </x:row>
    <x:row r="13" ht="21" customHeight="1">
      <x:c r="A13" s="2"/>
      <x:c r="B13" s="2"/>
      <x:c r="C13" s="2" t="str">
        <x:v>Bull</x:v>
      </x:c>
      <x:c r="D13" s="18" t="n">
        <x:v>34000</x:v>
      </x:c>
      <x:c r="E13" s="2"/>
      <x:c r="F13" s="10"/>
      <x:c r="G13" s="10"/>
      <x:c r="H13" s="10"/>
      <x:c r="I13" s="10"/>
      <x:c r="J13" s="10"/>
      <x:c r="K13" s="2"/>
      <x:c r="L13" s="7" t="n">
        <x:v>0.02</x:v>
      </x:c>
      <x:c r="M13" s="54" t="n">
        <x:v>8.1089761081814</x:v>
      </x:c>
      <x:c r="N13" s="54" t="n">
        <x:v>12.2849805685233</x:v>
      </x:c>
      <x:c r="O13" s="54" t="n">
        <x:v>16.4609850288653</x:v>
      </x:c>
      <x:c r="P13" s="54" t="n">
        <x:v>20.6369894892072</x:v>
      </x:c>
      <x:c r="Q13" s="54" t="n">
        <x:v>24.8129939495491</x:v>
      </x:c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1" customHeight="1">
      <x:c r="A15" s="2"/>
      <x:c r="B15" s="2"/>
      <x:c r="C15" s="13" t="str">
        <x:v>Capesize open TCE</x:v>
      </x:c>
      <x:c r="D15" s="17" t="n">
        <x:f>IF(ISNUMBER(CHOOSE($D$5,D16,D17,D18)),CHOOSE($D$5,D16,D17,D18),NA())</x:f>
        <x:v>24000</x:v>
      </x:c>
      <x:c r="E15" s="13" t="str">
        <x:v>USD/day</x:v>
      </x:c>
      <x:c r="F15" s="10" t="str">
        <x:v>Illustrative class-rate range. No licensed class curve or calibrated freight forecast.</x:v>
      </x:c>
      <x:c r="G15" s="10"/>
      <x:c r="H15" s="10"/>
      <x:c r="I15" s="10"/>
      <x:c r="J15" s="10"/>
      <x:c r="K15" s="2"/>
      <x:c r="L15" s="2"/>
      <x:c r="M15" s="2"/>
      <x:c r="N15" s="2"/>
      <x:c r="O15" s="2"/>
      <x:c r="P15" s="2"/>
      <x:c r="Q15" s="2"/>
    </x:row>
    <x:row r="16" ht="21" customHeight="1">
      <x:c r="A16" s="2"/>
      <x:c r="B16" s="2"/>
      <x:c r="C16" s="2" t="str">
        <x:v>Bear</x:v>
      </x:c>
      <x:c r="D16" s="18" t="n">
        <x:v>16000</x:v>
      </x:c>
      <x:c r="E16" s="2"/>
      <x:c r="F16" s="10"/>
      <x:c r="G16" s="10"/>
      <x:c r="H16" s="10"/>
      <x:c r="I16" s="10"/>
      <x:c r="J16" s="10"/>
      <x:c r="K16" s="2"/>
      <x:c r="L16" s="2"/>
      <x:c r="M16" s="2"/>
      <x:c r="N16" s="2"/>
      <x:c r="O16" s="2"/>
      <x:c r="P16" s="2"/>
      <x:c r="Q16" s="2"/>
    </x:row>
    <x:row r="17" ht="21" customHeight="1">
      <x:c r="A17" s="2"/>
      <x:c r="B17" s="2"/>
      <x:c r="C17" s="2" t="str">
        <x:v>Base</x:v>
      </x:c>
      <x:c r="D17" s="18" t="n">
        <x:v>24000</x:v>
      </x:c>
      <x:c r="E17" s="2"/>
      <x:c r="F17" s="10"/>
      <x:c r="G17" s="10"/>
      <x:c r="H17" s="10"/>
      <x:c r="I17" s="10"/>
      <x:c r="J17" s="10"/>
      <x:c r="K17" s="2"/>
      <x:c r="L17" s="2"/>
      <x:c r="M17" s="2"/>
      <x:c r="N17" s="2"/>
      <x:c r="O17" s="2"/>
      <x:c r="P17" s="2"/>
      <x:c r="Q17" s="2"/>
    </x:row>
    <x:row r="18" ht="21" customHeight="1">
      <x:c r="A18" s="2"/>
      <x:c r="B18" s="2"/>
      <x:c r="C18" s="2" t="str">
        <x:v>Bull</x:v>
      </x:c>
      <x:c r="D18" s="18" t="n">
        <x:v>32000</x:v>
      </x:c>
      <x:c r="E18" s="2"/>
      <x:c r="F18" s="10"/>
      <x:c r="G18" s="10"/>
      <x:c r="H18" s="10"/>
      <x:c r="I18" s="10"/>
      <x:c r="J18" s="10"/>
      <x:c r="K18" s="2"/>
      <x:c r="L18" s="2"/>
      <x:c r="M18" s="2"/>
      <x:c r="N18" s="2"/>
      <x:c r="O18" s="2"/>
      <x:c r="P18" s="2"/>
      <x:c r="Q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1" customHeight="1">
      <x:c r="A20" s="2"/>
      <x:c r="B20" s="2"/>
      <x:c r="C20" s="13" t="str">
        <x:v>Ultramax open TCE</x:v>
      </x:c>
      <x:c r="D20" s="17" t="n">
        <x:f>IF(ISNUMBER(CHOOSE($D$5,D21,D22,D23)),CHOOSE($D$5,D21,D22,D23),NA())</x:f>
        <x:v>16500</x:v>
      </x:c>
      <x:c r="E20" s="13" t="str">
        <x:v>USD/day</x:v>
      </x:c>
      <x:c r="F20" s="10" t="str">
        <x:v>Illustrative class-rate range. No licensed class curve or calibrated freight forecast.</x:v>
      </x:c>
      <x:c r="G20" s="10"/>
      <x:c r="H20" s="10"/>
      <x:c r="I20" s="10"/>
      <x:c r="J20" s="10"/>
      <x:c r="K20" s="2"/>
      <x:c r="L20" s="2"/>
      <x:c r="M20" s="2"/>
      <x:c r="N20" s="2"/>
      <x:c r="O20" s="2"/>
      <x:c r="P20" s="2"/>
      <x:c r="Q20" s="2"/>
    </x:row>
    <x:row r="21" ht="21" customHeight="1">
      <x:c r="A21" s="2"/>
      <x:c r="B21" s="2"/>
      <x:c r="C21" s="2" t="str">
        <x:v>Bear</x:v>
      </x:c>
      <x:c r="D21" s="18" t="n">
        <x:v>11500</x:v>
      </x:c>
      <x:c r="E21" s="2"/>
      <x:c r="F21" s="10"/>
      <x:c r="G21" s="10"/>
      <x:c r="H21" s="10"/>
      <x:c r="I21" s="10"/>
      <x:c r="J21" s="10"/>
      <x:c r="K21" s="2"/>
      <x:c r="L21" s="2"/>
      <x:c r="M21" s="2"/>
      <x:c r="N21" s="2"/>
      <x:c r="O21" s="2"/>
      <x:c r="P21" s="2"/>
      <x:c r="Q21" s="2"/>
    </x:row>
    <x:row r="22" ht="21" customHeight="1">
      <x:c r="A22" s="2"/>
      <x:c r="B22" s="2"/>
      <x:c r="C22" s="2" t="str">
        <x:v>Base</x:v>
      </x:c>
      <x:c r="D22" s="18" t="n">
        <x:v>16500</x:v>
      </x:c>
      <x:c r="E22" s="2"/>
      <x:c r="F22" s="10"/>
      <x:c r="G22" s="10"/>
      <x:c r="H22" s="10"/>
      <x:c r="I22" s="10"/>
      <x:c r="J22" s="10"/>
      <x:c r="K22" s="2"/>
      <x:c r="L22" s="2"/>
      <x:c r="M22" s="2"/>
      <x:c r="N22" s="2"/>
      <x:c r="O22" s="2"/>
      <x:c r="P22" s="2"/>
      <x:c r="Q22" s="2"/>
    </x:row>
    <x:row r="23" ht="21" customHeight="1">
      <x:c r="A23" s="2"/>
      <x:c r="B23" s="2"/>
      <x:c r="C23" s="2" t="str">
        <x:v>Bull</x:v>
      </x:c>
      <x:c r="D23" s="18" t="n">
        <x:v>21000</x:v>
      </x:c>
      <x:c r="E23" s="2"/>
      <x:c r="F23" s="10"/>
      <x:c r="G23" s="10"/>
      <x:c r="H23" s="10"/>
      <x:c r="I23" s="10"/>
      <x:c r="J23" s="10"/>
      <x:c r="K23" s="2"/>
      <x:c r="L23" s="2"/>
      <x:c r="M23" s="2"/>
      <x:c r="N23" s="2"/>
      <x:c r="O23" s="2"/>
      <x:c r="P23" s="2"/>
      <x:c r="Q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1" customHeight="1">
      <x:c r="A25" s="2"/>
      <x:c r="B25" s="2"/>
      <x:c r="C25" s="13" t="str">
        <x:v>Supramax open TCE</x:v>
      </x:c>
      <x:c r="D25" s="17" t="n">
        <x:f>IF(ISNUMBER(CHOOSE($D$5,D26,D27,D28)),CHOOSE($D$5,D26,D27,D28),NA())</x:f>
        <x:v>14500</x:v>
      </x:c>
      <x:c r="E25" s="13" t="str">
        <x:v>USD/day</x:v>
      </x:c>
      <x:c r="F25" s="10" t="str">
        <x:v>Illustrative class-rate range. No licensed class curve or calibrated freight forecast.</x:v>
      </x:c>
      <x:c r="G25" s="10"/>
      <x:c r="H25" s="10"/>
      <x:c r="I25" s="10"/>
      <x:c r="J25" s="10"/>
      <x:c r="K25" s="2"/>
      <x:c r="L25" s="2"/>
      <x:c r="M25" s="2"/>
      <x:c r="N25" s="2"/>
      <x:c r="O25" s="2"/>
      <x:c r="P25" s="2"/>
      <x:c r="Q25" s="2"/>
    </x:row>
    <x:row r="26" ht="21" customHeight="1">
      <x:c r="A26" s="2"/>
      <x:c r="B26" s="2"/>
      <x:c r="C26" s="2" t="str">
        <x:v>Bear</x:v>
      </x:c>
      <x:c r="D26" s="18" t="n">
        <x:v>10500</x:v>
      </x:c>
      <x:c r="E26" s="2"/>
      <x:c r="F26" s="10"/>
      <x:c r="G26" s="10"/>
      <x:c r="H26" s="10"/>
      <x:c r="I26" s="10"/>
      <x:c r="J26" s="10"/>
      <x:c r="K26" s="2"/>
      <x:c r="L26" s="2"/>
      <x:c r="M26" s="2"/>
      <x:c r="N26" s="2"/>
      <x:c r="O26" s="2"/>
      <x:c r="P26" s="2"/>
      <x:c r="Q26" s="2"/>
    </x:row>
    <x:row r="27" ht="21" customHeight="1">
      <x:c r="A27" s="2"/>
      <x:c r="B27" s="2"/>
      <x:c r="C27" s="2" t="str">
        <x:v>Base</x:v>
      </x:c>
      <x:c r="D27" s="18" t="n">
        <x:v>14500</x:v>
      </x:c>
      <x:c r="E27" s="2"/>
      <x:c r="F27" s="10"/>
      <x:c r="G27" s="10"/>
      <x:c r="H27" s="10"/>
      <x:c r="I27" s="10"/>
      <x:c r="J27" s="10"/>
      <x:c r="K27" s="2"/>
      <x:c r="L27" s="2"/>
      <x:c r="M27" s="2"/>
      <x:c r="N27" s="2"/>
      <x:c r="O27" s="2"/>
      <x:c r="P27" s="2"/>
      <x:c r="Q27" s="2"/>
    </x:row>
    <x:row r="28" ht="21" customHeight="1">
      <x:c r="A28" s="2"/>
      <x:c r="B28" s="2"/>
      <x:c r="C28" s="2" t="str">
        <x:v>Bull</x:v>
      </x:c>
      <x:c r="D28" s="18" t="n">
        <x:v>19000</x:v>
      </x:c>
      <x:c r="E28" s="2"/>
      <x:c r="F28" s="10"/>
      <x:c r="G28" s="10"/>
      <x:c r="H28" s="10"/>
      <x:c r="I28" s="10"/>
      <x:c r="J28" s="10"/>
      <x:c r="K28" s="2"/>
      <x:c r="L28" s="2"/>
      <x:c r="M28" s="2"/>
      <x:c r="N28" s="2"/>
      <x:c r="O28" s="2"/>
      <x:c r="P28" s="2"/>
      <x:c r="Q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1" customHeight="1">
      <x:c r="A30" s="2"/>
      <x:c r="B30" s="2"/>
      <x:c r="C30" s="13" t="str">
        <x:v>Discount rate</x:v>
      </x:c>
      <x:c r="D30" s="19" t="n">
        <x:f>IF(ISNUMBER(CHOOSE($D$5,D31,D32,D33)),CHOOSE($D$5,D31,D32,D33),NA())</x:f>
        <x:v>0.1</x:v>
      </x:c>
      <x:c r="E30" s="13" t="str">
        <x:v>fraction</x:v>
      </x:c>
      <x:c r="F30" s="10" t="str">
        <x:v>Nominal unlevered discount-rate scenarios; not a fitted WACC.</x:v>
      </x:c>
      <x:c r="G30" s="10"/>
      <x:c r="H30" s="10"/>
      <x:c r="I30" s="10"/>
      <x:c r="J30" s="10"/>
      <x:c r="K30" s="2"/>
      <x:c r="L30" s="2"/>
      <x:c r="M30" s="2"/>
      <x:c r="N30" s="2"/>
      <x:c r="O30" s="2"/>
      <x:c r="P30" s="2"/>
      <x:c r="Q30" s="2"/>
    </x:row>
    <x:row r="31" ht="21" customHeight="1">
      <x:c r="A31" s="2"/>
      <x:c r="B31" s="2"/>
      <x:c r="C31" s="2" t="str">
        <x:v>Bear</x:v>
      </x:c>
      <x:c r="D31" s="20" t="n">
        <x:v>0.12</x:v>
      </x:c>
      <x:c r="E31" s="2"/>
      <x:c r="F31" s="10"/>
      <x:c r="G31" s="10"/>
      <x:c r="H31" s="10"/>
      <x:c r="I31" s="10"/>
      <x:c r="J31" s="10"/>
      <x:c r="K31" s="2"/>
      <x:c r="L31" s="2"/>
      <x:c r="M31" s="2"/>
      <x:c r="N31" s="2"/>
      <x:c r="O31" s="2"/>
      <x:c r="P31" s="2"/>
      <x:c r="Q31" s="2"/>
    </x:row>
    <x:row r="32" ht="21" customHeight="1">
      <x:c r="A32" s="2"/>
      <x:c r="B32" s="2"/>
      <x:c r="C32" s="2" t="str">
        <x:v>Base</x:v>
      </x:c>
      <x:c r="D32" s="20" t="n">
        <x:v>0.1</x:v>
      </x:c>
      <x:c r="E32" s="2"/>
      <x:c r="F32" s="10"/>
      <x:c r="G32" s="10"/>
      <x:c r="H32" s="10"/>
      <x:c r="I32" s="10"/>
      <x:c r="J32" s="10"/>
      <x:c r="K32" s="2"/>
      <x:c r="L32" s="2"/>
      <x:c r="M32" s="2"/>
      <x:c r="N32" s="2"/>
      <x:c r="O32" s="2"/>
      <x:c r="P32" s="2"/>
      <x:c r="Q32" s="2"/>
    </x:row>
    <x:row r="33" ht="21" customHeight="1">
      <x:c r="A33" s="2"/>
      <x:c r="B33" s="2"/>
      <x:c r="C33" s="2" t="str">
        <x:v>Bull</x:v>
      </x:c>
      <x:c r="D33" s="20" t="n">
        <x:v>0.085</x:v>
      </x:c>
      <x:c r="E33" s="2"/>
      <x:c r="F33" s="10"/>
      <x:c r="G33" s="10"/>
      <x:c r="H33" s="10"/>
      <x:c r="I33" s="10"/>
      <x:c r="J33" s="10"/>
      <x:c r="K33" s="2"/>
      <x:c r="L33" s="2"/>
      <x:c r="M33" s="2"/>
      <x:c r="N33" s="2"/>
      <x:c r="O33" s="2"/>
      <x:c r="P33" s="2"/>
      <x:c r="Q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1" customHeight="1">
      <x:c r="A35" s="2"/>
      <x:c r="B35" s="2"/>
      <x:c r="C35" s="13" t="str">
        <x:v>Appraisal multiplier</x:v>
      </x:c>
      <x:c r="D35" s="21" t="n">
        <x:f>IF(ISNUMBER(CHOOSE($D$5,D36,D37,D38)),CHOOSE($D$5,D36,D37,D38),NA())</x:f>
        <x:v>1</x:v>
      </x:c>
      <x:c r="E35" s="13" t="str">
        <x:v>multiple</x:v>
      </x:c>
      <x:c r="F35" s="10" t="str">
        <x:v>Scenario multiplier on the broker-anchored aggregate fleet value; per-vessel allocations are mechanical.</x:v>
      </x:c>
      <x:c r="G35" s="10"/>
      <x:c r="H35" s="10"/>
      <x:c r="I35" s="10"/>
      <x:c r="J35" s="10"/>
      <x:c r="K35" s="2"/>
      <x:c r="L35" s="2"/>
      <x:c r="M35" s="2"/>
      <x:c r="N35" s="2"/>
      <x:c r="O35" s="2"/>
      <x:c r="P35" s="2"/>
      <x:c r="Q35" s="2"/>
    </x:row>
    <x:row r="36" ht="21" customHeight="1">
      <x:c r="A36" s="2"/>
      <x:c r="B36" s="2"/>
      <x:c r="C36" s="2" t="str">
        <x:v>Bear</x:v>
      </x:c>
      <x:c r="D36" s="22" t="n">
        <x:v>0.85</x:v>
      </x:c>
      <x:c r="E36" s="2"/>
      <x:c r="F36" s="10"/>
      <x:c r="G36" s="10"/>
      <x:c r="H36" s="10"/>
      <x:c r="I36" s="10"/>
      <x:c r="J36" s="10"/>
      <x:c r="K36" s="2"/>
      <x:c r="L36" s="2"/>
      <x:c r="M36" s="2"/>
      <x:c r="N36" s="2"/>
      <x:c r="O36" s="2"/>
      <x:c r="P36" s="2"/>
      <x:c r="Q36" s="2"/>
    </x:row>
    <x:row r="37" ht="21" customHeight="1">
      <x:c r="A37" s="2"/>
      <x:c r="B37" s="2"/>
      <x:c r="C37" s="2" t="str">
        <x:v>Base</x:v>
      </x:c>
      <x:c r="D37" s="22" t="n">
        <x:v>1</x:v>
      </x:c>
      <x:c r="E37" s="2"/>
      <x:c r="F37" s="10"/>
      <x:c r="G37" s="10"/>
      <x:c r="H37" s="10"/>
      <x:c r="I37" s="10"/>
      <x:c r="J37" s="10"/>
      <x:c r="K37" s="2"/>
      <x:c r="L37" s="2"/>
      <x:c r="M37" s="2"/>
      <x:c r="N37" s="2"/>
      <x:c r="O37" s="2"/>
      <x:c r="P37" s="2"/>
      <x:c r="Q37" s="2"/>
    </x:row>
    <x:row r="38" ht="21" customHeight="1">
      <x:c r="A38" s="2"/>
      <x:c r="B38" s="2"/>
      <x:c r="C38" s="2" t="str">
        <x:v>Bull</x:v>
      </x:c>
      <x:c r="D38" s="22" t="n">
        <x:v>1.12</x:v>
      </x:c>
      <x:c r="E38" s="2"/>
      <x:c r="F38" s="10"/>
      <x:c r="G38" s="10"/>
      <x:c r="H38" s="10"/>
      <x:c r="I38" s="10"/>
      <x:c r="J38" s="10"/>
      <x:c r="K38" s="2"/>
      <x:c r="L38" s="2"/>
      <x:c r="M38" s="2"/>
      <x:c r="N38" s="2"/>
      <x:c r="O38" s="2"/>
      <x:c r="P38" s="2"/>
      <x:c r="Q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1" customHeight="1">
      <x:c r="A40" s="2"/>
      <x:c r="B40" s="2"/>
      <x:c r="C40" s="13" t="str">
        <x:v>Retirement age</x:v>
      </x:c>
      <x:c r="D40" s="17" t="n">
        <x:f>IF(ISNUMBER(CHOOSE($D$5,D41,D42,D43)),CHOOSE($D$5,D41,D42,D43),NA())</x:f>
        <x:v>25</x:v>
      </x:c>
      <x:c r="E40" s="13" t="str">
        <x:v>years</x:v>
      </x:c>
      <x:c r="F40" s="10" t="str">
        <x:v>Retire July 1 of build year plus age; build month is unavailable.</x:v>
      </x:c>
      <x:c r="G40" s="10"/>
      <x:c r="H40" s="10"/>
      <x:c r="I40" s="10"/>
      <x:c r="J40" s="10"/>
      <x:c r="K40" s="2"/>
      <x:c r="L40" s="2"/>
      <x:c r="M40" s="2"/>
      <x:c r="N40" s="2"/>
      <x:c r="O40" s="2"/>
      <x:c r="P40" s="2"/>
      <x:c r="Q40" s="2"/>
    </x:row>
    <x:row r="41" ht="21" customHeight="1">
      <x:c r="A41" s="2"/>
      <x:c r="B41" s="2"/>
      <x:c r="C41" s="2" t="str">
        <x:v>Bear</x:v>
      </x:c>
      <x:c r="D41" s="18" t="n">
        <x:v>23</x:v>
      </x:c>
      <x:c r="E41" s="2"/>
      <x:c r="F41" s="10"/>
      <x:c r="G41" s="10"/>
      <x:c r="H41" s="10"/>
      <x:c r="I41" s="10"/>
      <x:c r="J41" s="10"/>
      <x:c r="K41" s="2"/>
      <x:c r="L41" s="2"/>
      <x:c r="M41" s="2"/>
      <x:c r="N41" s="2"/>
      <x:c r="O41" s="2"/>
      <x:c r="P41" s="2"/>
      <x:c r="Q41" s="2"/>
    </x:row>
    <x:row r="42" ht="21" customHeight="1">
      <x:c r="A42" s="2"/>
      <x:c r="B42" s="2"/>
      <x:c r="C42" s="2" t="str">
        <x:v>Base</x:v>
      </x:c>
      <x:c r="D42" s="18" t="n">
        <x:v>25</x:v>
      </x:c>
      <x:c r="E42" s="2"/>
      <x:c r="F42" s="10"/>
      <x:c r="G42" s="10"/>
      <x:c r="H42" s="10"/>
      <x:c r="I42" s="10"/>
      <x:c r="J42" s="10"/>
      <x:c r="K42" s="2"/>
      <x:c r="L42" s="2"/>
      <x:c r="M42" s="2"/>
      <x:c r="N42" s="2"/>
      <x:c r="O42" s="2"/>
      <x:c r="P42" s="2"/>
      <x:c r="Q42" s="2"/>
    </x:row>
    <x:row r="43" ht="21" customHeight="1">
      <x:c r="A43" s="2"/>
      <x:c r="B43" s="2"/>
      <x:c r="C43" s="2" t="str">
        <x:v>Bull</x:v>
      </x:c>
      <x:c r="D43" s="18" t="n">
        <x:v>27</x:v>
      </x:c>
      <x:c r="E43" s="2"/>
      <x:c r="F43" s="10"/>
      <x:c r="G43" s="10"/>
      <x:c r="H43" s="10"/>
      <x:c r="I43" s="10"/>
      <x:c r="J43" s="10"/>
      <x:c r="K43" s="2"/>
      <x:c r="L43" s="2"/>
      <x:c r="M43" s="2"/>
      <x:c r="N43" s="2"/>
      <x:c r="O43" s="2"/>
      <x:c r="P43" s="2"/>
      <x:c r="Q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1" customHeight="1">
      <x:c r="A45" s="2"/>
      <x:c r="B45" s="2"/>
      <x:c r="C45" s="13" t="str">
        <x:v>Unavailable share of owned days</x:v>
      </x:c>
      <x:c r="D45" s="19" t="n">
        <x:f>IF(ISNUMBER(CHOOSE($D$5,D46,D47,D48)),CHOOSE($D$5,D46,D47,D48),NA())</x:f>
        <x:v>0.035</x:v>
      </x:c>
      <x:c r="E45" s="13" t="str">
        <x:v>fraction</x:v>
      </x:c>
      <x:c r="F45" s="10" t="str">
        <x:v>H1 owned-fleet availability implies about 3.9% off-hire; scenarios bracket that outcome.</x:v>
      </x:c>
      <x:c r="G45" s="10"/>
      <x:c r="H45" s="10"/>
      <x:c r="I45" s="10"/>
      <x:c r="J45" s="10"/>
      <x:c r="K45" s="2"/>
      <x:c r="L45" s="2"/>
      <x:c r="M45" s="2"/>
      <x:c r="N45" s="2"/>
      <x:c r="O45" s="2"/>
      <x:c r="P45" s="2"/>
      <x:c r="Q45" s="2"/>
    </x:row>
    <x:row r="46" ht="21" customHeight="1">
      <x:c r="A46" s="2"/>
      <x:c r="B46" s="2"/>
      <x:c r="C46" s="2" t="str">
        <x:v>Bear</x:v>
      </x:c>
      <x:c r="D46" s="20" t="n">
        <x:v>0.05</x:v>
      </x:c>
      <x:c r="E46" s="2"/>
      <x:c r="F46" s="10"/>
      <x:c r="G46" s="10"/>
      <x:c r="H46" s="10"/>
      <x:c r="I46" s="10"/>
      <x:c r="J46" s="10"/>
      <x:c r="K46" s="2"/>
      <x:c r="L46" s="2"/>
      <x:c r="M46" s="2"/>
      <x:c r="N46" s="2"/>
      <x:c r="O46" s="2"/>
      <x:c r="P46" s="2"/>
      <x:c r="Q46" s="2"/>
    </x:row>
    <x:row r="47" ht="21" customHeight="1">
      <x:c r="A47" s="2"/>
      <x:c r="B47" s="2"/>
      <x:c r="C47" s="2" t="str">
        <x:v>Base</x:v>
      </x:c>
      <x:c r="D47" s="20" t="n">
        <x:v>0.035</x:v>
      </x:c>
      <x:c r="E47" s="2"/>
      <x:c r="F47" s="10"/>
      <x:c r="G47" s="10"/>
      <x:c r="H47" s="10"/>
      <x:c r="I47" s="10"/>
      <x:c r="J47" s="10"/>
      <x:c r="K47" s="2"/>
      <x:c r="L47" s="2"/>
      <x:c r="M47" s="2"/>
      <x:c r="N47" s="2"/>
      <x:c r="O47" s="2"/>
      <x:c r="P47" s="2"/>
      <x:c r="Q47" s="2"/>
    </x:row>
    <x:row r="48" ht="21" customHeight="1">
      <x:c r="A48" s="2"/>
      <x:c r="B48" s="2"/>
      <x:c r="C48" s="2" t="str">
        <x:v>Bull</x:v>
      </x:c>
      <x:c r="D48" s="20" t="n">
        <x:v>0.025</x:v>
      </x:c>
      <x:c r="E48" s="2"/>
      <x:c r="F48" s="10"/>
      <x:c r="G48" s="10"/>
      <x:c r="H48" s="10"/>
      <x:c r="I48" s="10"/>
      <x:c r="J48" s="10"/>
      <x:c r="K48" s="2"/>
      <x:c r="L48" s="2"/>
      <x:c r="M48" s="2"/>
      <x:c r="N48" s="2"/>
      <x:c r="O48" s="2"/>
      <x:c r="P48" s="2"/>
      <x:c r="Q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1" customHeight="1">
      <x:c r="A50" s="2"/>
      <x:c r="B50" s="2"/>
      <x:c r="C50" s="13" t="str">
        <x:v>Vessel operating cost</x:v>
      </x:c>
      <x:c r="D50" s="17" t="n">
        <x:f>IF(ISNUMBER(CHOOSE($D$5,D51,D52,D53)),CHOOSE($D$5,D51,D52,D53),NA())</x:f>
        <x:v>6800</x:v>
      </x:c>
      <x:c r="E50" s="13" t="str">
        <x:v>USD/day</x:v>
      </x:c>
      <x:c r="F50" s="10" t="str">
        <x:v>H1 disclosed DVOE was $6,781/day; Q3 budget was $6,750/day.</x:v>
      </x:c>
      <x:c r="G50" s="10"/>
      <x:c r="H50" s="10"/>
      <x:c r="I50" s="10"/>
      <x:c r="J50" s="10"/>
      <x:c r="K50" s="2"/>
      <x:c r="L50" s="2"/>
      <x:c r="M50" s="2"/>
      <x:c r="N50" s="2"/>
      <x:c r="O50" s="2"/>
      <x:c r="P50" s="2"/>
      <x:c r="Q50" s="2"/>
    </x:row>
    <x:row r="51" ht="21" customHeight="1">
      <x:c r="A51" s="2"/>
      <x:c r="B51" s="2"/>
      <x:c r="C51" s="2" t="str">
        <x:v>Bear</x:v>
      </x:c>
      <x:c r="D51" s="18" t="n">
        <x:v>7300</x:v>
      </x:c>
      <x:c r="E51" s="2"/>
      <x:c r="F51" s="10"/>
      <x:c r="G51" s="10"/>
      <x:c r="H51" s="10"/>
      <x:c r="I51" s="10"/>
      <x:c r="J51" s="10"/>
      <x:c r="K51" s="2"/>
      <x:c r="L51" s="2"/>
      <x:c r="M51" s="2"/>
      <x:c r="N51" s="2"/>
      <x:c r="O51" s="2"/>
      <x:c r="P51" s="2"/>
      <x:c r="Q51" s="2"/>
    </x:row>
    <x:row r="52" ht="21" customHeight="1">
      <x:c r="A52" s="2"/>
      <x:c r="B52" s="2"/>
      <x:c r="C52" s="2" t="str">
        <x:v>Base</x:v>
      </x:c>
      <x:c r="D52" s="18" t="n">
        <x:v>6800</x:v>
      </x:c>
      <x:c r="E52" s="2"/>
      <x:c r="F52" s="10"/>
      <x:c r="G52" s="10"/>
      <x:c r="H52" s="10"/>
      <x:c r="I52" s="10"/>
      <x:c r="J52" s="10"/>
      <x:c r="K52" s="2"/>
      <x:c r="L52" s="2"/>
      <x:c r="M52" s="2"/>
      <x:c r="N52" s="2"/>
      <x:c r="O52" s="2"/>
      <x:c r="P52" s="2"/>
      <x:c r="Q52" s="2"/>
    </x:row>
    <x:row r="53" ht="21" customHeight="1">
      <x:c r="A53" s="2"/>
      <x:c r="B53" s="2"/>
      <x:c r="C53" s="2" t="str">
        <x:v>Bull</x:v>
      </x:c>
      <x:c r="D53" s="18" t="n">
        <x:v>6400</x:v>
      </x:c>
      <x:c r="E53" s="2"/>
      <x:c r="F53" s="10"/>
      <x:c r="G53" s="10"/>
      <x:c r="H53" s="10"/>
      <x:c r="I53" s="10"/>
      <x:c r="J53" s="10"/>
      <x:c r="K53" s="2"/>
      <x:c r="L53" s="2"/>
      <x:c r="M53" s="2"/>
      <x:c r="N53" s="2"/>
      <x:c r="O53" s="2"/>
      <x:c r="P53" s="2"/>
      <x:c r="Q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1" customHeight="1">
      <x:c r="A55" s="2"/>
      <x:c r="B55" s="2"/>
      <x:c r="C55" s="13" t="str">
        <x:v>Management cost</x:v>
      </x:c>
      <x:c r="D55" s="17" t="n">
        <x:f>IF(ISNUMBER(CHOOSE($D$5,D56,D57,D58)),CHOOSE($D$5,D56,D57,D58),NA())</x:f>
        <x:v>235</x:v>
      </x:c>
      <x:c r="E55" s="13" t="str">
        <x:v>USD/day</x:v>
      </x:c>
      <x:c r="F55" s="10" t="str">
        <x:v>H1 technical management expense divided by ownership days was about $235/day.</x:v>
      </x:c>
      <x:c r="G55" s="10"/>
      <x:c r="H55" s="10"/>
      <x:c r="I55" s="10"/>
      <x:c r="J55" s="10"/>
      <x:c r="K55" s="2"/>
      <x:c r="L55" s="2"/>
      <x:c r="M55" s="2"/>
      <x:c r="N55" s="2"/>
      <x:c r="O55" s="2"/>
      <x:c r="P55" s="2"/>
      <x:c r="Q55" s="2"/>
    </x:row>
    <x:row r="56" ht="21" customHeight="1">
      <x:c r="A56" s="2"/>
      <x:c r="B56" s="2"/>
      <x:c r="C56" s="2" t="str">
        <x:v>Bear</x:v>
      </x:c>
      <x:c r="D56" s="18" t="n">
        <x:v>300</x:v>
      </x:c>
      <x:c r="E56" s="2"/>
      <x:c r="F56" s="10"/>
      <x:c r="G56" s="10"/>
      <x:c r="H56" s="10"/>
      <x:c r="I56" s="10"/>
      <x:c r="J56" s="10"/>
      <x:c r="K56" s="2"/>
      <x:c r="L56" s="2"/>
      <x:c r="M56" s="2"/>
      <x:c r="N56" s="2"/>
      <x:c r="O56" s="2"/>
      <x:c r="P56" s="2"/>
      <x:c r="Q56" s="2"/>
    </x:row>
    <x:row r="57" ht="21" customHeight="1">
      <x:c r="A57" s="2"/>
      <x:c r="B57" s="2"/>
      <x:c r="C57" s="2" t="str">
        <x:v>Base</x:v>
      </x:c>
      <x:c r="D57" s="18" t="n">
        <x:v>235</x:v>
      </x:c>
      <x:c r="E57" s="2"/>
      <x:c r="F57" s="10"/>
      <x:c r="G57" s="10"/>
      <x:c r="H57" s="10"/>
      <x:c r="I57" s="10"/>
      <x:c r="J57" s="10"/>
      <x:c r="K57" s="2"/>
      <x:c r="L57" s="2"/>
      <x:c r="M57" s="2"/>
      <x:c r="N57" s="2"/>
      <x:c r="O57" s="2"/>
      <x:c r="P57" s="2"/>
      <x:c r="Q57" s="2"/>
    </x:row>
    <x:row r="58" ht="21" customHeight="1">
      <x:c r="A58" s="2"/>
      <x:c r="B58" s="2"/>
      <x:c r="C58" s="2" t="str">
        <x:v>Bull</x:v>
      </x:c>
      <x:c r="D58" s="18" t="n">
        <x:v>200</x:v>
      </x:c>
      <x:c r="E58" s="2"/>
      <x:c r="F58" s="10"/>
      <x:c r="G58" s="10"/>
      <x:c r="H58" s="10"/>
      <x:c r="I58" s="10"/>
      <x:c r="J58" s="10"/>
      <x:c r="K58" s="2"/>
      <x:c r="L58" s="2"/>
      <x:c r="M58" s="2"/>
      <x:c r="N58" s="2"/>
      <x:c r="O58" s="2"/>
      <x:c r="P58" s="2"/>
      <x:c r="Q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1" customHeight="1">
      <x:c r="A60" s="2"/>
      <x:c r="B60" s="2"/>
      <x:c r="C60" s="13" t="str">
        <x:v>Corporate overhead</x:v>
      </x:c>
      <x:c r="D60" s="17" t="n">
        <x:f>IF(ISNUMBER(CHOOSE($D$5,D61,D62,D63)),CHOOSE($D$5,D61,D62,D63),NA())</x:f>
        <x:v>24000000</x:v>
      </x:c>
      <x:c r="E60" s="13" t="str">
        <x:v>USD/year</x:v>
      </x:c>
      <x:c r="F60" s="10" t="str">
        <x:v>Annualized H1 cash G&amp;A excluding stock compensation is about $23.9m.</x:v>
      </x:c>
      <x:c r="G60" s="10"/>
      <x:c r="H60" s="10"/>
      <x:c r="I60" s="10"/>
      <x:c r="J60" s="10"/>
      <x:c r="K60" s="2"/>
      <x:c r="L60" s="2"/>
      <x:c r="M60" s="2"/>
      <x:c r="N60" s="2"/>
      <x:c r="O60" s="2"/>
      <x:c r="P60" s="2"/>
      <x:c r="Q60" s="2"/>
    </x:row>
    <x:row r="61" ht="21" customHeight="1">
      <x:c r="A61" s="2"/>
      <x:c r="B61" s="2"/>
      <x:c r="C61" s="2" t="str">
        <x:v>Bear</x:v>
      </x:c>
      <x:c r="D61" s="18" t="n">
        <x:v>28000000</x:v>
      </x:c>
      <x:c r="E61" s="2"/>
      <x:c r="F61" s="10"/>
      <x:c r="G61" s="10"/>
      <x:c r="H61" s="10"/>
      <x:c r="I61" s="10"/>
      <x:c r="J61" s="10"/>
      <x:c r="K61" s="2"/>
      <x:c r="L61" s="2"/>
      <x:c r="M61" s="2"/>
      <x:c r="N61" s="2"/>
      <x:c r="O61" s="2"/>
      <x:c r="P61" s="2"/>
      <x:c r="Q61" s="2"/>
    </x:row>
    <x:row r="62" ht="21" customHeight="1">
      <x:c r="A62" s="2"/>
      <x:c r="B62" s="2"/>
      <x:c r="C62" s="2" t="str">
        <x:v>Base</x:v>
      </x:c>
      <x:c r="D62" s="18" t="n">
        <x:v>24000000</x:v>
      </x:c>
      <x:c r="E62" s="2"/>
      <x:c r="F62" s="10"/>
      <x:c r="G62" s="10"/>
      <x:c r="H62" s="10"/>
      <x:c r="I62" s="10"/>
      <x:c r="J62" s="10"/>
      <x:c r="K62" s="2"/>
      <x:c r="L62" s="2"/>
      <x:c r="M62" s="2"/>
      <x:c r="N62" s="2"/>
      <x:c r="O62" s="2"/>
      <x:c r="P62" s="2"/>
      <x:c r="Q62" s="2"/>
    </x:row>
    <x:row r="63" ht="21" customHeight="1">
      <x:c r="A63" s="2"/>
      <x:c r="B63" s="2"/>
      <x:c r="C63" s="2" t="str">
        <x:v>Bull</x:v>
      </x:c>
      <x:c r="D63" s="18" t="n">
        <x:v>22000000</x:v>
      </x:c>
      <x:c r="E63" s="2"/>
      <x:c r="F63" s="10"/>
      <x:c r="G63" s="10"/>
      <x:c r="H63" s="10"/>
      <x:c r="I63" s="10"/>
      <x:c r="J63" s="10"/>
      <x:c r="K63" s="2"/>
      <x:c r="L63" s="2"/>
      <x:c r="M63" s="2"/>
      <x:c r="N63" s="2"/>
      <x:c r="O63" s="2"/>
      <x:c r="P63" s="2"/>
      <x:c r="Q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1" customHeight="1">
      <x:c r="A65" s="2"/>
      <x:c r="B65" s="2"/>
      <x:c r="C65" s="13" t="str">
        <x:v>Drydock cash budget</x:v>
      </x:c>
      <x:c r="D65" s="17" t="n">
        <x:f>IF(ISNUMBER(CHOOSE($D$5,D66,D67,D68)),CHOOSE($D$5,D66,D67,D68),NA())</x:f>
        <x:v>600000</x:v>
      </x:c>
      <x:c r="E65" s="13" t="str">
        <x:v>USD/vessel/year</x:v>
      </x:c>
      <x:c r="F65" s="10" t="str">
        <x:v>Management budgeted $25.6m for 2027, about $582k per current vessel.</x:v>
      </x:c>
      <x:c r="G65" s="10"/>
      <x:c r="H65" s="10"/>
      <x:c r="I65" s="10"/>
      <x:c r="J65" s="10"/>
      <x:c r="K65" s="2"/>
      <x:c r="L65" s="2"/>
      <x:c r="M65" s="2"/>
      <x:c r="N65" s="2"/>
      <x:c r="O65" s="2"/>
      <x:c r="P65" s="2"/>
      <x:c r="Q65" s="2"/>
    </x:row>
    <x:row r="66" ht="21" customHeight="1">
      <x:c r="A66" s="2"/>
      <x:c r="B66" s="2"/>
      <x:c r="C66" s="2" t="str">
        <x:v>Bear</x:v>
      </x:c>
      <x:c r="D66" s="18" t="n">
        <x:v>750000</x:v>
      </x:c>
      <x:c r="E66" s="2"/>
      <x:c r="F66" s="10"/>
      <x:c r="G66" s="10"/>
      <x:c r="H66" s="10"/>
      <x:c r="I66" s="10"/>
      <x:c r="J66" s="10"/>
      <x:c r="K66" s="2"/>
      <x:c r="L66" s="2"/>
      <x:c r="M66" s="2"/>
      <x:c r="N66" s="2"/>
      <x:c r="O66" s="2"/>
      <x:c r="P66" s="2"/>
      <x:c r="Q66" s="2"/>
    </x:row>
    <x:row r="67" ht="21" customHeight="1">
      <x:c r="A67" s="2"/>
      <x:c r="B67" s="2"/>
      <x:c r="C67" s="2" t="str">
        <x:v>Base</x:v>
      </x:c>
      <x:c r="D67" s="18" t="n">
        <x:v>600000</x:v>
      </x:c>
      <x:c r="E67" s="2"/>
      <x:c r="F67" s="10"/>
      <x:c r="G67" s="10"/>
      <x:c r="H67" s="10"/>
      <x:c r="I67" s="10"/>
      <x:c r="J67" s="10"/>
      <x:c r="K67" s="2"/>
      <x:c r="L67" s="2"/>
      <x:c r="M67" s="2"/>
      <x:c r="N67" s="2"/>
      <x:c r="O67" s="2"/>
      <x:c r="P67" s="2"/>
      <x:c r="Q67" s="2"/>
    </x:row>
    <x:row r="68" ht="21" customHeight="1">
      <x:c r="A68" s="2"/>
      <x:c r="B68" s="2"/>
      <x:c r="C68" s="2" t="str">
        <x:v>Bull</x:v>
      </x:c>
      <x:c r="D68" s="18" t="n">
        <x:v>500000</x:v>
      </x:c>
      <x:c r="E68" s="2"/>
      <x:c r="F68" s="10"/>
      <x:c r="G68" s="10"/>
      <x:c r="H68" s="10"/>
      <x:c r="I68" s="10"/>
      <x:c r="J68" s="10"/>
      <x:c r="K68" s="2"/>
      <x:c r="L68" s="2"/>
      <x:c r="M68" s="2"/>
      <x:c r="N68" s="2"/>
      <x:c r="O68" s="2"/>
      <x:c r="P68" s="2"/>
      <x:c r="Q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1" customHeight="1">
      <x:c r="A70" s="2"/>
      <x:c r="B70" s="2"/>
      <x:c r="C70" s="13" t="str">
        <x:v>Other maintenance capex</x:v>
      </x:c>
      <x:c r="D70" s="17" t="n">
        <x:f>IF(ISNUMBER(CHOOSE($D$5,D71,D72,D73)),CHOOSE($D$5,D71,D72,D73),NA())</x:f>
        <x:v>100000</x:v>
      </x:c>
      <x:c r="E70" s="13" t="str">
        <x:v>USD/vessel/year</x:v>
      </x:c>
      <x:c r="F70" s="10" t="str">
        <x:v>Other recurring fleet capex outside drydock budget; explicit scenario assumption.</x:v>
      </x:c>
      <x:c r="G70" s="10"/>
      <x:c r="H70" s="10"/>
      <x:c r="I70" s="10"/>
      <x:c r="J70" s="10"/>
      <x:c r="K70" s="2"/>
      <x:c r="L70" s="2"/>
      <x:c r="M70" s="2"/>
      <x:c r="N70" s="2"/>
      <x:c r="O70" s="2"/>
      <x:c r="P70" s="2"/>
      <x:c r="Q70" s="2"/>
    </x:row>
    <x:row r="71" ht="21" customHeight="1">
      <x:c r="A71" s="2"/>
      <x:c r="B71" s="2"/>
      <x:c r="C71" s="2" t="str">
        <x:v>Bear</x:v>
      </x:c>
      <x:c r="D71" s="18" t="n">
        <x:v>150000</x:v>
      </x:c>
      <x:c r="E71" s="2"/>
      <x:c r="F71" s="10"/>
      <x:c r="G71" s="10"/>
      <x:c r="H71" s="10"/>
      <x:c r="I71" s="10"/>
      <x:c r="J71" s="10"/>
      <x:c r="K71" s="2"/>
      <x:c r="L71" s="2"/>
      <x:c r="M71" s="2"/>
      <x:c r="N71" s="2"/>
      <x:c r="O71" s="2"/>
      <x:c r="P71" s="2"/>
      <x:c r="Q71" s="2"/>
    </x:row>
    <x:row r="72" ht="21" customHeight="1">
      <x:c r="A72" s="2"/>
      <x:c r="B72" s="2"/>
      <x:c r="C72" s="2" t="str">
        <x:v>Base</x:v>
      </x:c>
      <x:c r="D72" s="18" t="n">
        <x:v>100000</x:v>
      </x:c>
      <x:c r="E72" s="2"/>
      <x:c r="F72" s="10"/>
      <x:c r="G72" s="10"/>
      <x:c r="H72" s="10"/>
      <x:c r="I72" s="10"/>
      <x:c r="J72" s="10"/>
      <x:c r="K72" s="2"/>
      <x:c r="L72" s="2"/>
      <x:c r="M72" s="2"/>
      <x:c r="N72" s="2"/>
      <x:c r="O72" s="2"/>
      <x:c r="P72" s="2"/>
      <x:c r="Q72" s="2"/>
    </x:row>
    <x:row r="73" ht="21" customHeight="1">
      <x:c r="A73" s="2"/>
      <x:c r="B73" s="2"/>
      <x:c r="C73" s="2" t="str">
        <x:v>Bull</x:v>
      </x:c>
      <x:c r="D73" s="18" t="n">
        <x:v>75000</x:v>
      </x:c>
      <x:c r="E73" s="2"/>
      <x:c r="F73" s="10"/>
      <x:c r="G73" s="10"/>
      <x:c r="H73" s="10"/>
      <x:c r="I73" s="10"/>
      <x:c r="J73" s="10"/>
      <x:c r="K73" s="2"/>
      <x:c r="L73" s="2"/>
      <x:c r="M73" s="2"/>
      <x:c r="N73" s="2"/>
      <x:c r="O73" s="2"/>
      <x:c r="P73" s="2"/>
      <x:c r="Q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1" customHeight="1">
      <x:c r="A75" s="2"/>
      <x:c r="B75" s="2"/>
      <x:c r="C75" s="13" t="str">
        <x:v>Net scrap proxy</x:v>
      </x:c>
      <x:c r="D75" s="17" t="n">
        <x:f>IF(ISNUMBER(CHOOSE($D$5,D76,D77,D78)),CHOOSE($D$5,D76,D77,D78),NA())</x:f>
        <x:v>70</x:v>
      </x:c>
      <x:c r="E75" s="13" t="str">
        <x:v>USD/dwt</x:v>
      </x:c>
      <x:c r="F75" s="10" t="str">
        <x:v>Explicit DWT-based proxy, not lightweight tonnage times steel price; sensitivity only.</x:v>
      </x:c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</x:row>
    <x:row r="76" ht="21" customHeight="1">
      <x:c r="A76" s="2"/>
      <x:c r="B76" s="2"/>
      <x:c r="C76" s="2" t="str">
        <x:v>Bear</x:v>
      </x:c>
      <x:c r="D76" s="18" t="n">
        <x:v>55</x:v>
      </x:c>
      <x:c r="E76" s="2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</x:row>
    <x:row r="77" ht="21" customHeight="1">
      <x:c r="A77" s="2"/>
      <x:c r="B77" s="2"/>
      <x:c r="C77" s="2" t="str">
        <x:v>Base</x:v>
      </x:c>
      <x:c r="D77" s="18" t="n">
        <x:v>70</x:v>
      </x:c>
      <x:c r="E77" s="2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</x:row>
    <x:row r="78" ht="21" customHeight="1">
      <x:c r="A78" s="2"/>
      <x:c r="B78" s="2"/>
      <x:c r="C78" s="2" t="str">
        <x:v>Bull</x:v>
      </x:c>
      <x:c r="D78" s="18" t="n">
        <x:v>85</x:v>
      </x:c>
      <x:c r="E78" s="2"/>
      <x:c r="F78" s="10"/>
      <x:c r="G78" s="10"/>
      <x:c r="H78" s="10"/>
      <x:c r="I78" s="10"/>
      <x:c r="J78" s="10"/>
      <x:c r="K78" s="2"/>
      <x:c r="L78" s="2"/>
      <x:c r="M78" s="2"/>
      <x:c r="N78" s="2"/>
      <x:c r="O78" s="2"/>
      <x:c r="P78" s="2"/>
      <x:c r="Q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1" customHeight="1">
      <x:c r="A80" s="2"/>
      <x:c r="B80" s="2"/>
      <x:c r="C80" s="13" t="str">
        <x:v>Annual cost and rate growth</x:v>
      </x:c>
      <x:c r="D80" s="19" t="n">
        <x:f>IF(ISNUMBER(CHOOSE($D$5,D81,D82,D83)),CHOOSE($D$5,D81,D82,D83),NA())</x:f>
        <x:v>0.02</x:v>
      </x:c>
      <x:c r="E80" s="13" t="str">
        <x:v>fraction</x:v>
      </x:c>
      <x:c r="F80" s="10" t="str">
        <x:v>Same nominal escalation on TCE, opex and recurring cash budgets; no perpetual terminal value.</x:v>
      </x:c>
      <x:c r="G80" s="10"/>
      <x:c r="H80" s="10"/>
      <x:c r="I80" s="10"/>
      <x:c r="J80" s="10"/>
      <x:c r="K80" s="2"/>
      <x:c r="L80" s="2"/>
      <x:c r="M80" s="2"/>
      <x:c r="N80" s="2"/>
      <x:c r="O80" s="2"/>
      <x:c r="P80" s="2"/>
      <x:c r="Q80" s="2"/>
    </x:row>
    <x:row r="81" ht="21" customHeight="1">
      <x:c r="A81" s="2"/>
      <x:c r="B81" s="2"/>
      <x:c r="C81" s="2" t="str">
        <x:v>Bear</x:v>
      </x:c>
      <x:c r="D81" s="20" t="n">
        <x:v>0.02</x:v>
      </x:c>
      <x:c r="E81" s="2"/>
      <x:c r="F81" s="10"/>
      <x:c r="G81" s="10"/>
      <x:c r="H81" s="10"/>
      <x:c r="I81" s="10"/>
      <x:c r="J81" s="10"/>
      <x:c r="K81" s="2"/>
      <x:c r="L81" s="2"/>
      <x:c r="M81" s="2"/>
      <x:c r="N81" s="2"/>
      <x:c r="O81" s="2"/>
      <x:c r="P81" s="2"/>
      <x:c r="Q81" s="2"/>
    </x:row>
    <x:row r="82" ht="21" customHeight="1">
      <x:c r="A82" s="2"/>
      <x:c r="B82" s="2"/>
      <x:c r="C82" s="2" t="str">
        <x:v>Base</x:v>
      </x:c>
      <x:c r="D82" s="20" t="n">
        <x:v>0.02</x:v>
      </x:c>
      <x:c r="E82" s="2"/>
      <x:c r="F82" s="10"/>
      <x:c r="G82" s="10"/>
      <x:c r="H82" s="10"/>
      <x:c r="I82" s="10"/>
      <x:c r="J82" s="10"/>
      <x:c r="K82" s="2"/>
      <x:c r="L82" s="2"/>
      <x:c r="M82" s="2"/>
      <x:c r="N82" s="2"/>
      <x:c r="O82" s="2"/>
      <x:c r="P82" s="2"/>
      <x:c r="Q82" s="2"/>
    </x:row>
    <x:row r="83" ht="21" customHeight="1">
      <x:c r="A83" s="2"/>
      <x:c r="B83" s="2"/>
      <x:c r="C83" s="2" t="str">
        <x:v>Bull</x:v>
      </x:c>
      <x:c r="D83" s="20" t="n">
        <x:v>0.02</x:v>
      </x:c>
      <x:c r="E83" s="2"/>
      <x:c r="F83" s="10"/>
      <x:c r="G83" s="10"/>
      <x:c r="H83" s="10"/>
      <x:c r="I83" s="10"/>
      <x:c r="J83" s="10"/>
      <x:c r="K83" s="2"/>
      <x:c r="L83" s="2"/>
      <x:c r="M83" s="2"/>
      <x:c r="N83" s="2"/>
      <x:c r="O83" s="2"/>
      <x:c r="P83" s="2"/>
      <x:c r="Q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1" customHeight="1">
      <x:c r="A85" s="2"/>
      <x:c r="B85" s="2"/>
      <x:c r="C85" s="13" t="str">
        <x:v>Cash taxes / TCE revenue</x:v>
      </x:c>
      <x:c r="D85" s="19" t="n">
        <x:f>IF(ISNUMBER(CHOOSE($D$5,D86,D87,D88)),CHOOSE($D$5,D86,D87,D88),NA())</x:f>
        <x:v>0.005</x:v>
      </x:c>
      <x:c r="E85" s="13" t="str">
        <x:v>fraction</x:v>
      </x:c>
      <x:c r="F85" s="10" t="str">
        <x:v>Simplified cash-tax proxy; no jurisdictional tax model or interest tax shield.</x:v>
      </x:c>
      <x:c r="G85" s="10"/>
      <x:c r="H85" s="10"/>
      <x:c r="I85" s="10"/>
      <x:c r="J85" s="10"/>
      <x:c r="K85" s="2"/>
      <x:c r="L85" s="2"/>
      <x:c r="M85" s="2"/>
      <x:c r="N85" s="2"/>
      <x:c r="O85" s="2"/>
      <x:c r="P85" s="2"/>
      <x:c r="Q85" s="2"/>
    </x:row>
    <x:row r="86" ht="21" customHeight="1">
      <x:c r="A86" s="2"/>
      <x:c r="B86" s="2"/>
      <x:c r="C86" s="2" t="str">
        <x:v>Bear</x:v>
      </x:c>
      <x:c r="D86" s="20" t="n">
        <x:v>0.01</x:v>
      </x:c>
      <x:c r="E86" s="2"/>
      <x:c r="F86" s="10"/>
      <x:c r="G86" s="10"/>
      <x:c r="H86" s="10"/>
      <x:c r="I86" s="10"/>
      <x:c r="J86" s="10"/>
      <x:c r="K86" s="2"/>
      <x:c r="L86" s="2"/>
      <x:c r="M86" s="2"/>
      <x:c r="N86" s="2"/>
      <x:c r="O86" s="2"/>
      <x:c r="P86" s="2"/>
      <x:c r="Q86" s="2"/>
    </x:row>
    <x:row r="87" ht="21" customHeight="1">
      <x:c r="A87" s="2"/>
      <x:c r="B87" s="2"/>
      <x:c r="C87" s="2" t="str">
        <x:v>Base</x:v>
      </x:c>
      <x:c r="D87" s="20" t="n">
        <x:v>0.005</x:v>
      </x:c>
      <x:c r="E87" s="2"/>
      <x:c r="F87" s="10"/>
      <x:c r="G87" s="10"/>
      <x:c r="H87" s="10"/>
      <x:c r="I87" s="10"/>
      <x:c r="J87" s="10"/>
      <x:c r="K87" s="2"/>
      <x:c r="L87" s="2"/>
      <x:c r="M87" s="2"/>
      <x:c r="N87" s="2"/>
      <x:c r="O87" s="2"/>
      <x:c r="P87" s="2"/>
      <x:c r="Q87" s="2"/>
    </x:row>
    <x:row r="88" ht="21" customHeight="1">
      <x:c r="A88" s="2"/>
      <x:c r="B88" s="2"/>
      <x:c r="C88" s="2" t="str">
        <x:v>Bull</x:v>
      </x:c>
      <x:c r="D88" s="20" t="n">
        <x:v>0</x:v>
      </x:c>
      <x:c r="E88" s="2"/>
      <x:c r="F88" s="10"/>
      <x:c r="G88" s="10"/>
      <x:c r="H88" s="10"/>
      <x:c r="I88" s="10"/>
      <x:c r="J88" s="10"/>
      <x:c r="K88" s="2"/>
      <x:c r="L88" s="2"/>
      <x:c r="M88" s="2"/>
      <x:c r="N88" s="2"/>
      <x:c r="O88" s="2"/>
      <x:c r="P88" s="2"/>
      <x:c r="Q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1" customHeight="1">
      <x:c r="A90" s="2"/>
      <x:c r="B90" s="2"/>
      <x:c r="C90" s="13" t="str">
        <x:v>Debt interest rate</x:v>
      </x:c>
      <x:c r="D90" s="19" t="n">
        <x:f>IF(ISNUMBER(CHOOSE($D$5,D91,D92,D93)),CHOOSE($D$5,D91,D92,D93),NA())</x:f>
        <x:v>0.0575</x:v>
      </x:c>
      <x:c r="E90" s="13" t="str">
        <x:v>fraction</x:v>
      </x:c>
      <x:c r="F90" s="10" t="str">
        <x:v>Scenario around SOFR plus 1.80%; not a forward interest-rate curve.</x:v>
      </x:c>
      <x:c r="G90" s="10"/>
      <x:c r="H90" s="10"/>
      <x:c r="I90" s="10"/>
      <x:c r="J90" s="10"/>
      <x:c r="K90" s="2"/>
      <x:c r="L90" s="2"/>
      <x:c r="M90" s="2"/>
      <x:c r="N90" s="2"/>
      <x:c r="O90" s="2"/>
      <x:c r="P90" s="2"/>
      <x:c r="Q90" s="2"/>
    </x:row>
    <x:row r="91" ht="21" customHeight="1">
      <x:c r="A91" s="2"/>
      <x:c r="B91" s="2"/>
      <x:c r="C91" s="2" t="str">
        <x:v>Bear</x:v>
      </x:c>
      <x:c r="D91" s="20" t="n">
        <x:v>0.07</x:v>
      </x:c>
      <x:c r="E91" s="2"/>
      <x:c r="F91" s="10"/>
      <x:c r="G91" s="10"/>
      <x:c r="H91" s="10"/>
      <x:c r="I91" s="10"/>
      <x:c r="J91" s="10"/>
      <x:c r="K91" s="2"/>
      <x:c r="L91" s="2"/>
      <x:c r="M91" s="2"/>
      <x:c r="N91" s="2"/>
      <x:c r="O91" s="2"/>
      <x:c r="P91" s="2"/>
      <x:c r="Q91" s="2"/>
    </x:row>
    <x:row r="92" ht="21" customHeight="1">
      <x:c r="A92" s="2"/>
      <x:c r="B92" s="2"/>
      <x:c r="C92" s="2" t="str">
        <x:v>Base</x:v>
      </x:c>
      <x:c r="D92" s="20" t="n">
        <x:v>0.0575</x:v>
      </x:c>
      <x:c r="E92" s="2"/>
      <x:c r="F92" s="10"/>
      <x:c r="G92" s="10"/>
      <x:c r="H92" s="10"/>
      <x:c r="I92" s="10"/>
      <x:c r="J92" s="10"/>
      <x:c r="K92" s="2"/>
      <x:c r="L92" s="2"/>
      <x:c r="M92" s="2"/>
      <x:c r="N92" s="2"/>
      <x:c r="O92" s="2"/>
      <x:c r="P92" s="2"/>
      <x:c r="Q92" s="2"/>
    </x:row>
    <x:row r="93" ht="21" customHeight="1">
      <x:c r="A93" s="2"/>
      <x:c r="B93" s="2"/>
      <x:c r="C93" s="2" t="str">
        <x:v>Bull</x:v>
      </x:c>
      <x:c r="D93" s="20" t="n">
        <x:v>0.05</x:v>
      </x:c>
      <x:c r="E93" s="2"/>
      <x:c r="F93" s="10"/>
      <x:c r="G93" s="10"/>
      <x:c r="H93" s="10"/>
      <x:c r="I93" s="10"/>
      <x:c r="J93" s="10"/>
      <x:c r="K93" s="2"/>
      <x:c r="L93" s="2"/>
      <x:c r="M93" s="2"/>
      <x:c r="N93" s="2"/>
      <x:c r="O93" s="2"/>
      <x:c r="P93" s="2"/>
      <x:c r="Q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21" customHeight="1">
      <x:c r="A95" s="2"/>
      <x:c r="B95" s="2"/>
      <x:c r="C95" s="13" t="str">
        <x:v>Unreported net cash change</x:v>
      </x:c>
      <x:c r="D95" s="17" t="n">
        <x:f>IF(ISNUMBER(CHOOSE($D$5,D96,D97,D98)),CHOOSE($D$5,D96,D97,D98),NA())</x:f>
        <x:v>-25000000</x:v>
      </x:c>
      <x:c r="E95" s="13" t="str">
        <x:v>USD</x:v>
      </x:c>
      <x:c r="F95" s="10" t="str">
        <x:v>Estimated July 1–Oct 12 net operating cash less the Volunteer purchase balance; the $50m draw and August dividend are modeled separately.</x:v>
      </x:c>
      <x:c r="G95" s="10"/>
      <x:c r="H95" s="10"/>
      <x:c r="I95" s="10"/>
      <x:c r="J95" s="10"/>
      <x:c r="K95" s="2"/>
      <x:c r="L95" s="2"/>
      <x:c r="M95" s="2"/>
      <x:c r="N95" s="2"/>
      <x:c r="O95" s="2"/>
      <x:c r="P95" s="2"/>
      <x:c r="Q95" s="2"/>
    </x:row>
    <x:row r="96" ht="21" customHeight="1">
      <x:c r="A96" s="2"/>
      <x:c r="B96" s="2"/>
      <x:c r="C96" s="2" t="str">
        <x:v>Bear</x:v>
      </x:c>
      <x:c r="D96" s="18" t="n">
        <x:v>-45000000</x:v>
      </x:c>
      <x:c r="E96" s="2"/>
      <x:c r="F96" s="10"/>
      <x:c r="G96" s="10"/>
      <x:c r="H96" s="10"/>
      <x:c r="I96" s="10"/>
      <x:c r="J96" s="10"/>
      <x:c r="K96" s="2"/>
      <x:c r="L96" s="2"/>
      <x:c r="M96" s="2"/>
      <x:c r="N96" s="2"/>
      <x:c r="O96" s="2"/>
      <x:c r="P96" s="2"/>
      <x:c r="Q96" s="2"/>
    </x:row>
    <x:row r="97" ht="21" customHeight="1">
      <x:c r="A97" s="2"/>
      <x:c r="B97" s="2"/>
      <x:c r="C97" s="2" t="str">
        <x:v>Base</x:v>
      </x:c>
      <x:c r="D97" s="18" t="n">
        <x:v>-25000000</x:v>
      </x:c>
      <x:c r="E97" s="2"/>
      <x:c r="F97" s="10"/>
      <x:c r="G97" s="10"/>
      <x:c r="H97" s="10"/>
      <x:c r="I97" s="10"/>
      <x:c r="J97" s="10"/>
      <x:c r="K97" s="2"/>
      <x:c r="L97" s="2"/>
      <x:c r="M97" s="2"/>
      <x:c r="N97" s="2"/>
      <x:c r="O97" s="2"/>
      <x:c r="P97" s="2"/>
      <x:c r="Q97" s="2"/>
    </x:row>
    <x:row r="98" ht="21" customHeight="1">
      <x:c r="A98" s="2"/>
      <x:c r="B98" s="2"/>
      <x:c r="C98" s="2" t="str">
        <x:v>Bull</x:v>
      </x:c>
      <x:c r="D98" s="18" t="n">
        <x:v>0</x:v>
      </x:c>
      <x:c r="E98" s="2"/>
      <x:c r="F98" s="10"/>
      <x:c r="G98" s="10"/>
      <x:c r="H98" s="10"/>
      <x:c r="I98" s="10"/>
      <x:c r="J98" s="10"/>
      <x:c r="K98" s="2"/>
      <x:c r="L98" s="2"/>
      <x:c r="M98" s="2"/>
      <x:c r="N98" s="2"/>
      <x:c r="O98" s="2"/>
      <x:c r="P98" s="2"/>
      <x:c r="Q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21" customHeight="1">
      <x:c r="A100" s="2"/>
      <x:c r="B100" s="2"/>
      <x:c r="C100" s="13" t="str">
        <x:v>Remaining newbuild payment multiplier</x:v>
      </x:c>
      <x:c r="D100" s="21" t="n">
        <x:f>IF(ISNUMBER(CHOOSE($D$5,D101,D102,D103)),CHOOSE($D$5,D101,D102,D103),NA())</x:f>
        <x:v>1</x:v>
      </x:c>
      <x:c r="E100" s="13" t="str">
        <x:v>multiple</x:v>
      </x:c>
      <x:c r="F100" s="10" t="str">
        <x:v>Base allocation of June remaining commitments evenly across five hulls; three future hulls remain.</x:v>
      </x:c>
      <x:c r="G100" s="10"/>
      <x:c r="H100" s="10"/>
      <x:c r="I100" s="10"/>
      <x:c r="J100" s="10"/>
      <x:c r="K100" s="2"/>
      <x:c r="L100" s="2"/>
      <x:c r="M100" s="2"/>
      <x:c r="N100" s="2"/>
      <x:c r="O100" s="2"/>
      <x:c r="P100" s="2"/>
      <x:c r="Q100" s="2"/>
    </x:row>
    <x:row r="101" ht="21" customHeight="1">
      <x:c r="A101" s="2"/>
      <x:c r="B101" s="2"/>
      <x:c r="C101" s="2" t="str">
        <x:v>Bear</x:v>
      </x:c>
      <x:c r="D101" s="22" t="n">
        <x:v>1.2</x:v>
      </x:c>
      <x:c r="E101" s="2"/>
      <x:c r="F101" s="10"/>
      <x:c r="G101" s="10"/>
      <x:c r="H101" s="10"/>
      <x:c r="I101" s="10"/>
      <x:c r="J101" s="10"/>
      <x:c r="K101" s="2"/>
      <x:c r="L101" s="2"/>
      <x:c r="M101" s="2"/>
      <x:c r="N101" s="2"/>
      <x:c r="O101" s="2"/>
      <x:c r="P101" s="2"/>
      <x:c r="Q101" s="2"/>
    </x:row>
    <x:row r="102" ht="21" customHeight="1">
      <x:c r="A102" s="2"/>
      <x:c r="B102" s="2"/>
      <x:c r="C102" s="2" t="str">
        <x:v>Base</x:v>
      </x:c>
      <x:c r="D102" s="22" t="n">
        <x:v>1</x:v>
      </x:c>
      <x:c r="E102" s="2"/>
      <x:c r="F102" s="10"/>
      <x:c r="G102" s="10"/>
      <x:c r="H102" s="10"/>
      <x:c r="I102" s="10"/>
      <x:c r="J102" s="10"/>
      <x:c r="K102" s="2"/>
      <x:c r="L102" s="2"/>
      <x:c r="M102" s="2"/>
      <x:c r="N102" s="2"/>
      <x:c r="O102" s="2"/>
      <x:c r="P102" s="2"/>
      <x:c r="Q102" s="2"/>
    </x:row>
    <x:row r="103" ht="21" customHeight="1">
      <x:c r="A103" s="2"/>
      <x:c r="B103" s="2"/>
      <x:c r="C103" s="2" t="str">
        <x:v>Bull</x:v>
      </x:c>
      <x:c r="D103" s="22" t="n">
        <x:v>0.8</x:v>
      </x:c>
      <x:c r="E103" s="2"/>
      <x:c r="F103" s="10"/>
      <x:c r="G103" s="10"/>
      <x:c r="H103" s="10"/>
      <x:c r="I103" s="10"/>
      <x:c r="J103" s="10"/>
      <x:c r="K103" s="2"/>
      <x:c r="L103" s="2"/>
      <x:c r="M103" s="2"/>
      <x:c r="N103" s="2"/>
      <x:c r="O103" s="2"/>
      <x:c r="P103" s="2"/>
      <x:c r="Q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21" customHeight="1">
      <x:c r="A105" s="2"/>
      <x:c r="B105" s="2"/>
      <x:c r="C105" s="13" t="str">
        <x:v>Other net claims</x:v>
      </x:c>
      <x:c r="D105" s="17" t="n">
        <x:f>IF(ISNUMBER(CHOOSE($D$5,D106,D107,D108)),CHOOSE($D$5,D106,D107,D108),NA())</x:f>
        <x:v>5693000</x:v>
      </x:c>
      <x:c r="E105" s="13" t="str">
        <x:v>USD</x:v>
      </x:c>
      <x:c r="F105" s="10" t="str">
        <x:v>Base subtracts June operating lease liabilities; other claims remain unmodeled.</x:v>
      </x:c>
      <x:c r="G105" s="10"/>
      <x:c r="H105" s="10"/>
      <x:c r="I105" s="10"/>
      <x:c r="J105" s="10"/>
      <x:c r="K105" s="2"/>
      <x:c r="L105" s="2"/>
      <x:c r="M105" s="2"/>
      <x:c r="N105" s="2"/>
      <x:c r="O105" s="2"/>
      <x:c r="P105" s="2"/>
      <x:c r="Q105" s="2"/>
    </x:row>
    <x:row r="106" ht="21" customHeight="1">
      <x:c r="A106" s="2"/>
      <x:c r="B106" s="2"/>
      <x:c r="C106" s="2" t="str">
        <x:v>Bear</x:v>
      </x:c>
      <x:c r="D106" s="18" t="n">
        <x:v>10000000</x:v>
      </x:c>
      <x:c r="E106" s="2"/>
      <x:c r="F106" s="10"/>
      <x:c r="G106" s="10"/>
      <x:c r="H106" s="10"/>
      <x:c r="I106" s="10"/>
      <x:c r="J106" s="10"/>
      <x:c r="K106" s="2"/>
      <x:c r="L106" s="2"/>
      <x:c r="M106" s="2"/>
      <x:c r="N106" s="2"/>
      <x:c r="O106" s="2"/>
      <x:c r="P106" s="2"/>
      <x:c r="Q106" s="2"/>
    </x:row>
    <x:row r="107" ht="21" customHeight="1">
      <x:c r="A107" s="2"/>
      <x:c r="B107" s="2"/>
      <x:c r="C107" s="2" t="str">
        <x:v>Base</x:v>
      </x:c>
      <x:c r="D107" s="18" t="n">
        <x:v>5693000</x:v>
      </x:c>
      <x:c r="E107" s="2"/>
      <x:c r="F107" s="10"/>
      <x:c r="G107" s="10"/>
      <x:c r="H107" s="10"/>
      <x:c r="I107" s="10"/>
      <x:c r="J107" s="10"/>
      <x:c r="K107" s="2"/>
      <x:c r="L107" s="2"/>
      <x:c r="M107" s="2"/>
      <x:c r="N107" s="2"/>
      <x:c r="O107" s="2"/>
      <x:c r="P107" s="2"/>
      <x:c r="Q107" s="2"/>
    </x:row>
    <x:row r="108" ht="21" customHeight="1">
      <x:c r="A108" s="2"/>
      <x:c r="B108" s="2"/>
      <x:c r="C108" s="2" t="str">
        <x:v>Bull</x:v>
      </x:c>
      <x:c r="D108" s="18" t="n">
        <x:v>0</x:v>
      </x:c>
      <x:c r="E108" s="2"/>
      <x:c r="F108" s="10"/>
      <x:c r="G108" s="10"/>
      <x:c r="H108" s="10"/>
      <x:c r="I108" s="10"/>
      <x:c r="J108" s="10"/>
      <x:c r="K108" s="2"/>
      <x:c r="L108" s="2"/>
      <x:c r="M108" s="2"/>
      <x:c r="N108" s="2"/>
      <x:c r="O108" s="2"/>
      <x:c r="P108" s="2"/>
      <x:c r="Q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21" customHeight="1">
      <x:c r="A110" s="2"/>
      <x:c r="B110" s="2"/>
      <x:c r="C110" s="13" t="str">
        <x:v>Overhead retained until last retirement</x:v>
      </x:c>
      <x:c r="D110" s="19" t="n">
        <x:f>IF(ISNUMBER(CHOOSE($D$5,D111,D112,D113)),CHOOSE($D$5,D111,D112,D113),NA())</x:f>
        <x:v>0.25</x:v>
      </x:c>
      <x:c r="E110" s="13" t="str">
        <x:v>fraction</x:v>
      </x:c>
      <x:c r="F110" s="10" t="str">
        <x:v>Fraction of overhead remains fixed while any fleet operates; rest declines with owned days.</x:v>
      </x:c>
      <x:c r="G110" s="10"/>
      <x:c r="H110" s="10"/>
      <x:c r="I110" s="10"/>
      <x:c r="J110" s="10"/>
      <x:c r="K110" s="2"/>
      <x:c r="L110" s="2"/>
      <x:c r="M110" s="2"/>
      <x:c r="N110" s="2"/>
      <x:c r="O110" s="2"/>
      <x:c r="P110" s="2"/>
      <x:c r="Q110" s="2"/>
    </x:row>
    <x:row r="111" ht="21" customHeight="1">
      <x:c r="A111" s="2"/>
      <x:c r="B111" s="2"/>
      <x:c r="C111" s="2" t="str">
        <x:v>Bear</x:v>
      </x:c>
      <x:c r="D111" s="20" t="n">
        <x:v>0.5</x:v>
      </x:c>
      <x:c r="E111" s="2"/>
      <x:c r="F111" s="10"/>
      <x:c r="G111" s="10"/>
      <x:c r="H111" s="10"/>
      <x:c r="I111" s="10"/>
      <x:c r="J111" s="10"/>
      <x:c r="K111" s="2"/>
      <x:c r="L111" s="2"/>
      <x:c r="M111" s="2"/>
      <x:c r="N111" s="2"/>
      <x:c r="O111" s="2"/>
      <x:c r="P111" s="2"/>
      <x:c r="Q111" s="2"/>
    </x:row>
    <x:row r="112" ht="21" customHeight="1">
      <x:c r="A112" s="2"/>
      <x:c r="B112" s="2"/>
      <x:c r="C112" s="2" t="str">
        <x:v>Base</x:v>
      </x:c>
      <x:c r="D112" s="20" t="n">
        <x:v>0.25</x:v>
      </x:c>
      <x:c r="E112" s="2"/>
      <x:c r="F112" s="10"/>
      <x:c r="G112" s="10"/>
      <x:c r="H112" s="10"/>
      <x:c r="I112" s="10"/>
      <x:c r="J112" s="10"/>
      <x:c r="K112" s="2"/>
      <x:c r="L112" s="2"/>
      <x:c r="M112" s="2"/>
      <x:c r="N112" s="2"/>
      <x:c r="O112" s="2"/>
      <x:c r="P112" s="2"/>
      <x:c r="Q112" s="2"/>
    </x:row>
    <x:row r="113" ht="21" customHeight="1">
      <x:c r="A113" s="2"/>
      <x:c r="B113" s="2"/>
      <x:c r="C113" s="2" t="str">
        <x:v>Bull</x:v>
      </x:c>
      <x:c r="D113" s="20" t="n">
        <x:v>0.1</x:v>
      </x:c>
      <x:c r="E113" s="2"/>
      <x:c r="F113" s="10"/>
      <x:c r="G113" s="10"/>
      <x:c r="H113" s="10"/>
      <x:c r="I113" s="10"/>
      <x:c r="J113" s="10"/>
      <x:c r="K113" s="2"/>
      <x:c r="L113" s="2"/>
      <x:c r="M113" s="2"/>
      <x:c r="N113" s="2"/>
      <x:c r="O113" s="2"/>
      <x:c r="P113" s="2"/>
      <x:c r="Q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1" customHeight="1">
      <x:c r="A115" s="2"/>
      <x:c r="B115" s="2"/>
      <x:c r="C115" s="13" t="str">
        <x:v>Additional share dilution</x:v>
      </x:c>
      <x:c r="D115" s="17" t="n">
        <x:f>IF(ISNUMBER(CHOOSE($D$5,D116,D117,D118)),CHOOSE($D$5,D116,D117,D118),NA())</x:f>
        <x:v>0</x:v>
      </x:c>
      <x:c r="E115" s="13" t="str">
        <x:v>shares</x:v>
      </x:c>
      <x:c r="F115" s="10" t="str">
        <x:v>Separate from completed September issuance; not weighted-average EPS shares.</x:v>
      </x:c>
      <x:c r="G115" s="10"/>
      <x:c r="H115" s="10"/>
      <x:c r="I115" s="10"/>
      <x:c r="J115" s="10"/>
      <x:c r="K115" s="2"/>
      <x:c r="L115" s="2"/>
      <x:c r="M115" s="2"/>
      <x:c r="N115" s="2"/>
      <x:c r="O115" s="2"/>
      <x:c r="P115" s="2"/>
      <x:c r="Q115" s="2"/>
    </x:row>
    <x:row r="116" ht="21" customHeight="1">
      <x:c r="A116" s="2"/>
      <x:c r="B116" s="2"/>
      <x:c r="C116" s="2" t="str">
        <x:v>Bear</x:v>
      </x:c>
      <x:c r="D116" s="18" t="n">
        <x:v>1000000</x:v>
      </x:c>
      <x:c r="E116" s="2"/>
      <x:c r="F116" s="10"/>
      <x:c r="G116" s="10"/>
      <x:c r="H116" s="10"/>
      <x:c r="I116" s="10"/>
      <x:c r="J116" s="10"/>
      <x:c r="K116" s="2"/>
      <x:c r="L116" s="2"/>
      <x:c r="M116" s="2"/>
      <x:c r="N116" s="2"/>
      <x:c r="O116" s="2"/>
      <x:c r="P116" s="2"/>
      <x:c r="Q116" s="2"/>
    </x:row>
    <x:row r="117" ht="21" customHeight="1">
      <x:c r="A117" s="2"/>
      <x:c r="B117" s="2"/>
      <x:c r="C117" s="2" t="str">
        <x:v>Base</x:v>
      </x:c>
      <x:c r="D117" s="18" t="n">
        <x:v>0</x:v>
      </x:c>
      <x:c r="E117" s="2"/>
      <x:c r="F117" s="10"/>
      <x:c r="G117" s="10"/>
      <x:c r="H117" s="10"/>
      <x:c r="I117" s="10"/>
      <x:c r="J117" s="10"/>
      <x:c r="K117" s="2"/>
      <x:c r="L117" s="2"/>
      <x:c r="M117" s="2"/>
      <x:c r="N117" s="2"/>
      <x:c r="O117" s="2"/>
      <x:c r="P117" s="2"/>
      <x:c r="Q117" s="2"/>
    </x:row>
    <x:row r="118" ht="21" customHeight="1">
      <x:c r="A118" s="2"/>
      <x:c r="B118" s="2"/>
      <x:c r="C118" s="2" t="str">
        <x:v>Bull</x:v>
      </x:c>
      <x:c r="D118" s="18" t="n">
        <x:v>0</x:v>
      </x:c>
      <x:c r="E118" s="2"/>
      <x:c r="F118" s="10"/>
      <x:c r="G118" s="10"/>
      <x:c r="H118" s="10"/>
      <x:c r="I118" s="10"/>
      <x:c r="J118" s="10"/>
      <x:c r="K118" s="2"/>
      <x:c r="L118" s="2"/>
      <x:c r="M118" s="2"/>
      <x:c r="N118" s="2"/>
      <x:c r="O118" s="2"/>
      <x:c r="P118" s="2"/>
      <x:c r="Q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1" customHeight="1">
      <x:c r="A120" s="2"/>
      <x:c r="B120" s="2"/>
      <x:c r="C120" s="13" t="str">
        <x:v>Hypothetical additional ATM gross proceeds</x:v>
      </x:c>
      <x:c r="D120" s="17" t="n">
        <x:f>IF(ISNUMBER(CHOOSE($D$5,D121,D122,D123)),CHOOSE($D$5,D121,D122,D123),NA())</x:f>
        <x:v>0</x:v>
      </x:c>
      <x:c r="E120" s="13" t="str">
        <x:v>USD</x:v>
      </x:c>
      <x:c r="F120" s="10" t="str">
        <x:v>Default undrawn. Both disclosed programs total $116.37111m; issuance adds cash net fees and shares at market price.</x:v>
      </x:c>
      <x:c r="G120" s="10"/>
      <x:c r="H120" s="10"/>
      <x:c r="I120" s="10"/>
      <x:c r="J120" s="10"/>
      <x:c r="K120" s="2"/>
      <x:c r="L120" s="2"/>
      <x:c r="M120" s="2"/>
      <x:c r="N120" s="2"/>
      <x:c r="O120" s="2"/>
      <x:c r="P120" s="2"/>
      <x:c r="Q120" s="2"/>
    </x:row>
    <x:row r="121" ht="21" customHeight="1">
      <x:c r="A121" s="2"/>
      <x:c r="B121" s="2"/>
      <x:c r="C121" s="2" t="str">
        <x:v>Bear</x:v>
      </x:c>
      <x:c r="D121" s="18" t="n">
        <x:v>0</x:v>
      </x:c>
      <x:c r="E121" s="2"/>
      <x:c r="F121" s="10"/>
      <x:c r="G121" s="10"/>
      <x:c r="H121" s="10"/>
      <x:c r="I121" s="10"/>
      <x:c r="J121" s="10"/>
      <x:c r="K121" s="2"/>
      <x:c r="L121" s="2"/>
      <x:c r="M121" s="2"/>
      <x:c r="N121" s="2"/>
      <x:c r="O121" s="2"/>
      <x:c r="P121" s="2"/>
      <x:c r="Q121" s="2"/>
    </x:row>
    <x:row r="122" ht="21" customHeight="1">
      <x:c r="A122" s="2"/>
      <x:c r="B122" s="2"/>
      <x:c r="C122" s="2" t="str">
        <x:v>Base</x:v>
      </x:c>
      <x:c r="D122" s="18" t="n">
        <x:v>0</x:v>
      </x:c>
      <x:c r="E122" s="2"/>
      <x:c r="F122" s="10"/>
      <x:c r="G122" s="10"/>
      <x:c r="H122" s="10"/>
      <x:c r="I122" s="10"/>
      <x:c r="J122" s="10"/>
      <x:c r="K122" s="2"/>
      <x:c r="L122" s="2"/>
      <x:c r="M122" s="2"/>
      <x:c r="N122" s="2"/>
      <x:c r="O122" s="2"/>
      <x:c r="P122" s="2"/>
      <x:c r="Q122" s="2"/>
    </x:row>
    <x:row r="123" ht="21" customHeight="1">
      <x:c r="A123" s="2"/>
      <x:c r="B123" s="2"/>
      <x:c r="C123" s="2" t="str">
        <x:v>Bull</x:v>
      </x:c>
      <x:c r="D123" s="18" t="n">
        <x:v>0</x:v>
      </x:c>
      <x:c r="E123" s="2"/>
      <x:c r="F123" s="10"/>
      <x:c r="G123" s="10"/>
      <x:c r="H123" s="10"/>
      <x:c r="I123" s="10"/>
      <x:c r="J123" s="10"/>
      <x:c r="K123" s="2"/>
      <x:c r="L123" s="2"/>
      <x:c r="M123" s="2"/>
      <x:c r="N123" s="2"/>
      <x:c r="O123" s="2"/>
      <x:c r="P123" s="2"/>
      <x:c r="Q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21" customHeight="1">
      <x:c r="A125" s="2"/>
      <x:c r="B125" s="2"/>
      <x:c r="C125" s="13" t="str">
        <x:v>ATM fee assumption</x:v>
      </x:c>
      <x:c r="D125" s="19" t="n">
        <x:f>IF(ISNUMBER(CHOOSE($D$5,D126,D127,D128)),CHOOSE($D$5,D126,D127,D128),NA())</x:f>
        <x:v>0.02</x:v>
      </x:c>
      <x:c r="E125" s="13" t="str">
        <x:v>fraction</x:v>
      </x:c>
      <x:c r="F125" s="10" t="str">
        <x:v>Illustrative all-in issuance cost, not an observed completed transaction.</x:v>
      </x:c>
      <x:c r="G125" s="10"/>
      <x:c r="H125" s="10"/>
      <x:c r="I125" s="10"/>
      <x:c r="J125" s="10"/>
      <x:c r="K125" s="2"/>
      <x:c r="L125" s="2"/>
      <x:c r="M125" s="2"/>
      <x:c r="N125" s="2"/>
      <x:c r="O125" s="2"/>
      <x:c r="P125" s="2"/>
      <x:c r="Q125" s="2"/>
    </x:row>
    <x:row r="126" ht="21" customHeight="1">
      <x:c r="A126" s="2"/>
      <x:c r="B126" s="2"/>
      <x:c r="C126" s="2" t="str">
        <x:v>Bear</x:v>
      </x:c>
      <x:c r="D126" s="20" t="n">
        <x:v>0.02</x:v>
      </x:c>
      <x:c r="E126" s="2"/>
      <x:c r="F126" s="10"/>
      <x:c r="G126" s="10"/>
      <x:c r="H126" s="10"/>
      <x:c r="I126" s="10"/>
      <x:c r="J126" s="10"/>
      <x:c r="K126" s="2"/>
      <x:c r="L126" s="2"/>
      <x:c r="M126" s="2"/>
      <x:c r="N126" s="2"/>
      <x:c r="O126" s="2"/>
      <x:c r="P126" s="2"/>
      <x:c r="Q126" s="2"/>
    </x:row>
    <x:row r="127" ht="21" customHeight="1">
      <x:c r="A127" s="2"/>
      <x:c r="B127" s="2"/>
      <x:c r="C127" s="2" t="str">
        <x:v>Base</x:v>
      </x:c>
      <x:c r="D127" s="20" t="n">
        <x:v>0.02</x:v>
      </x:c>
      <x:c r="E127" s="2"/>
      <x:c r="F127" s="10"/>
      <x:c r="G127" s="10"/>
      <x:c r="H127" s="10"/>
      <x:c r="I127" s="10"/>
      <x:c r="J127" s="10"/>
      <x:c r="K127" s="2"/>
      <x:c r="L127" s="2"/>
      <x:c r="M127" s="2"/>
      <x:c r="N127" s="2"/>
      <x:c r="O127" s="2"/>
      <x:c r="P127" s="2"/>
      <x:c r="Q127" s="2"/>
    </x:row>
    <x:row r="128" ht="21" customHeight="1">
      <x:c r="A128" s="2"/>
      <x:c r="B128" s="2"/>
      <x:c r="C128" s="2" t="str">
        <x:v>Bull</x:v>
      </x:c>
      <x:c r="D128" s="20" t="n">
        <x:v>0.02</x:v>
      </x:c>
      <x:c r="E128" s="2"/>
      <x:c r="F128" s="10"/>
      <x:c r="G128" s="10"/>
      <x:c r="H128" s="10"/>
      <x:c r="I128" s="10"/>
      <x:c r="J128" s="10"/>
      <x:c r="K128" s="2"/>
      <x:c r="L128" s="2"/>
      <x:c r="M128" s="2"/>
      <x:c r="N128" s="2"/>
      <x:c r="O128" s="2"/>
      <x:c r="P128" s="2"/>
      <x:c r="Q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21" customHeight="1">
      <x:c r="A130" s="2"/>
      <x:c r="B130" s="2"/>
      <x:c r="C130" s="13" t="str">
        <x:v>Fixed-charter share</x:v>
      </x:c>
      <x:c r="D130" s="19" t="n">
        <x:f>IF(ISNUMBER(CHOOSE($D$5,D131,D132,D133)),CHOOSE($D$5,D131,D132,D133),NA())</x:f>
        <x:v>0.1</x:v>
      </x:c>
      <x:c r="E130" s="13" t="str">
        <x:v>fraction</x:v>
      </x:c>
      <x:c r="F130" s="10" t="str">
        <x:v>Approximate fixed-rate coverage; no full vessel charter book reconstruction.</x:v>
      </x:c>
      <x:c r="G130" s="10"/>
      <x:c r="H130" s="10"/>
      <x:c r="I130" s="10"/>
      <x:c r="J130" s="10"/>
      <x:c r="K130" s="2"/>
      <x:c r="L130" s="2"/>
      <x:c r="M130" s="2"/>
      <x:c r="N130" s="2"/>
      <x:c r="O130" s="2"/>
      <x:c r="P130" s="2"/>
      <x:c r="Q130" s="2"/>
    </x:row>
    <x:row r="131" ht="21" customHeight="1">
      <x:c r="A131" s="2"/>
      <x:c r="B131" s="2"/>
      <x:c r="C131" s="2" t="str">
        <x:v>Bear</x:v>
      </x:c>
      <x:c r="D131" s="20" t="n">
        <x:v>0.15</x:v>
      </x:c>
      <x:c r="E131" s="2"/>
      <x:c r="F131" s="10"/>
      <x:c r="G131" s="10"/>
      <x:c r="H131" s="10"/>
      <x:c r="I131" s="10"/>
      <x:c r="J131" s="10"/>
      <x:c r="K131" s="2"/>
      <x:c r="L131" s="2"/>
      <x:c r="M131" s="2"/>
      <x:c r="N131" s="2"/>
      <x:c r="O131" s="2"/>
      <x:c r="P131" s="2"/>
      <x:c r="Q131" s="2"/>
    </x:row>
    <x:row r="132" ht="21" customHeight="1">
      <x:c r="A132" s="2"/>
      <x:c r="B132" s="2"/>
      <x:c r="C132" s="2" t="str">
        <x:v>Base</x:v>
      </x:c>
      <x:c r="D132" s="20" t="n">
        <x:v>0.1</x:v>
      </x:c>
      <x:c r="E132" s="2"/>
      <x:c r="F132" s="10"/>
      <x:c r="G132" s="10"/>
      <x:c r="H132" s="10"/>
      <x:c r="I132" s="10"/>
      <x:c r="J132" s="10"/>
      <x:c r="K132" s="2"/>
      <x:c r="L132" s="2"/>
      <x:c r="M132" s="2"/>
      <x:c r="N132" s="2"/>
      <x:c r="O132" s="2"/>
      <x:c r="P132" s="2"/>
      <x:c r="Q132" s="2"/>
    </x:row>
    <x:row r="133" ht="21" customHeight="1">
      <x:c r="A133" s="2"/>
      <x:c r="B133" s="2"/>
      <x:c r="C133" s="2" t="str">
        <x:v>Bull</x:v>
      </x:c>
      <x:c r="D133" s="20" t="n">
        <x:v>0.05</x:v>
      </x:c>
      <x:c r="E133" s="2"/>
      <x:c r="F133" s="10"/>
      <x:c r="G133" s="10"/>
      <x:c r="H133" s="10"/>
      <x:c r="I133" s="10"/>
      <x:c r="J133" s="10"/>
      <x:c r="K133" s="2"/>
      <x:c r="L133" s="2"/>
      <x:c r="M133" s="2"/>
      <x:c r="N133" s="2"/>
      <x:c r="O133" s="2"/>
      <x:c r="P133" s="2"/>
      <x:c r="Q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21" customHeight="1">
      <x:c r="A135" s="2"/>
      <x:c r="B135" s="2"/>
      <x:c r="C135" s="13" t="str">
        <x:v>Fixed-charter TCE</x:v>
      </x:c>
      <x:c r="D135" s="17" t="n">
        <x:f>IF(ISNUMBER(CHOOSE($D$5,D136,D137,D138)),CHOOSE($D$5,D136,D137,D138),NA())</x:f>
        <x:v>24000</x:v>
      </x:c>
      <x:c r="E135" s="13" t="str">
        <x:v>USD/day</x:v>
      </x:c>
      <x:c r="F135" s="10" t="str">
        <x:v>Illustrative fleet-wide fixed TCE applied to the covered share.</x:v>
      </x:c>
      <x:c r="G135" s="10"/>
      <x:c r="H135" s="10"/>
      <x:c r="I135" s="10"/>
      <x:c r="J135" s="10"/>
      <x:c r="K135" s="2"/>
      <x:c r="L135" s="2"/>
      <x:c r="M135" s="2"/>
      <x:c r="N135" s="2"/>
      <x:c r="O135" s="2"/>
      <x:c r="P135" s="2"/>
      <x:c r="Q135" s="2"/>
    </x:row>
    <x:row r="136" ht="21" customHeight="1">
      <x:c r="A136" s="2"/>
      <x:c r="B136" s="2"/>
      <x:c r="C136" s="2" t="str">
        <x:v>Bear</x:v>
      </x:c>
      <x:c r="D136" s="18" t="n">
        <x:v>21000</x:v>
      </x:c>
      <x:c r="E136" s="2"/>
      <x:c r="F136" s="10"/>
      <x:c r="G136" s="10"/>
      <x:c r="H136" s="10"/>
      <x:c r="I136" s="10"/>
      <x:c r="J136" s="10"/>
      <x:c r="K136" s="2"/>
      <x:c r="L136" s="2"/>
      <x:c r="M136" s="2"/>
      <x:c r="N136" s="2"/>
      <x:c r="O136" s="2"/>
      <x:c r="P136" s="2"/>
      <x:c r="Q136" s="2"/>
    </x:row>
    <x:row r="137" ht="21" customHeight="1">
      <x:c r="A137" s="2"/>
      <x:c r="B137" s="2"/>
      <x:c r="C137" s="2" t="str">
        <x:v>Base</x:v>
      </x:c>
      <x:c r="D137" s="18" t="n">
        <x:v>24000</x:v>
      </x:c>
      <x:c r="E137" s="2"/>
      <x:c r="F137" s="10"/>
      <x:c r="G137" s="10"/>
      <x:c r="H137" s="10"/>
      <x:c r="I137" s="10"/>
      <x:c r="J137" s="10"/>
      <x:c r="K137" s="2"/>
      <x:c r="L137" s="2"/>
      <x:c r="M137" s="2"/>
      <x:c r="N137" s="2"/>
      <x:c r="O137" s="2"/>
      <x:c r="P137" s="2"/>
      <x:c r="Q137" s="2"/>
    </x:row>
    <x:row r="138" ht="21" customHeight="1">
      <x:c r="A138" s="2"/>
      <x:c r="B138" s="2"/>
      <x:c r="C138" s="2" t="str">
        <x:v>Bull</x:v>
      </x:c>
      <x:c r="D138" s="18" t="n">
        <x:v>27000</x:v>
      </x:c>
      <x:c r="E138" s="2"/>
      <x:c r="F138" s="10"/>
      <x:c r="G138" s="10"/>
      <x:c r="H138" s="10"/>
      <x:c r="I138" s="10"/>
      <x:c r="J138" s="10"/>
      <x:c r="K138" s="2"/>
      <x:c r="L138" s="2"/>
      <x:c r="M138" s="2"/>
      <x:c r="N138" s="2"/>
      <x:c r="O138" s="2"/>
      <x:c r="P138" s="2"/>
      <x:c r="Q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21" customHeight="1">
      <x:c r="A140" s="2"/>
      <x:c r="B140" s="2"/>
      <x:c r="C140" s="13" t="str">
        <x:v>Operating working capital / annual TCE</x:v>
      </x:c>
      <x:c r="D140" s="19" t="n">
        <x:f>IF(ISNUMBER(CHOOSE($D$5,D141,D142,D143)),CHOOSE($D$5,D141,D142,D143),NA())</x:f>
        <x:v>0.07</x:v>
      </x:c>
      <x:c r="E140" s="13" t="str">
        <x:v>fraction</x:v>
      </x:c>
      <x:c r="F140" s="10" t="str">
        <x:v>Modeled share of annualized TCE revenue; base broadly matches June operating working capital.</x:v>
      </x:c>
      <x:c r="G140" s="10"/>
      <x:c r="H140" s="10"/>
      <x:c r="I140" s="10"/>
      <x:c r="J140" s="10"/>
      <x:c r="K140" s="2"/>
      <x:c r="L140" s="2"/>
      <x:c r="M140" s="2"/>
      <x:c r="N140" s="2"/>
      <x:c r="O140" s="2"/>
      <x:c r="P140" s="2"/>
      <x:c r="Q140" s="2"/>
    </x:row>
    <x:row r="141" ht="21" customHeight="1">
      <x:c r="A141" s="2"/>
      <x:c r="B141" s="2"/>
      <x:c r="C141" s="2" t="str">
        <x:v>Bear</x:v>
      </x:c>
      <x:c r="D141" s="20" t="n">
        <x:v>0.09</x:v>
      </x:c>
      <x:c r="E141" s="2"/>
      <x:c r="F141" s="10"/>
      <x:c r="G141" s="10"/>
      <x:c r="H141" s="10"/>
      <x:c r="I141" s="10"/>
      <x:c r="J141" s="10"/>
      <x:c r="K141" s="2"/>
      <x:c r="L141" s="2"/>
      <x:c r="M141" s="2"/>
      <x:c r="N141" s="2"/>
      <x:c r="O141" s="2"/>
      <x:c r="P141" s="2"/>
      <x:c r="Q141" s="2"/>
    </x:row>
    <x:row r="142" ht="21" customHeight="1">
      <x:c r="A142" s="2"/>
      <x:c r="B142" s="2"/>
      <x:c r="C142" s="2" t="str">
        <x:v>Base</x:v>
      </x:c>
      <x:c r="D142" s="20" t="n">
        <x:v>0.07</x:v>
      </x:c>
      <x:c r="E142" s="2"/>
      <x:c r="F142" s="10"/>
      <x:c r="G142" s="10"/>
      <x:c r="H142" s="10"/>
      <x:c r="I142" s="10"/>
      <x:c r="J142" s="10"/>
      <x:c r="K142" s="2"/>
      <x:c r="L142" s="2"/>
      <x:c r="M142" s="2"/>
      <x:c r="N142" s="2"/>
      <x:c r="O142" s="2"/>
      <x:c r="P142" s="2"/>
      <x:c r="Q142" s="2"/>
    </x:row>
    <x:row r="143" ht="21" customHeight="1">
      <x:c r="A143" s="2"/>
      <x:c r="B143" s="2"/>
      <x:c r="C143" s="2" t="str">
        <x:v>Bull</x:v>
      </x:c>
      <x:c r="D143" s="20" t="n">
        <x:v>0.05</x:v>
      </x:c>
      <x:c r="E143" s="2"/>
      <x:c r="F143" s="10"/>
      <x:c r="G143" s="10"/>
      <x:c r="H143" s="10"/>
      <x:c r="I143" s="10"/>
      <x:c r="J143" s="10"/>
      <x:c r="K143" s="2"/>
      <x:c r="L143" s="2"/>
      <x:c r="M143" s="2"/>
      <x:c r="N143" s="2"/>
      <x:c r="O143" s="2"/>
      <x:c r="P143" s="2"/>
      <x:c r="Q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</x:sheetData>
  <x:mergeCells>
    <x:mergeCell ref="F10:J13"/>
    <x:mergeCell ref="F15:J18"/>
    <x:mergeCell ref="F20:J23"/>
    <x:mergeCell ref="F25:J28"/>
    <x:mergeCell ref="F30:J33"/>
    <x:mergeCell ref="F35:J38"/>
    <x:mergeCell ref="F40:J43"/>
    <x:mergeCell ref="F45:J48"/>
    <x:mergeCell ref="F50:J53"/>
    <x:mergeCell ref="F55:J58"/>
    <x:mergeCell ref="F60:J63"/>
    <x:mergeCell ref="F65:J68"/>
    <x:mergeCell ref="F70:J73"/>
    <x:mergeCell ref="F75:J78"/>
    <x:mergeCell ref="F80:J83"/>
    <x:mergeCell ref="F85:J88"/>
    <x:mergeCell ref="F90:J93"/>
    <x:mergeCell ref="F95:J98"/>
    <x:mergeCell ref="F100:J103"/>
    <x:mergeCell ref="F105:J108"/>
    <x:mergeCell ref="F110:J113"/>
    <x:mergeCell ref="F115:J118"/>
    <x:mergeCell ref="F120:J123"/>
    <x:mergeCell ref="F125:J128"/>
    <x:mergeCell ref="F130:J133"/>
    <x:mergeCell ref="F135:J138"/>
    <x:mergeCell ref="F140:J143"/>
  </x:mergeCells>
  <x:dataValidations count="1">
    <x:dataValidation type="whole" operator="between" sqref="D5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NAV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30" t="str">
        <x:v>Common-equity NAV (USD millions)</x:v>
      </x:c>
      <x:c r="D6" s="30"/>
      <x:c r="E6" s="30"/>
      <x:c r="F6" s="30"/>
      <x:c r="G6" s="30"/>
      <x:c r="H6" s="30"/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Fleet at selected broker-anchored fleet value</x:v>
      </x:c>
      <x:c r="D8" s="37" t="n">
        <x:f>SUM('Fleet'!P7:P50)</x:f>
        <x:v>1488516667</x:v>
      </x:c>
      <x:c r="E8" s="2"/>
      <x:c r="F8" s="8" t="str">
        <x:v>Broker-anchored fleet value multiplier affects vessel values, not cash or debt.</x:v>
      </x:c>
      <x:c r="G8" s="8"/>
      <x:c r="H8" s="8"/>
      <x:c r="I8" s="8"/>
      <x:c r="J8" s="8"/>
      <x:c r="K8" s="2"/>
      <x:c r="L8" s="2"/>
      <x:c r="M8" s="2"/>
      <x:c r="N8" s="2"/>
    </x:row>
    <x:row r="9" ht="21" customHeight="1">
      <x:c r="A9" s="2"/>
      <x:c r="B9" s="2"/>
      <x:c r="C9" s="2"/>
      <x:c r="D9" s="38"/>
      <x:c r="E9" s="2"/>
      <x:c r="F9" s="8"/>
      <x:c r="G9" s="8"/>
      <x:c r="H9" s="8"/>
      <x:c r="I9" s="8"/>
      <x:c r="J9" s="8"/>
      <x:c r="K9" s="2"/>
      <x:c r="L9" s="2"/>
      <x:c r="M9" s="2"/>
      <x:c r="N9" s="2"/>
    </x:row>
    <x:row r="10" ht="21" customHeight="1">
      <x:c r="A10" s="2"/>
      <x:c r="B10" s="2"/>
      <x:c r="C10" s="2"/>
      <x:c r="D10" s="38"/>
      <x:c r="E10" s="2"/>
      <x:c r="F10" s="8"/>
      <x:c r="G10" s="8"/>
      <x:c r="H10" s="8"/>
      <x:c r="I10" s="8"/>
      <x:c r="J10" s="8"/>
      <x:c r="K10" s="2"/>
      <x:c r="L10" s="2"/>
      <x:c r="M10" s="2"/>
      <x:c r="N10" s="2"/>
    </x:row>
    <x:row r="11" ht="21" customHeight="1">
      <x:c r="A11" s="2"/>
      <x:c r="B11" s="2"/>
      <x:c r="C11" s="2" t="str">
        <x:v>Reported unrestricted cash</x:v>
      </x:c>
      <x:c r="D11" s="37" t="n">
        <x:f>'Sources'!$D$7</x:f>
        <x:v>73587000</x:v>
      </x:c>
      <x:c r="E11" s="2"/>
      <x:c r="F11" s="8"/>
      <x:c r="G11" s="8"/>
      <x:c r="H11" s="8"/>
      <x:c r="I11" s="8"/>
      <x:c r="J11" s="8"/>
      <x:c r="K11" s="2"/>
      <x:c r="L11" s="2"/>
      <x:c r="M11" s="2"/>
      <x:c r="N11" s="2"/>
    </x:row>
    <x:row r="12" ht="21" customHeight="1">
      <x:c r="A12" s="2"/>
      <x:c r="B12" s="2"/>
      <x:c r="C12" s="2" t="str">
        <x:v>Completed equity proceeds</x:v>
      </x:c>
      <x:c r="D12" s="37" t="n">
        <x:f>'Sources'!$D$37</x:f>
        <x:v>0</x:v>
      </x:c>
      <x:c r="E12" s="2"/>
      <x:c r="F12" s="8"/>
      <x:c r="G12" s="8"/>
      <x:c r="H12" s="8"/>
      <x:c r="I12" s="8"/>
      <x:c r="J12" s="8"/>
      <x:c r="K12" s="2"/>
      <x:c r="L12" s="2"/>
      <x:c r="M12" s="2"/>
      <x:c r="N12" s="2"/>
    </x:row>
    <x:row r="13" ht="21" customHeight="1">
      <x:c r="A13" s="2"/>
      <x:c r="B13" s="2"/>
      <x:c r="C13" s="2" t="str">
        <x:v>Disclosed dividend paid</x:v>
      </x:c>
      <x:c r="D13" s="37" t="n">
        <x:f>-'Sources'!$D$38</x:f>
        <x:v>-34869284</x:v>
      </x:c>
      <x:c r="E13" s="2"/>
      <x:c r="F13" s="8"/>
      <x:c r="G13" s="8"/>
      <x:c r="H13" s="8"/>
      <x:c r="I13" s="8"/>
      <x:c r="J13" s="8"/>
      <x:c r="K13" s="2"/>
      <x:c r="L13" s="2"/>
      <x:c r="M13" s="2"/>
      <x:c r="N13" s="2"/>
    </x:row>
    <x:row r="14" ht="21" customHeight="1">
      <x:c r="A14" s="2"/>
      <x:c r="B14" s="2"/>
      <x:c r="C14" s="2" t="str">
        <x:v>Disclosed debt payments</x:v>
      </x:c>
      <x:c r="D14" s="37" t="n">
        <x:f>-'Sources'!$D$39</x:f>
        <x:v>50000000</x:v>
      </x:c>
      <x:c r="E14" s="2"/>
      <x:c r="F14" s="8"/>
      <x:c r="G14" s="8"/>
      <x:c r="H14" s="8"/>
      <x:c r="I14" s="8"/>
      <x:c r="J14" s="8"/>
      <x:c r="K14" s="2"/>
      <x:c r="L14" s="2"/>
      <x:c r="M14" s="2"/>
      <x:c r="N14" s="2"/>
    </x:row>
    <x:row r="15" ht="21" customHeight="1">
      <x:c r="A15" s="2"/>
      <x:c r="B15" s="2"/>
      <x:c r="C15" s="2" t="str">
        <x:v>Estimated other net cash change</x:v>
      </x:c>
      <x:c r="D15" s="37" t="n">
        <x:f>'Assumptions'!$D$95</x:f>
        <x:v>-25000000</x:v>
      </x:c>
      <x:c r="E15" s="2"/>
      <x:c r="F15" s="8" t="str">
        <x:v>Estimated residual includes operations, sales, delivery spending and restricted-cash release.</x:v>
      </x:c>
      <x:c r="G15" s="8"/>
      <x:c r="H15" s="8"/>
      <x:c r="I15" s="8"/>
      <x:c r="J15" s="8"/>
      <x:c r="K15" s="2"/>
      <x:c r="L15" s="2"/>
      <x:c r="M15" s="2"/>
      <x:c r="N15" s="2"/>
    </x:row>
    <x:row r="16" ht="21" customHeight="1">
      <x:c r="A16" s="2"/>
      <x:c r="B16" s="2"/>
      <x:c r="C16" s="2" t="str">
        <x:v>Hypothetical ATM net proceeds</x:v>
      </x:c>
      <x:c r="D16" s="37" t="n">
        <x:f>'Assumptions'!$D$120*(1-'Assumptions'!$D$125)</x:f>
        <x:v>0</x:v>
      </x:c>
      <x:c r="E16" s="2"/>
      <x:c r="F16" s="8"/>
      <x:c r="G16" s="8"/>
      <x:c r="H16" s="8"/>
      <x:c r="I16" s="8"/>
      <x:c r="J16" s="8"/>
      <x:c r="K16" s="2"/>
      <x:c r="L16" s="2"/>
      <x:c r="M16" s="2"/>
      <x:c r="N16" s="2"/>
    </x:row>
    <x:row r="17" ht="21" customHeight="1">
      <x:c r="A17" s="2"/>
      <x:c r="B17" s="2"/>
      <x:c r="C17" s="2" t="str">
        <x:v>Estimated valuation-date cash</x:v>
      </x:c>
      <x:c r="D17" s="39" t="n">
        <x:f>SUM(D11:D16)</x:f>
        <x:v>63717716</x:v>
      </x:c>
      <x:c r="E17" s="2"/>
      <x:c r="F17" s="8"/>
      <x:c r="G17" s="8"/>
      <x:c r="H17" s="8"/>
      <x:c r="I17" s="8"/>
      <x:c r="J17" s="8"/>
      <x:c r="K17" s="2"/>
      <x:c r="L17" s="2"/>
      <x:c r="M17" s="2"/>
      <x:c r="N17" s="2"/>
    </x:row>
    <x:row r="18" ht="21" customHeight="1">
      <x:c r="A18" s="2"/>
      <x:c r="B18" s="2"/>
      <x:c r="C18" s="2"/>
      <x:c r="D18" s="38"/>
      <x:c r="E18" s="2"/>
      <x:c r="F18" s="8"/>
      <x:c r="G18" s="8"/>
      <x:c r="H18" s="8"/>
      <x:c r="I18" s="8"/>
      <x:c r="J18" s="8"/>
      <x:c r="K18" s="2"/>
      <x:c r="L18" s="2"/>
      <x:c r="M18" s="2"/>
      <x:c r="N18" s="2"/>
    </x:row>
    <x:row r="19" ht="21" customHeight="1">
      <x:c r="A19" s="2"/>
      <x:c r="B19" s="2"/>
      <x:c r="C19" s="2"/>
      <x:c r="D19" s="38"/>
      <x:c r="E19" s="2"/>
      <x:c r="F19" s="8"/>
      <x:c r="G19" s="8"/>
      <x:c r="H19" s="8"/>
      <x:c r="I19" s="8"/>
      <x:c r="J19" s="8"/>
      <x:c r="K19" s="2"/>
      <x:c r="L19" s="2"/>
      <x:c r="M19" s="2"/>
      <x:c r="N19" s="2"/>
    </x:row>
    <x:row r="20" ht="21" customHeight="1">
      <x:c r="A20" s="2"/>
      <x:c r="B20" s="2"/>
      <x:c r="C20" s="2" t="str">
        <x:v>Gross financial debt</x:v>
      </x:c>
      <x:c r="D20" s="37" t="n">
        <x:f>'Sources'!$D$9+'Sources'!$D$10-'Sources'!$D$39</x:f>
        <x:v>380000000</x:v>
      </x:c>
      <x:c r="E20" s="2"/>
      <x:c r="F20" s="8" t="str">
        <x:v>Includes finance leases. Adds back June unamortized issuance costs before repayments.</x:v>
      </x:c>
      <x:c r="G20" s="8"/>
      <x:c r="H20" s="8"/>
      <x:c r="I20" s="8"/>
      <x:c r="J20" s="8"/>
      <x:c r="K20" s="2"/>
      <x:c r="L20" s="2"/>
      <x:c r="M20" s="2"/>
      <x:c r="N20" s="2"/>
    </x:row>
    <x:row r="21" ht="21" customHeight="1">
      <x:c r="A21" s="2"/>
      <x:c r="B21" s="2"/>
      <x:c r="C21" s="2" t="str">
        <x:v>Other net claims</x:v>
      </x:c>
      <x:c r="D21" s="37" t="n">
        <x:f>'Assumptions'!$D$105</x:f>
        <x:v>5693000</x:v>
      </x:c>
      <x:c r="E21" s="2"/>
      <x:c r="F21" s="8"/>
      <x:c r="G21" s="8"/>
      <x:c r="H21" s="8"/>
      <x:c r="I21" s="8"/>
      <x:c r="J21" s="8"/>
      <x:c r="K21" s="2"/>
      <x:c r="L21" s="2"/>
      <x:c r="M21" s="2"/>
      <x:c r="N21" s="2"/>
    </x:row>
    <x:row r="22" ht="21" customHeight="1">
      <x:c r="A22" s="2"/>
      <x:c r="B22" s="2"/>
      <x:c r="C22" s="2" t="str">
        <x:v>Remaining newbuild payments</x:v>
      </x:c>
      <x:c r="D22" s="37" t="n">
        <x:f>SUM('Fleet'!Q7:Q50)</x:f>
        <x:v>0</x:v>
      </x:c>
      <x:c r="E22" s="2"/>
      <x:c r="F22" s="8" t="str">
        <x:v>Full vessel value less remaining payments; deposits are not added a second time.</x:v>
      </x:c>
      <x:c r="G22" s="8"/>
      <x:c r="H22" s="8"/>
      <x:c r="I22" s="8"/>
      <x:c r="J22" s="8"/>
      <x:c r="K22" s="2"/>
      <x:c r="L22" s="2"/>
      <x:c r="M22" s="2"/>
      <x:c r="N22" s="2"/>
    </x:row>
    <x:row r="23" ht="21" customHeight="1">
      <x:c r="A23" s="2"/>
      <x:c r="B23" s="2"/>
      <x:c r="C23" s="2" t="str">
        <x:v>Operating working capital proxy</x:v>
      </x:c>
      <x:c r="D23" s="37" t="n">
        <x:f>'Sources'!$D$45</x:f>
        <x:v>16848000</x:v>
      </x:c>
      <x:c r="E23" s="2"/>
      <x:c r="F23" s="8"/>
      <x:c r="G23" s="8"/>
      <x:c r="H23" s="8"/>
      <x:c r="I23" s="8"/>
      <x:c r="J23" s="8"/>
      <x:c r="K23" s="2"/>
      <x:c r="L23" s="2"/>
      <x:c r="M23" s="2"/>
      <x:c r="N23" s="2"/>
    </x:row>
    <x:row r="24" ht="21" customHeight="1">
      <x:c r="A24" s="2"/>
      <x:c r="B24" s="2"/>
      <x:c r="C24" s="2"/>
      <x:c r="D24" s="38"/>
      <x:c r="E24" s="2"/>
      <x:c r="F24" s="8"/>
      <x:c r="G24" s="8"/>
      <x:c r="H24" s="8"/>
      <x:c r="I24" s="8"/>
      <x:c r="J24" s="8"/>
      <x:c r="K24" s="2"/>
      <x:c r="L24" s="2"/>
      <x:c r="M24" s="2"/>
      <x:c r="N24" s="2"/>
    </x:row>
    <x:row r="25" ht="21" customHeight="1">
      <x:c r="A25" s="2"/>
      <x:c r="B25" s="2"/>
      <x:c r="C25" s="2" t="str">
        <x:v>Common-equity asset NAV</x:v>
      </x:c>
      <x:c r="D25" s="39" t="n">
        <x:f>D8+D17-D20-D21-D22+D23</x:f>
        <x:v>1183389383</x:v>
      </x:c>
      <x:c r="E25" s="2"/>
      <x:c r="F25" s="8" t="str">
        <x:v>Asset NAV excludes future corporate overhead. DCF includes overhead.</x:v>
      </x:c>
      <x:c r="G25" s="8"/>
      <x:c r="H25" s="8"/>
      <x:c r="I25" s="8"/>
      <x:c r="J25" s="8"/>
      <x:c r="K25" s="2"/>
      <x:c r="L25" s="2"/>
      <x:c r="M25" s="2"/>
      <x:c r="N25" s="2"/>
    </x:row>
    <x:row r="26" ht="21" customHeight="1">
      <x:c r="A26" s="2"/>
      <x:c r="B26" s="2"/>
      <x:c r="C26" s="2"/>
      <x:c r="D26" s="38"/>
      <x:c r="E26" s="2"/>
      <x:c r="F26" s="8"/>
      <x:c r="G26" s="8"/>
      <x:c r="H26" s="8"/>
      <x:c r="I26" s="8"/>
      <x:c r="J26" s="8"/>
      <x:c r="K26" s="2"/>
      <x:c r="L26" s="2"/>
      <x:c r="M26" s="2"/>
      <x:c r="N26" s="2"/>
    </x:row>
    <x:row r="27" ht="21" customHeight="1">
      <x:c r="A27" s="2"/>
      <x:c r="B27" s="2"/>
      <x:c r="C27" s="2" t="str">
        <x:v>Valuation shares (millions)</x:v>
      </x:c>
      <x:c r="D27" s="37" t="n">
        <x:f>'Sources'!$D$12+'Sources'!$D$36+'Assumptions'!$D$115+'Assumptions'!$D$120/'Sources'!$D$44</x:f>
        <x:v>43586605</x:v>
      </x:c>
      <x:c r="E27" s="2"/>
      <x:c r="F27" s="8" t="str">
        <x:v>Outstanding shares, not weighted-average EPS shares.</x:v>
      </x:c>
      <x:c r="G27" s="8"/>
      <x:c r="H27" s="8"/>
      <x:c r="I27" s="8"/>
      <x:c r="J27" s="8"/>
      <x:c r="K27" s="2"/>
      <x:c r="L27" s="2"/>
      <x:c r="M27" s="2"/>
      <x:c r="N27" s="2"/>
    </x:row>
    <x:row r="28" ht="21" customHeight="1">
      <x:c r="A28" s="2"/>
      <x:c r="B28" s="2"/>
      <x:c r="C28" s="2" t="str">
        <x:v>Asset NAV per share</x:v>
      </x:c>
      <x:c r="D28" s="40" t="n">
        <x:f>D25/D27</x:f>
        <x:v>27.15029957024641</x:v>
      </x:c>
      <x:c r="E28" s="2"/>
      <x:c r="F28" s="8"/>
      <x:c r="G28" s="8"/>
      <x:c r="H28" s="8"/>
      <x:c r="I28" s="8"/>
      <x:c r="J28" s="8"/>
      <x:c r="K28" s="2"/>
      <x:c r="L28" s="2"/>
      <x:c r="M28" s="2"/>
      <x:c r="N28" s="2"/>
    </x:row>
    <x:row r="29" ht="21" customHeight="1">
      <x:c r="A29" s="2"/>
      <x:c r="B29" s="2"/>
      <x:c r="C29" s="2" t="str">
        <x:v>Market price</x:v>
      </x:c>
      <x:c r="D29" s="41" t="n">
        <x:f>'Sources'!$D$44</x:f>
        <x:v>26.67</x:v>
      </x:c>
      <x:c r="E29" s="2"/>
      <x:c r="F29" s="8"/>
      <x:c r="G29" s="8"/>
      <x:c r="H29" s="8"/>
      <x:c r="I29" s="8"/>
      <x:c r="J29" s="8"/>
      <x:c r="K29" s="2"/>
      <x:c r="L29" s="2"/>
      <x:c r="M29" s="2"/>
      <x:c r="N29" s="2"/>
    </x:row>
    <x:row r="30" ht="21" customHeight="1">
      <x:c r="A30" s="2"/>
      <x:c r="B30" s="2"/>
      <x:c r="C30" s="2" t="str">
        <x:v>Price / asset NAV</x:v>
      </x:c>
      <x:c r="D30" s="42" t="n">
        <x:f>D29/D28</x:f>
        <x:v>0.9823096032880329</x:v>
      </x:c>
      <x:c r="E30" s="2"/>
      <x:c r="F30" s="8"/>
      <x:c r="G30" s="8"/>
      <x:c r="H30" s="8"/>
      <x:c r="I30" s="8"/>
      <x:c r="J30" s="8"/>
      <x:c r="K30" s="2"/>
      <x:c r="L30" s="2"/>
      <x:c r="M30" s="2"/>
      <x:c r="N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21" customHeight="1">
      <x:c r="A2" s="2"/>
      <x:c r="B2" s="2"/>
      <x:c r="C2" s="3" t="str">
        <x:v>Cash Flow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</x:row>
    <x:row r="6" ht="28" customHeight="1">
      <x:c r="A6" s="2"/>
      <x:c r="B6" s="2"/>
      <x:c r="C6" s="2"/>
      <x:c r="D6" s="2"/>
      <x:c r="E6" s="25" t="str">
        <x:v>Q4:26 stub</x:v>
      </x:c>
      <x:c r="F6" s="25" t="str">
        <x:v>Q1:27</x:v>
      </x:c>
      <x:c r="G6" s="25" t="str">
        <x:v>Q2:27</x:v>
      </x:c>
      <x:c r="H6" s="25" t="str">
        <x:v>Q3:27</x:v>
      </x:c>
      <x:c r="I6" s="25" t="str">
        <x:v>Q4:27</x:v>
      </x:c>
      <x:c r="J6" s="25" t="str">
        <x:v>Q1:28</x:v>
      </x:c>
      <x:c r="K6" s="25" t="str">
        <x:v>Q2:28</x:v>
      </x:c>
      <x:c r="L6" s="25" t="str">
        <x:v>Q3:28</x:v>
      </x:c>
      <x:c r="M6" s="25" t="str">
        <x:v>Q4:28</x:v>
      </x:c>
      <x:c r="N6" s="25" t="str">
        <x:v>Q1:29</x:v>
      </x:c>
      <x:c r="O6" s="25" t="str">
        <x:v>Q2:29</x:v>
      </x:c>
      <x:c r="P6" s="25" t="str">
        <x:v>Q3:29</x:v>
      </x:c>
      <x:c r="Q6" s="25" t="str">
        <x:v>Sep-30</x:v>
      </x:c>
      <x:c r="R6" s="25" t="str">
        <x:v>Sep-31</x:v>
      </x:c>
      <x:c r="S6" s="25" t="str">
        <x:v>Sep-32</x:v>
      </x:c>
      <x:c r="T6" s="25" t="str">
        <x:v>Sep-33</x:v>
      </x:c>
      <x:c r="U6" s="25" t="str">
        <x:v>Sep-34</x:v>
      </x:c>
      <x:c r="V6" s="25" t="str">
        <x:v>Sep-35</x:v>
      </x:c>
      <x:c r="W6" s="25" t="str">
        <x:v>Sep-36</x:v>
      </x:c>
      <x:c r="X6" s="25" t="str">
        <x:v>Sep-37</x:v>
      </x:c>
      <x:c r="Y6" s="25" t="str">
        <x:v>Sep-38</x:v>
      </x:c>
      <x:c r="Z6" s="25" t="str">
        <x:v>Sep-39</x:v>
      </x:c>
      <x:c r="AA6" s="25" t="str">
        <x:v>Sep-40</x:v>
      </x:c>
      <x:c r="AB6" s="25" t="str">
        <x:v>Sep-41</x:v>
      </x:c>
      <x:c r="AC6" s="25" t="str">
        <x:v>Sep-42</x:v>
      </x:c>
      <x:c r="AD6" s="25" t="str">
        <x:v>Sep-43</x:v>
      </x:c>
      <x:c r="AE6" s="25" t="str">
        <x:v>Sep-44</x:v>
      </x:c>
      <x:c r="AF6" s="25" t="str">
        <x:v>Sep-45</x:v>
      </x:c>
      <x:c r="AG6" s="25" t="str">
        <x:v>Sep-46</x:v>
      </x:c>
      <x:c r="AH6" s="25" t="str">
        <x:v>Sep-47</x:v>
      </x:c>
      <x:c r="AI6" s="25" t="str">
        <x:v>Sep-48</x:v>
      </x:c>
      <x:c r="AJ6" s="25" t="str">
        <x:v>Sep-49</x:v>
      </x:c>
      <x:c r="AK6" s="25" t="str">
        <x:v>Sep-50</x:v>
      </x:c>
      <x:c r="AL6" s="25" t="str">
        <x:v>Sep-51</x:v>
      </x:c>
      <x:c r="AM6" s="25" t="str">
        <x:v>Sep-52</x:v>
      </x:c>
      <x:c r="AN6" s="25" t="str">
        <x:v>Sep-53</x:v>
      </x:c>
      <x:c r="AO6" s="25" t="str">
        <x:v>Sep-54</x:v>
      </x:c>
      <x:c r="AP6" s="25" t="str">
        <x:v>Sep-55</x:v>
      </x:c>
      <x:c r="AQ6" s="25" t="str">
        <x:v>Sep-56</x:v>
      </x:c>
    </x:row>
    <x:row r="7" ht="21" customHeight="1">
      <x:c r="A7" s="2"/>
      <x:c r="B7" s="2"/>
      <x:c r="C7" s="2" t="str">
        <x:v>Period starts</x:v>
      </x:c>
      <x:c r="D7" s="2"/>
      <x:c r="E7" s="28" t="n">
        <x:v>46308</x:v>
      </x:c>
      <x:c r="F7" s="28" t="n">
        <x:v>46388</x:v>
      </x:c>
      <x:c r="G7" s="28" t="n">
        <x:v>46478</x:v>
      </x:c>
      <x:c r="H7" s="28" t="n">
        <x:v>46569</x:v>
      </x:c>
      <x:c r="I7" s="28" t="n">
        <x:v>46661</x:v>
      </x:c>
      <x:c r="J7" s="28" t="n">
        <x:v>46753</x:v>
      </x:c>
      <x:c r="K7" s="28" t="n">
        <x:v>46844</x:v>
      </x:c>
      <x:c r="L7" s="28" t="n">
        <x:v>46935</x:v>
      </x:c>
      <x:c r="M7" s="28" t="n">
        <x:v>47027</x:v>
      </x:c>
      <x:c r="N7" s="28" t="n">
        <x:v>47119</x:v>
      </x:c>
      <x:c r="O7" s="28" t="n">
        <x:v>47209</x:v>
      </x:c>
      <x:c r="P7" s="28" t="n">
        <x:v>47300</x:v>
      </x:c>
      <x:c r="Q7" s="28" t="n">
        <x:v>47392</x:v>
      </x:c>
      <x:c r="R7" s="28" t="n">
        <x:v>47757</x:v>
      </x:c>
      <x:c r="S7" s="28" t="n">
        <x:v>48122</x:v>
      </x:c>
      <x:c r="T7" s="28" t="n">
        <x:v>48488</x:v>
      </x:c>
      <x:c r="U7" s="28" t="n">
        <x:v>48853</x:v>
      </x:c>
      <x:c r="V7" s="28" t="n">
        <x:v>49218</x:v>
      </x:c>
      <x:c r="W7" s="28" t="n">
        <x:v>49583</x:v>
      </x:c>
      <x:c r="X7" s="28" t="n">
        <x:v>49949</x:v>
      </x:c>
      <x:c r="Y7" s="28" t="n">
        <x:v>50314</x:v>
      </x:c>
      <x:c r="Z7" s="28" t="n">
        <x:v>50679</x:v>
      </x:c>
      <x:c r="AA7" s="28" t="n">
        <x:v>51044</x:v>
      </x:c>
      <x:c r="AB7" s="28" t="n">
        <x:v>51410</x:v>
      </x:c>
      <x:c r="AC7" s="28" t="n">
        <x:v>51775</x:v>
      </x:c>
      <x:c r="AD7" s="28" t="n">
        <x:v>52140</x:v>
      </x:c>
      <x:c r="AE7" s="28" t="n">
        <x:v>52505</x:v>
      </x:c>
      <x:c r="AF7" s="28" t="n">
        <x:v>52871</x:v>
      </x:c>
      <x:c r="AG7" s="28" t="n">
        <x:v>53236</x:v>
      </x:c>
      <x:c r="AH7" s="28" t="n">
        <x:v>53601</x:v>
      </x:c>
      <x:c r="AI7" s="28" t="n">
        <x:v>53966</x:v>
      </x:c>
      <x:c r="AJ7" s="28" t="n">
        <x:v>54332</x:v>
      </x:c>
      <x:c r="AK7" s="28" t="n">
        <x:v>54697</x:v>
      </x:c>
      <x:c r="AL7" s="28" t="n">
        <x:v>55062</x:v>
      </x:c>
      <x:c r="AM7" s="28" t="n">
        <x:v>55427</x:v>
      </x:c>
      <x:c r="AN7" s="28" t="n">
        <x:v>55793</x:v>
      </x:c>
      <x:c r="AO7" s="28" t="n">
        <x:v>56158</x:v>
      </x:c>
      <x:c r="AP7" s="28" t="n">
        <x:v>56523</x:v>
      </x:c>
      <x:c r="AQ7" s="28" t="n">
        <x:v>56888</x:v>
      </x:c>
    </x:row>
    <x:row r="8" ht="21" customHeight="1">
      <x:c r="A8" s="2"/>
      <x:c r="B8" s="2"/>
      <x:c r="C8" s="2" t="str">
        <x:v>Period ends</x:v>
      </x:c>
      <x:c r="D8" s="2"/>
      <x:c r="E8" s="28" t="n">
        <x:v>46387</x:v>
      </x:c>
      <x:c r="F8" s="28" t="n">
        <x:v>46477</x:v>
      </x:c>
      <x:c r="G8" s="28" t="n">
        <x:v>46568</x:v>
      </x:c>
      <x:c r="H8" s="28" t="n">
        <x:v>46660</x:v>
      </x:c>
      <x:c r="I8" s="28" t="n">
        <x:v>46752</x:v>
      </x:c>
      <x:c r="J8" s="28" t="n">
        <x:v>46843</x:v>
      </x:c>
      <x:c r="K8" s="28" t="n">
        <x:v>46934</x:v>
      </x:c>
      <x:c r="L8" s="28" t="n">
        <x:v>47026</x:v>
      </x:c>
      <x:c r="M8" s="28" t="n">
        <x:v>47118</x:v>
      </x:c>
      <x:c r="N8" s="28" t="n">
        <x:v>47208</x:v>
      </x:c>
      <x:c r="O8" s="28" t="n">
        <x:v>47299</x:v>
      </x:c>
      <x:c r="P8" s="28" t="n">
        <x:v>47391</x:v>
      </x:c>
      <x:c r="Q8" s="28" t="n">
        <x:v>47756</x:v>
      </x:c>
      <x:c r="R8" s="28" t="n">
        <x:v>48121</x:v>
      </x:c>
      <x:c r="S8" s="28" t="n">
        <x:v>48487</x:v>
      </x:c>
      <x:c r="T8" s="28" t="n">
        <x:v>48852</x:v>
      </x:c>
      <x:c r="U8" s="28" t="n">
        <x:v>49217</x:v>
      </x:c>
      <x:c r="V8" s="28" t="n">
        <x:v>49582</x:v>
      </x:c>
      <x:c r="W8" s="28" t="n">
        <x:v>49948</x:v>
      </x:c>
      <x:c r="X8" s="28" t="n">
        <x:v>50313</x:v>
      </x:c>
      <x:c r="Y8" s="28" t="n">
        <x:v>50678</x:v>
      </x:c>
      <x:c r="Z8" s="28" t="n">
        <x:v>51043</x:v>
      </x:c>
      <x:c r="AA8" s="28" t="n">
        <x:v>51409</x:v>
      </x:c>
      <x:c r="AB8" s="28" t="n">
        <x:v>51774</x:v>
      </x:c>
      <x:c r="AC8" s="28" t="n">
        <x:v>52139</x:v>
      </x:c>
      <x:c r="AD8" s="28" t="n">
        <x:v>52504</x:v>
      </x:c>
      <x:c r="AE8" s="28" t="n">
        <x:v>52870</x:v>
      </x:c>
      <x:c r="AF8" s="28" t="n">
        <x:v>53235</x:v>
      </x:c>
      <x:c r="AG8" s="28" t="n">
        <x:v>53600</x:v>
      </x:c>
      <x:c r="AH8" s="28" t="n">
        <x:v>53965</x:v>
      </x:c>
      <x:c r="AI8" s="28" t="n">
        <x:v>54331</x:v>
      </x:c>
      <x:c r="AJ8" s="28" t="n">
        <x:v>54696</x:v>
      </x:c>
      <x:c r="AK8" s="28" t="n">
        <x:v>55061</x:v>
      </x:c>
      <x:c r="AL8" s="28" t="n">
        <x:v>55426</x:v>
      </x:c>
      <x:c r="AM8" s="28" t="n">
        <x:v>55792</x:v>
      </x:c>
      <x:c r="AN8" s="28" t="n">
        <x:v>56157</x:v>
      </x:c>
      <x:c r="AO8" s="28" t="n">
        <x:v>56522</x:v>
      </x:c>
      <x:c r="AP8" s="28" t="n">
        <x:v>56887</x:v>
      </x:c>
      <x:c r="AQ8" s="28" t="n">
        <x:v>57253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</x:row>
    <x:row r="10" ht="25" customHeight="1">
      <x:c r="A10" s="2"/>
      <x:c r="B10" s="2"/>
      <x:c r="C10" s="30" t="str">
        <x:v>Newcastlemax</x:v>
      </x:c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</x:row>
    <x:row r="11" ht="21" customHeight="1">
      <x:c r="A11" s="2"/>
      <x:c r="B11" s="2"/>
      <x:c r="C11" s="2" t="str">
        <x:v>Owned days</x:v>
      </x:c>
      <x:c r="D11" s="2"/>
      <x:c r="E11" s="5" t="n">
        <x:f>SUMIFS('Days'!E$10:E$53,'Days'!$D$10:$D$53,$C10)</x:f>
        <x:v>160</x:v>
      </x:c>
      <x:c r="F11" s="5" t="n">
        <x:f>SUMIFS('Days'!F$10:F$53,'Days'!$D$10:$D$53,$C10)</x:f>
        <x:v>180</x:v>
      </x:c>
      <x:c r="G11" s="5" t="n">
        <x:f>SUMIFS('Days'!G$10:G$53,'Days'!$D$10:$D$53,$C10)</x:f>
        <x:v>182</x:v>
      </x:c>
      <x:c r="H11" s="5" t="n">
        <x:f>SUMIFS('Days'!H$10:H$53,'Days'!$D$10:$D$53,$C10)</x:f>
        <x:v>184</x:v>
      </x:c>
      <x:c r="I11" s="5" t="n">
        <x:f>SUMIFS('Days'!I$10:I$53,'Days'!$D$10:$D$53,$C10)</x:f>
        <x:v>184</x:v>
      </x:c>
      <x:c r="J11" s="5" t="n">
        <x:f>SUMIFS('Days'!J$10:J$53,'Days'!$D$10:$D$53,$C10)</x:f>
        <x:v>182</x:v>
      </x:c>
      <x:c r="K11" s="5" t="n">
        <x:f>SUMIFS('Days'!K$10:K$53,'Days'!$D$10:$D$53,$C10)</x:f>
        <x:v>182</x:v>
      </x:c>
      <x:c r="L11" s="5" t="n">
        <x:f>SUMIFS('Days'!L$10:L$53,'Days'!$D$10:$D$53,$C10)</x:f>
        <x:v>184</x:v>
      </x:c>
      <x:c r="M11" s="5" t="n">
        <x:f>SUMIFS('Days'!M$10:M$53,'Days'!$D$10:$D$53,$C10)</x:f>
        <x:v>184</x:v>
      </x:c>
      <x:c r="N11" s="5" t="n">
        <x:f>SUMIFS('Days'!N$10:N$53,'Days'!$D$10:$D$53,$C10)</x:f>
        <x:v>180</x:v>
      </x:c>
      <x:c r="O11" s="5" t="n">
        <x:f>SUMIFS('Days'!O$10:O$53,'Days'!$D$10:$D$53,$C10)</x:f>
        <x:v>182</x:v>
      </x:c>
      <x:c r="P11" s="5" t="n">
        <x:f>SUMIFS('Days'!P$10:P$53,'Days'!$D$10:$D$53,$C10)</x:f>
        <x:v>184</x:v>
      </x:c>
      <x:c r="Q11" s="5" t="n">
        <x:f>SUMIFS('Days'!Q$10:Q$53,'Days'!$D$10:$D$53,$C10)</x:f>
        <x:v>730</x:v>
      </x:c>
      <x:c r="R11" s="5" t="n">
        <x:f>SUMIFS('Days'!R$10:R$53,'Days'!$D$10:$D$53,$C10)</x:f>
        <x:v>730</x:v>
      </x:c>
      <x:c r="S11" s="5" t="n">
        <x:f>SUMIFS('Days'!S$10:S$53,'Days'!$D$10:$D$53,$C10)</x:f>
        <x:v>732</x:v>
      </x:c>
      <x:c r="T11" s="5" t="n">
        <x:f>SUMIFS('Days'!T$10:T$53,'Days'!$D$10:$D$53,$C10)</x:f>
        <x:v>730</x:v>
      </x:c>
      <x:c r="U11" s="5" t="n">
        <x:f>SUMIFS('Days'!U$10:U$53,'Days'!$D$10:$D$53,$C10)</x:f>
        <x:v>730</x:v>
      </x:c>
      <x:c r="V11" s="5" t="n">
        <x:f>SUMIFS('Days'!V$10:V$53,'Days'!$D$10:$D$53,$C10)</x:f>
        <x:v>730</x:v>
      </x:c>
      <x:c r="W11" s="5" t="n">
        <x:f>SUMIFS('Days'!W$10:W$53,'Days'!$D$10:$D$53,$C10)</x:f>
        <x:v>732</x:v>
      </x:c>
      <x:c r="X11" s="5" t="n">
        <x:f>SUMIFS('Days'!X$10:X$53,'Days'!$D$10:$D$53,$C10)</x:f>
        <x:v>730</x:v>
      </x:c>
      <x:c r="Y11" s="5" t="n">
        <x:f>SUMIFS('Days'!Y$10:Y$53,'Days'!$D$10:$D$53,$C10)</x:f>
        <x:v>730</x:v>
      </x:c>
      <x:c r="Z11" s="5" t="n">
        <x:f>SUMIFS('Days'!Z$10:Z$53,'Days'!$D$10:$D$53,$C10)</x:f>
        <x:v>730</x:v>
      </x:c>
      <x:c r="AA11" s="5" t="n">
        <x:f>SUMIFS('Days'!AA$10:AA$53,'Days'!$D$10:$D$53,$C10)</x:f>
        <x:v>732</x:v>
      </x:c>
      <x:c r="AB11" s="5" t="n">
        <x:f>SUMIFS('Days'!AB$10:AB$53,'Days'!$D$10:$D$53,$C10)</x:f>
        <x:v>730</x:v>
      </x:c>
      <x:c r="AC11" s="5" t="n">
        <x:f>SUMIFS('Days'!AC$10:AC$53,'Days'!$D$10:$D$53,$C10)</x:f>
        <x:v>730</x:v>
      </x:c>
      <x:c r="AD11" s="5" t="n">
        <x:f>SUMIFS('Days'!AD$10:AD$53,'Days'!$D$10:$D$53,$C10)</x:f>
        <x:v>730</x:v>
      </x:c>
      <x:c r="AE11" s="5" t="n">
        <x:f>SUMIFS('Days'!AE$10:AE$53,'Days'!$D$10:$D$53,$C10)</x:f>
        <x:v>732</x:v>
      </x:c>
      <x:c r="AF11" s="5" t="n">
        <x:f>SUMIFS('Days'!AF$10:AF$53,'Days'!$D$10:$D$53,$C10)</x:f>
        <x:v>546</x:v>
      </x:c>
      <x:c r="AG11" s="5" t="n">
        <x:f>SUMIFS('Days'!AG$10:AG$53,'Days'!$D$10:$D$53,$C10)</x:f>
        <x:v>0</x:v>
      </x:c>
      <x:c r="AH11" s="5" t="n">
        <x:f>SUMIFS('Days'!AH$10:AH$53,'Days'!$D$10:$D$53,$C10)</x:f>
        <x:v>0</x:v>
      </x:c>
      <x:c r="AI11" s="5" t="n">
        <x:f>SUMIFS('Days'!AI$10:AI$53,'Days'!$D$10:$D$53,$C10)</x:f>
        <x:v>0</x:v>
      </x:c>
      <x:c r="AJ11" s="5" t="n">
        <x:f>SUMIFS('Days'!AJ$10:AJ$53,'Days'!$D$10:$D$53,$C10)</x:f>
        <x:v>0</x:v>
      </x:c>
      <x:c r="AK11" s="5" t="n">
        <x:f>SUMIFS('Days'!AK$10:AK$53,'Days'!$D$10:$D$53,$C10)</x:f>
        <x:v>0</x:v>
      </x:c>
      <x:c r="AL11" s="5" t="n">
        <x:f>SUMIFS('Days'!AL$10:AL$53,'Days'!$D$10:$D$53,$C10)</x:f>
        <x:v>0</x:v>
      </x:c>
      <x:c r="AM11" s="5" t="n">
        <x:f>SUMIFS('Days'!AM$10:AM$53,'Days'!$D$10:$D$53,$C10)</x:f>
        <x:v>0</x:v>
      </x:c>
      <x:c r="AN11" s="5" t="n">
        <x:f>SUMIFS('Days'!AN$10:AN$53,'Days'!$D$10:$D$53,$C10)</x:f>
        <x:v>0</x:v>
      </x:c>
      <x:c r="AO11" s="5" t="n">
        <x:f>SUMIFS('Days'!AO$10:AO$53,'Days'!$D$10:$D$53,$C10)</x:f>
        <x:v>0</x:v>
      </x:c>
      <x:c r="AP11" s="5" t="n">
        <x:f>SUMIFS('Days'!AP$10:AP$53,'Days'!$D$10:$D$53,$C10)</x:f>
        <x:v>0</x:v>
      </x:c>
      <x:c r="AQ11" s="5" t="n">
        <x:f>SUMIFS('Days'!AQ$10:AQ$53,'Days'!$D$10:$D$53,$C10)</x:f>
        <x:v>0</x:v>
      </x:c>
    </x:row>
    <x:row r="12" ht="21" customHeight="1">
      <x:c r="A12" s="2"/>
      <x:c r="B12" s="2"/>
      <x:c r="C12" s="2" t="str">
        <x:v>Available days</x:v>
      </x:c>
      <x:c r="D12" s="2"/>
      <x:c r="E12" s="5" t="n">
        <x:f>E11*(1-'Assumptions'!$D$45)</x:f>
        <x:v>154.4</x:v>
      </x:c>
      <x:c r="F12" s="5" t="n">
        <x:f>F11*(1-'Assumptions'!$D$45)</x:f>
        <x:v>173.7</x:v>
      </x:c>
      <x:c r="G12" s="5" t="n">
        <x:f>G11*(1-'Assumptions'!$D$45)</x:f>
        <x:v>175.63</x:v>
      </x:c>
      <x:c r="H12" s="5" t="n">
        <x:f>H11*(1-'Assumptions'!$D$45)</x:f>
        <x:v>177.56</x:v>
      </x:c>
      <x:c r="I12" s="5" t="n">
        <x:f>I11*(1-'Assumptions'!$D$45)</x:f>
        <x:v>177.56</x:v>
      </x:c>
      <x:c r="J12" s="5" t="n">
        <x:f>J11*(1-'Assumptions'!$D$45)</x:f>
        <x:v>175.63</x:v>
      </x:c>
      <x:c r="K12" s="5" t="n">
        <x:f>K11*(1-'Assumptions'!$D$45)</x:f>
        <x:v>175.63</x:v>
      </x:c>
      <x:c r="L12" s="5" t="n">
        <x:f>L11*(1-'Assumptions'!$D$45)</x:f>
        <x:v>177.56</x:v>
      </x:c>
      <x:c r="M12" s="5" t="n">
        <x:f>M11*(1-'Assumptions'!$D$45)</x:f>
        <x:v>177.56</x:v>
      </x:c>
      <x:c r="N12" s="5" t="n">
        <x:f>N11*(1-'Assumptions'!$D$45)</x:f>
        <x:v>173.7</x:v>
      </x:c>
      <x:c r="O12" s="5" t="n">
        <x:f>O11*(1-'Assumptions'!$D$45)</x:f>
        <x:v>175.63</x:v>
      </x:c>
      <x:c r="P12" s="5" t="n">
        <x:f>P11*(1-'Assumptions'!$D$45)</x:f>
        <x:v>177.56</x:v>
      </x:c>
      <x:c r="Q12" s="5" t="n">
        <x:f>Q11*(1-'Assumptions'!$D$45)</x:f>
        <x:v>704.4499999999999</x:v>
      </x:c>
      <x:c r="R12" s="5" t="n">
        <x:f>R11*(1-'Assumptions'!$D$45)</x:f>
        <x:v>704.4499999999999</x:v>
      </x:c>
      <x:c r="S12" s="5" t="n">
        <x:f>S11*(1-'Assumptions'!$D$45)</x:f>
        <x:v>706.38</x:v>
      </x:c>
      <x:c r="T12" s="5" t="n">
        <x:f>T11*(1-'Assumptions'!$D$45)</x:f>
        <x:v>704.4499999999999</x:v>
      </x:c>
      <x:c r="U12" s="5" t="n">
        <x:f>U11*(1-'Assumptions'!$D$45)</x:f>
        <x:v>704.4499999999999</x:v>
      </x:c>
      <x:c r="V12" s="5" t="n">
        <x:f>V11*(1-'Assumptions'!$D$45)</x:f>
        <x:v>704.4499999999999</x:v>
      </x:c>
      <x:c r="W12" s="5" t="n">
        <x:f>W11*(1-'Assumptions'!$D$45)</x:f>
        <x:v>706.38</x:v>
      </x:c>
      <x:c r="X12" s="5" t="n">
        <x:f>X11*(1-'Assumptions'!$D$45)</x:f>
        <x:v>704.4499999999999</x:v>
      </x:c>
      <x:c r="Y12" s="5" t="n">
        <x:f>Y11*(1-'Assumptions'!$D$45)</x:f>
        <x:v>704.4499999999999</x:v>
      </x:c>
      <x:c r="Z12" s="5" t="n">
        <x:f>Z11*(1-'Assumptions'!$D$45)</x:f>
        <x:v>704.4499999999999</x:v>
      </x:c>
      <x:c r="AA12" s="5" t="n">
        <x:f>AA11*(1-'Assumptions'!$D$45)</x:f>
        <x:v>706.38</x:v>
      </x:c>
      <x:c r="AB12" s="5" t="n">
        <x:f>AB11*(1-'Assumptions'!$D$45)</x:f>
        <x:v>704.4499999999999</x:v>
      </x:c>
      <x:c r="AC12" s="5" t="n">
        <x:f>AC11*(1-'Assumptions'!$D$45)</x:f>
        <x:v>704.4499999999999</x:v>
      </x:c>
      <x:c r="AD12" s="5" t="n">
        <x:f>AD11*(1-'Assumptions'!$D$45)</x:f>
        <x:v>704.4499999999999</x:v>
      </x:c>
      <x:c r="AE12" s="5" t="n">
        <x:f>AE11*(1-'Assumptions'!$D$45)</x:f>
        <x:v>706.38</x:v>
      </x:c>
      <x:c r="AF12" s="5" t="n">
        <x:f>AF11*(1-'Assumptions'!$D$45)</x:f>
        <x:v>526.89</x:v>
      </x:c>
      <x:c r="AG12" s="5" t="n">
        <x:f>AG11*(1-'Assumptions'!$D$45)</x:f>
        <x:v>0</x:v>
      </x:c>
      <x:c r="AH12" s="5" t="n">
        <x:f>AH11*(1-'Assumptions'!$D$45)</x:f>
        <x:v>0</x:v>
      </x:c>
      <x:c r="AI12" s="5" t="n">
        <x:f>AI11*(1-'Assumptions'!$D$45)</x:f>
        <x:v>0</x:v>
      </x:c>
      <x:c r="AJ12" s="5" t="n">
        <x:f>AJ11*(1-'Assumptions'!$D$45)</x:f>
        <x:v>0</x:v>
      </x:c>
      <x:c r="AK12" s="5" t="n">
        <x:f>AK11*(1-'Assumptions'!$D$45)</x:f>
        <x:v>0</x:v>
      </x:c>
      <x:c r="AL12" s="5" t="n">
        <x:f>AL11*(1-'Assumptions'!$D$45)</x:f>
        <x:v>0</x:v>
      </x:c>
      <x:c r="AM12" s="5" t="n">
        <x:f>AM11*(1-'Assumptions'!$D$45)</x:f>
        <x:v>0</x:v>
      </x:c>
      <x:c r="AN12" s="5" t="n">
        <x:f>AN11*(1-'Assumptions'!$D$45)</x:f>
        <x:v>0</x:v>
      </x:c>
      <x:c r="AO12" s="5" t="n">
        <x:f>AO11*(1-'Assumptions'!$D$45)</x:f>
        <x:v>0</x:v>
      </x:c>
      <x:c r="AP12" s="5" t="n">
        <x:f>AP11*(1-'Assumptions'!$D$45)</x:f>
        <x:v>0</x:v>
      </x:c>
      <x:c r="AQ12" s="5" t="n">
        <x:f>AQ11*(1-'Assumptions'!$D$45)</x:f>
        <x:v>0</x:v>
      </x:c>
    </x:row>
    <x:row r="13" ht="21" customHeight="1">
      <x:c r="A13" s="2"/>
      <x:c r="B13" s="2"/>
      <x:c r="C13" s="2" t="str">
        <x:v>Open TCE (USD/day)</x:v>
      </x:c>
      <x:c r="D13" s="2"/>
      <x:c r="E13" s="34" t="n">
        <x:f>'Assumptions'!$D$10*'Assumptions'!$D$6*(1+'Assumptions'!$D$80)^(((E$7+E$8)/2-46307)/365)</x:f>
        <x:v>26057.1920337885</x:v>
      </x:c>
      <x:c r="F13" s="34" t="n">
        <x:f>'Assumptions'!$D$10*'Assumptions'!$D$6*(1+'Assumptions'!$D$80)^(((F$7+F$8)/2-46307)/365)</x:f>
        <x:v>26177.6341182906</x:v>
      </x:c>
      <x:c r="G13" s="34" t="n">
        <x:f>'Assumptions'!$D$10*'Assumptions'!$D$6*(1+'Assumptions'!$D$80)^(((G$7+G$8)/2-46307)/365)</x:f>
        <x:v>26306.48148397557</x:v>
      </x:c>
      <x:c r="H13" s="34" t="n">
        <x:f>'Assumptions'!$D$10*'Assumptions'!$D$6*(1+'Assumptions'!$D$80)^(((H$7+H$8)/2-46307)/365)</x:f>
        <x:v>26437.397331221615</x:v>
      </x:c>
      <x:c r="I13" s="34" t="n">
        <x:f>'Assumptions'!$D$10*'Assumptions'!$D$6*(1+'Assumptions'!$D$80)^(((I$7+I$8)/2-46307)/365)</x:f>
        <x:v>26569.685432424463</x:v>
      </x:c>
      <x:c r="J13" s="34" t="n">
        <x:f>'Assumptions'!$D$10*'Assumptions'!$D$6*(1+'Assumptions'!$D$80)^(((J$7+J$8)/2-46307)/365)</x:f>
        <x:v>26701.911130550066</x:v>
      </x:c>
      <x:c r="K13" s="34" t="n">
        <x:f>'Assumptions'!$D$10*'Assumptions'!$D$6*(1+'Assumptions'!$D$80)^(((K$7+K$8)/2-46307)/365)</x:f>
        <x:v>26834.06692354978</x:v>
      </x:c>
      <x:c r="L13" s="34" t="n">
        <x:f>'Assumptions'!$D$10*'Assumptions'!$D$6*(1+'Assumptions'!$D$80)^(((L$7+L$8)/2-46307)/365)</x:f>
        <x:v>26967.60833266957</x:v>
      </x:c>
      <x:c r="M13" s="34" t="n">
        <x:f>'Assumptions'!$D$10*'Assumptions'!$D$6*(1+'Assumptions'!$D$80)^(((M$7+M$8)/2-46307)/365)</x:f>
        <x:v>27102.54951676631</x:v>
      </x:c>
      <x:c r="N13" s="34" t="n">
        <x:f>'Assumptions'!$D$10*'Assumptions'!$D$6*(1+'Assumptions'!$D$80)^(((N$7+N$8)/2-46307)/365)</x:f>
        <x:v>27236.68818969465</x:v>
      </x:c>
      <x:c r="O13" s="34" t="n">
        <x:f>'Assumptions'!$D$10*'Assumptions'!$D$6*(1+'Assumptions'!$D$80)^(((O$7+O$8)/2-46307)/365)</x:f>
        <x:v>27370.74826202078</x:v>
      </x:c>
      <x:c r="P13" s="34" t="n">
        <x:f>'Assumptions'!$D$10*'Assumptions'!$D$6*(1+'Assumptions'!$D$80)^(((P$7+P$8)/2-46307)/365)</x:f>
        <x:v>27506.960499322962</x:v>
      </x:c>
      <x:c r="Q13" s="34" t="n">
        <x:f>'Assumptions'!$D$10*'Assumptions'!$D$6*(1+'Assumptions'!$D$80)^(((Q$7+Q$8)/2-46307)/365)</x:f>
        <x:v>27850.086406540577</x:v>
      </x:c>
      <x:c r="R13" s="34" t="n">
        <x:f>'Assumptions'!$D$10*'Assumptions'!$D$6*(1+'Assumptions'!$D$80)^(((R$7+R$8)/2-46307)/365)</x:f>
        <x:v>28407.088134671394</x:v>
      </x:c>
      <x:c r="S13" s="34" t="n">
        <x:f>'Assumptions'!$D$10*'Assumptions'!$D$6*(1+'Assumptions'!$D$80)^(((S$7+S$8)/2-46307)/365)</x:f>
        <x:v>28976.015915804626</x:v>
      </x:c>
      <x:c r="T13" s="34" t="n">
        <x:f>'Assumptions'!$D$10*'Assumptions'!$D$6*(1+'Assumptions'!$D$80)^(((T$7+T$8)/2-46307)/365)</x:f>
        <x:v>29556.337994678295</x:v>
      </x:c>
      <x:c r="U13" s="34" t="n">
        <x:f>'Assumptions'!$D$10*'Assumptions'!$D$6*(1+'Assumptions'!$D$80)^(((U$7+U$8)/2-46307)/365)</x:f>
        <x:v>30147.46475457186</x:v>
      </x:c>
      <x:c r="V13" s="34" t="n">
        <x:f>'Assumptions'!$D$10*'Assumptions'!$D$6*(1+'Assumptions'!$D$80)^(((V$7+V$8)/2-46307)/365)</x:f>
        <x:v>30750.414049663297</x:v>
      </x:c>
      <x:c r="W13" s="34" t="n">
        <x:f>'Assumptions'!$D$10*'Assumptions'!$D$6*(1+'Assumptions'!$D$80)^(((W$7+W$8)/2-46307)/365)</x:f>
        <x:v>31366.273188455158</x:v>
      </x:c>
      <x:c r="X13" s="34" t="n">
        <x:f>'Assumptions'!$D$10*'Assumptions'!$D$6*(1+'Assumptions'!$D$80)^(((X$7+X$8)/2-46307)/365)</x:f>
        <x:v>31994.46655072189</x:v>
      </x:c>
      <x:c r="Y13" s="34" t="n">
        <x:f>'Assumptions'!$D$10*'Assumptions'!$D$6*(1+'Assumptions'!$D$80)^(((Y$7+Y$8)/2-46307)/365)</x:f>
        <x:v>32634.35588173633</x:v>
      </x:c>
      <x:c r="Z13" s="34" t="n">
        <x:f>'Assumptions'!$D$10*'Assumptions'!$D$6*(1+'Assumptions'!$D$80)^(((Z$7+Z$8)/2-46307)/365)</x:f>
        <x:v>33287.04299937106</x:v>
      </x:c>
      <x:c r="AA13" s="34" t="n">
        <x:f>'Assumptions'!$D$10*'Assumptions'!$D$6*(1+'Assumptions'!$D$80)^(((AA$7+AA$8)/2-46307)/365)</x:f>
        <x:v>33953.70490517212</x:v>
      </x:c>
      <x:c r="AB13" s="34" t="n">
        <x:f>'Assumptions'!$D$10*'Assumptions'!$D$6*(1+'Assumptions'!$D$80)^(((AB$7+AB$8)/2-46307)/365)</x:f>
        <x:v>34633.718495490626</x:v>
      </x:c>
      <x:c r="AC13" s="34" t="n">
        <x:f>'Assumptions'!$D$10*'Assumptions'!$D$6*(1+'Assumptions'!$D$80)^(((AC$7+AC$8)/2-46307)/365)</x:f>
        <x:v>35326.39286540044</x:v>
      </x:c>
      <x:c r="AD13" s="34" t="n">
        <x:f>'Assumptions'!$D$10*'Assumptions'!$D$6*(1+'Assumptions'!$D$80)^(((AD$7+AD$8)/2-46307)/365)</x:f>
        <x:v>36032.92072270845</x:v>
      </x:c>
      <x:c r="AE13" s="34" t="n">
        <x:f>'Assumptions'!$D$10*'Assumptions'!$D$6*(1+'Assumptions'!$D$80)^(((AE$7+AE$8)/2-46307)/365)</x:f>
        <x:v>36754.57616086297</x:v>
      </x:c>
      <x:c r="AF13" s="34" t="n">
        <x:f>'Assumptions'!$D$10*'Assumptions'!$D$6*(1+'Assumptions'!$D$80)^(((AF$7+AF$8)/2-46307)/365)</x:f>
        <x:v>37490.68467584203</x:v>
      </x:c>
      <x:c r="AG13" s="34" t="n">
        <x:f>'Assumptions'!$D$10*'Assumptions'!$D$6*(1+'Assumptions'!$D$80)^(((AG$7+AG$8)/2-46307)/365)</x:f>
        <x:v>38240.498369358866</x:v>
      </x:c>
      <x:c r="AH13" s="34" t="n">
        <x:f>'Assumptions'!$D$10*'Assumptions'!$D$6*(1+'Assumptions'!$D$80)^(((AH$7+AH$8)/2-46307)/365)</x:f>
        <x:v>39005.30833674605</x:v>
      </x:c>
      <x:c r="AI13" s="34" t="n">
        <x:f>'Assumptions'!$D$10*'Assumptions'!$D$6*(1+'Assumptions'!$D$80)^(((AI$7+AI$8)/2-46307)/365)</x:f>
        <x:v>39786.49377255134</x:v>
      </x:c>
      <x:c r="AJ13" s="34" t="n">
        <x:f>'Assumptions'!$D$10*'Assumptions'!$D$6*(1+'Assumptions'!$D$80)^(((AJ$7+AJ$8)/2-46307)/365)</x:f>
        <x:v>40583.3245323173</x:v>
      </x:c>
      <x:c r="AK13" s="34" t="n">
        <x:f>'Assumptions'!$D$10*'Assumptions'!$D$6*(1+'Assumptions'!$D$80)^(((AK$7+AK$8)/2-46307)/365)</x:f>
        <x:v>41394.991022963644</x:v>
      </x:c>
      <x:c r="AL13" s="34" t="n">
        <x:f>'Assumptions'!$D$10*'Assumptions'!$D$6*(1+'Assumptions'!$D$80)^(((AL$7+AL$8)/2-46307)/365)</x:f>
        <x:v>42222.890843422916</x:v>
      </x:c>
      <x:c r="AM13" s="34" t="n">
        <x:f>'Assumptions'!$D$10*'Assumptions'!$D$6*(1+'Assumptions'!$D$80)^(((AM$7+AM$8)/2-46307)/365)</x:f>
        <x:v>43068.516959225344</x:v>
      </x:c>
      <x:c r="AN13" s="34" t="n">
        <x:f>'Assumptions'!$D$10*'Assumptions'!$D$6*(1+'Assumptions'!$D$80)^(((AN$7+AN$8)/2-46307)/365)</x:f>
        <x:v>43931.0789956491</x:v>
      </x:c>
      <x:c r="AO13" s="34" t="n">
        <x:f>'Assumptions'!$D$10*'Assumptions'!$D$6*(1+'Assumptions'!$D$80)^(((AO$7+AO$8)/2-46307)/365)</x:f>
        <x:v>44809.700575562085</x:v>
      </x:c>
      <x:c r="AP13" s="34" t="n">
        <x:f>'Assumptions'!$D$10*'Assumptions'!$D$6*(1+'Assumptions'!$D$80)^(((AP$7+AP$8)/2-46307)/365)</x:f>
        <x:v>45705.89458707333</x:v>
      </x:c>
      <x:c r="AQ13" s="34" t="n">
        <x:f>'Assumptions'!$D$10*'Assumptions'!$D$6*(1+'Assumptions'!$D$80)^(((AQ$7+AQ$8)/2-46307)/365)</x:f>
        <x:v>46621.277151764836</x:v>
      </x:c>
    </x:row>
    <x:row r="14" ht="21" customHeight="1">
      <x:c r="A14" s="2"/>
      <x:c r="B14" s="2"/>
      <x:c r="C14" s="2" t="str">
        <x:v>Fixed share</x:v>
      </x:c>
      <x:c r="D14" s="2"/>
      <x:c r="E14" s="43" t="n">
        <x:f>'Assumptions'!$D$130</x:f>
        <x:v>0.1</x:v>
      </x:c>
      <x:c r="F14" s="43" t="n">
        <x:f>'Assumptions'!$D$130</x:f>
        <x:v>0.1</x:v>
      </x:c>
      <x:c r="G14" s="43" t="n">
        <x:f>'Assumptions'!$D$130</x:f>
        <x:v>0.1</x:v>
      </x:c>
      <x:c r="H14" s="43" t="n">
        <x:f>'Assumptions'!$D$130</x:f>
        <x:v>0.1</x:v>
      </x:c>
      <x:c r="I14" s="43" t="n">
        <x:f>'Assumptions'!$D$130</x:f>
        <x:v>0.1</x:v>
      </x:c>
      <x:c r="J14" s="43" t="n">
        <x:f>'Assumptions'!$D$130</x:f>
        <x:v>0.1</x:v>
      </x:c>
      <x:c r="K14" s="43" t="n">
        <x:f>'Assumptions'!$D$130</x:f>
        <x:v>0.1</x:v>
      </x:c>
      <x:c r="L14" s="43" t="n">
        <x:f>'Assumptions'!$D$130</x:f>
        <x:v>0.1</x:v>
      </x:c>
      <x:c r="M14" s="43" t="n">
        <x:f>'Assumptions'!$D$130</x:f>
        <x:v>0.1</x:v>
      </x:c>
      <x:c r="N14" s="43" t="n">
        <x:f>'Assumptions'!$D$130</x:f>
        <x:v>0.1</x:v>
      </x:c>
      <x:c r="O14" s="43" t="n">
        <x:f>'Assumptions'!$D$130</x:f>
        <x:v>0.1</x:v>
      </x:c>
      <x:c r="P14" s="43" t="n">
        <x:f>'Assumptions'!$D$130</x:f>
        <x:v>0.1</x:v>
      </x:c>
      <x:c r="Q14" s="43" t="n">
        <x:f>'Assumptions'!$D$130</x:f>
        <x:v>0.1</x:v>
      </x:c>
      <x:c r="R14" s="43" t="n">
        <x:f>'Assumptions'!$D$130</x:f>
        <x:v>0.1</x:v>
      </x:c>
      <x:c r="S14" s="43" t="n">
        <x:f>'Assumptions'!$D$130</x:f>
        <x:v>0.1</x:v>
      </x:c>
      <x:c r="T14" s="43" t="n">
        <x:f>'Assumptions'!$D$130</x:f>
        <x:v>0.1</x:v>
      </x:c>
      <x:c r="U14" s="43" t="n">
        <x:f>'Assumptions'!$D$130</x:f>
        <x:v>0.1</x:v>
      </x:c>
      <x:c r="V14" s="43" t="n">
        <x:f>'Assumptions'!$D$130</x:f>
        <x:v>0.1</x:v>
      </x:c>
      <x:c r="W14" s="43" t="n">
        <x:f>'Assumptions'!$D$130</x:f>
        <x:v>0.1</x:v>
      </x:c>
      <x:c r="X14" s="43" t="n">
        <x:f>'Assumptions'!$D$130</x:f>
        <x:v>0.1</x:v>
      </x:c>
      <x:c r="Y14" s="43" t="n">
        <x:f>'Assumptions'!$D$130</x:f>
        <x:v>0.1</x:v>
      </x:c>
      <x:c r="Z14" s="43" t="n">
        <x:f>'Assumptions'!$D$130</x:f>
        <x:v>0.1</x:v>
      </x:c>
      <x:c r="AA14" s="43" t="n">
        <x:f>'Assumptions'!$D$130</x:f>
        <x:v>0.1</x:v>
      </x:c>
      <x:c r="AB14" s="43" t="n">
        <x:f>'Assumptions'!$D$130</x:f>
        <x:v>0.1</x:v>
      </x:c>
      <x:c r="AC14" s="43" t="n">
        <x:f>'Assumptions'!$D$130</x:f>
        <x:v>0.1</x:v>
      </x:c>
      <x:c r="AD14" s="43" t="n">
        <x:f>'Assumptions'!$D$130</x:f>
        <x:v>0.1</x:v>
      </x:c>
      <x:c r="AE14" s="43" t="n">
        <x:f>'Assumptions'!$D$130</x:f>
        <x:v>0.1</x:v>
      </x:c>
      <x:c r="AF14" s="43" t="n">
        <x:f>'Assumptions'!$D$130</x:f>
        <x:v>0.1</x:v>
      </x:c>
      <x:c r="AG14" s="43" t="n">
        <x:f>'Assumptions'!$D$130</x:f>
        <x:v>0.1</x:v>
      </x:c>
      <x:c r="AH14" s="43" t="n">
        <x:f>'Assumptions'!$D$130</x:f>
        <x:v>0.1</x:v>
      </x:c>
      <x:c r="AI14" s="43" t="n">
        <x:f>'Assumptions'!$D$130</x:f>
        <x:v>0.1</x:v>
      </x:c>
      <x:c r="AJ14" s="43" t="n">
        <x:f>'Assumptions'!$D$130</x:f>
        <x:v>0.1</x:v>
      </x:c>
      <x:c r="AK14" s="43" t="n">
        <x:f>'Assumptions'!$D$130</x:f>
        <x:v>0.1</x:v>
      </x:c>
      <x:c r="AL14" s="43" t="n">
        <x:f>'Assumptions'!$D$130</x:f>
        <x:v>0.1</x:v>
      </x:c>
      <x:c r="AM14" s="43" t="n">
        <x:f>'Assumptions'!$D$130</x:f>
        <x:v>0.1</x:v>
      </x:c>
      <x:c r="AN14" s="43" t="n">
        <x:f>'Assumptions'!$D$130</x:f>
        <x:v>0.1</x:v>
      </x:c>
      <x:c r="AO14" s="43" t="n">
        <x:f>'Assumptions'!$D$130</x:f>
        <x:v>0.1</x:v>
      </x:c>
      <x:c r="AP14" s="43" t="n">
        <x:f>'Assumptions'!$D$130</x:f>
        <x:v>0.1</x:v>
      </x:c>
      <x:c r="AQ14" s="43" t="n">
        <x:f>'Assumptions'!$D$130</x:f>
        <x:v>0.1</x:v>
      </x:c>
    </x:row>
    <x:row r="15" ht="21" customHeight="1">
      <x:c r="A15" s="2"/>
      <x:c r="B15" s="2"/>
      <x:c r="C15" s="2" t="str">
        <x:v>Fixed TCE (USD/day)</x:v>
      </x:c>
      <x:c r="D15" s="2"/>
      <x:c r="E15" s="34" t="n">
        <x:f>'Assumptions'!$D$135*(1+'Assumptions'!$D$80)^(((E$7+E$8)/2-46307)/365)</x:f>
        <x:v>24052.792646574</x:v>
      </x:c>
      <x:c r="F15" s="34" t="n">
        <x:f>'Assumptions'!$D$135*(1+'Assumptions'!$D$80)^(((F$7+F$8)/2-46307)/365)</x:f>
        <x:v>24163.96995534517</x:v>
      </x:c>
      <x:c r="G15" s="34" t="n">
        <x:f>'Assumptions'!$D$135*(1+'Assumptions'!$D$80)^(((G$7+G$8)/2-46307)/365)</x:f>
        <x:v>24282.905985208217</x:v>
      </x:c>
      <x:c r="H15" s="34" t="n">
        <x:f>'Assumptions'!$D$135*(1+'Assumptions'!$D$80)^(((H$7+H$8)/2-46307)/365)</x:f>
        <x:v>24403.751382666105</x:v>
      </x:c>
      <x:c r="I15" s="34" t="n">
        <x:f>'Assumptions'!$D$135*(1+'Assumptions'!$D$80)^(((I$7+I$8)/2-46307)/365)</x:f>
        <x:v>24525.86347608412</x:v>
      </x:c>
      <x:c r="J15" s="34" t="n">
        <x:f>'Assumptions'!$D$135*(1+'Assumptions'!$D$80)^(((J$7+J$8)/2-46307)/365)</x:f>
        <x:v>24647.9179666616</x:v>
      </x:c>
      <x:c r="K15" s="34" t="n">
        <x:f>'Assumptions'!$D$135*(1+'Assumptions'!$D$80)^(((K$7+K$8)/2-46307)/365)</x:f>
        <x:v>24769.907929430567</x:v>
      </x:c>
      <x:c r="L15" s="34" t="n">
        <x:f>'Assumptions'!$D$135*(1+'Assumptions'!$D$80)^(((L$7+L$8)/2-46307)/365)</x:f>
        <x:v>24893.17692246422</x:v>
      </x:c>
      <x:c r="M15" s="34" t="n">
        <x:f>'Assumptions'!$D$135*(1+'Assumptions'!$D$80)^(((M$7+M$8)/2-46307)/365)</x:f>
        <x:v>25017.738015476592</x:v>
      </x:c>
      <x:c r="N15" s="34" t="n">
        <x:f>'Assumptions'!$D$135*(1+'Assumptions'!$D$80)^(((N$7+N$8)/2-46307)/365)</x:f>
        <x:v>25141.558328948908</x:v>
      </x:c>
      <x:c r="O15" s="34" t="n">
        <x:f>'Assumptions'!$D$135*(1+'Assumptions'!$D$80)^(((O$7+O$8)/2-46307)/365)</x:f>
        <x:v>25265.30608801918</x:v>
      </x:c>
      <x:c r="P15" s="34" t="n">
        <x:f>'Assumptions'!$D$135*(1+'Assumptions'!$D$80)^(((P$7+P$8)/2-46307)/365)</x:f>
        <x:v>25391.040460913504</x:v>
      </x:c>
      <x:c r="Q15" s="34" t="n">
        <x:f>'Assumptions'!$D$135*(1+'Assumptions'!$D$80)^(((Q$7+Q$8)/2-46307)/365)</x:f>
        <x:v>25707.772067575916</x:v>
      </x:c>
      <x:c r="R15" s="34" t="n">
        <x:f>'Assumptions'!$D$135*(1+'Assumptions'!$D$80)^(((R$7+R$8)/2-46307)/365)</x:f>
        <x:v>26221.92750892744</x:v>
      </x:c>
      <x:c r="S15" s="34" t="n">
        <x:f>'Assumptions'!$D$135*(1+'Assumptions'!$D$80)^(((S$7+S$8)/2-46307)/365)</x:f>
        <x:v>26747.091614588884</x:v>
      </x:c>
      <x:c r="T15" s="34" t="n">
        <x:f>'Assumptions'!$D$135*(1+'Assumptions'!$D$80)^(((T$7+T$8)/2-46307)/365)</x:f>
        <x:v>27282.773533549196</x:v>
      </x:c>
      <x:c r="U15" s="34" t="n">
        <x:f>'Assumptions'!$D$135*(1+'Assumptions'!$D$80)^(((U$7+U$8)/2-46307)/365)</x:f>
        <x:v>27828.42900422018</x:v>
      </x:c>
      <x:c r="V15" s="34" t="n">
        <x:f>'Assumptions'!$D$135*(1+'Assumptions'!$D$80)^(((V$7+V$8)/2-46307)/365)</x:f>
        <x:v>28384.997584304583</x:v>
      </x:c>
      <x:c r="W15" s="34" t="n">
        <x:f>'Assumptions'!$D$135*(1+'Assumptions'!$D$80)^(((W$7+W$8)/2-46307)/365)</x:f>
        <x:v>28953.482943189374</x:v>
      </x:c>
      <x:c r="X15" s="34" t="n">
        <x:f>'Assumptions'!$D$135*(1+'Assumptions'!$D$80)^(((X$7+X$8)/2-46307)/365)</x:f>
        <x:v>29533.3537391279</x:v>
      </x:c>
      <x:c r="Y15" s="34" t="n">
        <x:f>'Assumptions'!$D$135*(1+'Assumptions'!$D$80)^(((Y$7+Y$8)/2-46307)/365)</x:f>
        <x:v>30124.020813910458</x:v>
      </x:c>
      <x:c r="Z15" s="34" t="n">
        <x:f>'Assumptions'!$D$135*(1+'Assumptions'!$D$80)^(((Z$7+Z$8)/2-46307)/365)</x:f>
        <x:v>30726.501230188667</x:v>
      </x:c>
      <x:c r="AA15" s="34" t="n">
        <x:f>'Assumptions'!$D$135*(1+'Assumptions'!$D$80)^(((AA$7+AA$8)/2-46307)/365)</x:f>
        <x:v>31341.881450928107</x:v>
      </x:c>
      <x:c r="AB15" s="34" t="n">
        <x:f>'Assumptions'!$D$135*(1+'Assumptions'!$D$80)^(((AB$7+AB$8)/2-46307)/365)</x:f>
        <x:v>31969.58630352981</x:v>
      </x:c>
      <x:c r="AC15" s="34" t="n">
        <x:f>'Assumptions'!$D$135*(1+'Assumptions'!$D$80)^(((AC$7+AC$8)/2-46307)/365)</x:f>
        <x:v>32608.978029600406</x:v>
      </x:c>
      <x:c r="AD15" s="34" t="n">
        <x:f>'Assumptions'!$D$135*(1+'Assumptions'!$D$80)^(((AD$7+AD$8)/2-46307)/365)</x:f>
        <x:v>33261.157590192415</x:v>
      </x:c>
      <x:c r="AE15" s="34" t="n">
        <x:f>'Assumptions'!$D$135*(1+'Assumptions'!$D$80)^(((AE$7+AE$8)/2-46307)/365)</x:f>
        <x:v>33927.30107156582</x:v>
      </x:c>
      <x:c r="AF15" s="34" t="n">
        <x:f>'Assumptions'!$D$135*(1+'Assumptions'!$D$80)^(((AF$7+AF$8)/2-46307)/365)</x:f>
        <x:v>34606.78585462341</x:v>
      </x:c>
      <x:c r="AG15" s="34" t="n">
        <x:f>'Assumptions'!$D$135*(1+'Assumptions'!$D$80)^(((AG$7+AG$8)/2-46307)/365)</x:f>
        <x:v>35298.92157171588</x:v>
      </x:c>
      <x:c r="AH15" s="34" t="n">
        <x:f>'Assumptions'!$D$135*(1+'Assumptions'!$D$80)^(((AH$7+AH$8)/2-46307)/365)</x:f>
        <x:v>36004.9000031502</x:v>
      </x:c>
      <x:c r="AI15" s="34" t="n">
        <x:f>'Assumptions'!$D$135*(1+'Assumptions'!$D$80)^(((AI$7+AI$8)/2-46307)/365)</x:f>
        <x:v>36725.99425158585</x:v>
      </x:c>
      <x:c r="AJ15" s="34" t="n">
        <x:f>'Assumptions'!$D$135*(1+'Assumptions'!$D$80)^(((AJ$7+AJ$8)/2-46307)/365)</x:f>
        <x:v>37461.53033752366</x:v>
      </x:c>
      <x:c r="AK15" s="34" t="n">
        <x:f>'Assumptions'!$D$135*(1+'Assumptions'!$D$80)^(((AK$7+AK$8)/2-46307)/365)</x:f>
        <x:v>38210.76094427414</x:v>
      </x:c>
      <x:c r="AL15" s="34" t="n">
        <x:f>'Assumptions'!$D$135*(1+'Assumptions'!$D$80)^(((AL$7+AL$8)/2-46307)/365)</x:f>
        <x:v>38974.97616315962</x:v>
      </x:c>
      <x:c r="AM15" s="34" t="n">
        <x:f>'Assumptions'!$D$135*(1+'Assumptions'!$D$80)^(((AM$7+AM$8)/2-46307)/365)</x:f>
        <x:v>39755.55411620801</x:v>
      </x:c>
      <x:c r="AN15" s="34" t="n">
        <x:f>'Assumptions'!$D$135*(1+'Assumptions'!$D$80)^(((AN$7+AN$8)/2-46307)/365)</x:f>
        <x:v>40551.76522675302</x:v>
      </x:c>
      <x:c r="AO15" s="34" t="n">
        <x:f>'Assumptions'!$D$135*(1+'Assumptions'!$D$80)^(((AO$7+AO$8)/2-46307)/365)</x:f>
        <x:v>41362.80053128808</x:v>
      </x:c>
      <x:c r="AP15" s="34" t="n">
        <x:f>'Assumptions'!$D$135*(1+'Assumptions'!$D$80)^(((AP$7+AP$8)/2-46307)/365)</x:f>
        <x:v>42190.056541913844</x:v>
      </x:c>
      <x:c r="AQ15" s="34" t="n">
        <x:f>'Assumptions'!$D$135*(1+'Assumptions'!$D$80)^(((AQ$7+AQ$8)/2-46307)/365)</x:f>
        <x:v>43035.02506316754</x:v>
      </x:c>
    </x:row>
    <x:row r="16" ht="21" customHeight="1">
      <x:c r="A16" s="2"/>
      <x:c r="B16" s="2"/>
      <x:c r="C16" s="2" t="str">
        <x:v>TCE cash revenue</x:v>
      </x:c>
      <x:c r="D16" s="2"/>
      <x:c r="E16" s="39" t="n">
        <x:f>E12*((1-E14)*E13+E14*E15)</x:f>
        <x:v>3992282.523478353</x:v>
      </x:c>
      <x:c r="F16" s="39" t="n">
        <x:f>F12*((1-F14)*F13+F14*F15)</x:f>
        <x:v>4512077.699836715</x:v>
      </x:c>
      <x:c r="G16" s="39" t="n">
        <x:f>G12*((1-G14)*G13+G14*G15)</x:f>
        <x:v>4584667.286545779</x:v>
      </x:c>
      <x:c r="H16" s="39" t="n">
        <x:f>H12*((1-H14)*H13+H14*H15)</x:f>
        <x:v>4658114.852669158</x:v>
      </x:c>
      <x:c r="I16" s="39" t="n">
        <x:f>I12*((1-I14)*I13+I14*I15)</x:f>
        <x:v>4681423.242724509</x:v>
      </x:c>
      <x:c r="J16" s="39" t="n">
        <x:f>J12*((1-J14)*J13+J14*J15)</x:f>
        <x:v>4653582.369921135</x:v>
      </x:c>
      <x:c r="K16" s="39" t="n">
        <x:f>K12*((1-K14)*K13+K14*K15)</x:f>
        <x:v>4676614.349369332</x:v>
      </x:c>
      <x:c r="L16" s="39" t="n">
        <x:f>L12*((1-L14)*L13+L14*L15)</x:f>
        <x:v>4751534.931429203</x:v>
      </x:c>
      <x:c r="M16" s="39" t="n">
        <x:f>M12*((1-M14)*M13+M14*M15)</x:f>
        <x:v>4775310.779180126</x:v>
      </x:c>
      <x:c r="N16" s="39" t="n">
        <x:f>N12*((1-N14)*N13+N14*N15)</x:f>
        <x:v>4694620.332868807</x:v>
      </x:c>
      <x:c r="O16" s="39" t="n">
        <x:f>O12*((1-O14)*O13+O14*O15)</x:f>
        <x:v>4770146.636356719</x:v>
      </x:c>
      <x:c r="P16" s="39" t="n">
        <x:f>P12*((1-P14)*P13+P14*P15)</x:f>
        <x:v>4846565.630057787</x:v>
      </x:c>
      <x:c r="Q16" s="39" t="n">
        <x:f>Q12*((1-Q14)*Q13+Q14*Q15)</x:f>
        <x:v>19468078.035479143</x:v>
      </x:c>
      <x:c r="R16" s="39" t="n">
        <x:f>R12*((1-R14)*R13+R14*R15)</x:f>
        <x:v>19857439.596188728</x:v>
      </x:c>
      <x:c r="S16" s="39" t="n">
        <x:f>S12*((1-S14)*S13+S14*S15)</x:f>
        <x:v>20310631.367816795</x:v>
      </x:c>
      <x:c r="T16" s="39" t="n">
        <x:f>T12*((1-T14)*T13+T14*T15)</x:f>
        <x:v>20660801.051886883</x:v>
      </x:c>
      <x:c r="U16" s="39" t="n">
        <x:f>U12*((1-U14)*U13+U14*U15)</x:f>
        <x:v>21074017.07292462</x:v>
      </x:c>
      <x:c r="V16" s="39" t="n">
        <x:f>V12*((1-V14)*V13+V14*V15)</x:f>
        <x:v>21495497.414383113</x:v>
      </x:c>
      <x:c r="W16" s="39" t="n">
        <x:f>W12*((1-W14)*W13+W14*W15)</x:f>
        <x:v>21986073.37751587</x:v>
      </x:c>
      <x:c r="X16" s="39" t="n">
        <x:f>X12*((1-X14)*X13+X14*X15)</x:f>
        <x:v>22365128.869643293</x:v>
      </x:c>
      <x:c r="Y16" s="39" t="n">
        <x:f>Y12*((1-Y14)*Y13+Y14*Y15)</x:f>
        <x:v>22812431.447036162</x:v>
      </x:c>
      <x:c r="Z16" s="39" t="n">
        <x:f>Z12*((1-Z14)*Z13+Z14*Z15)</x:f>
        <x:v>23268680.075976886</x:v>
      </x:c>
      <x:c r="AA16" s="39" t="n">
        <x:f>AA12*((1-AA14)*AA13+AA14*AA15)</x:f>
        <x:v>23799724.085754592</x:v>
      </x:c>
      <x:c r="AB16" s="39" t="n">
        <x:f>AB12*((1-AB14)*AB13+AB14*AB15)</x:f>
        <x:v>24210048.20188569</x:v>
      </x:c>
      <x:c r="AC16" s="39" t="n">
        <x:f>AC12*((1-AC14)*AC13+AC14*AC15)</x:f>
        <x:v>24694249.165923405</x:v>
      </x:c>
      <x:c r="AD16" s="39" t="n">
        <x:f>AD12*((1-AD14)*AD13+AD14*AD15)</x:f>
        <x:v>25188134.149241876</x:v>
      </x:c>
      <x:c r="AE16" s="39" t="n">
        <x:f>AE12*((1-AE14)*AE13+AE14*AE15)</x:f>
        <x:v>25762984.450752616</x:v>
      </x:c>
      <x:c r="AF16" s="39" t="n">
        <x:f>AF12*((1-AF14)*AF13+AF14*AF15)</x:f>
        <x:v>19601517.103863217</x:v>
      </x:c>
      <x:c r="AG16" s="39" t="n">
        <x:f>AG12*((1-AG14)*AG13+AG14*AG15)</x:f>
        <x:v>0</x:v>
      </x:c>
      <x:c r="AH16" s="39" t="n">
        <x:f>AH12*((1-AH14)*AH13+AH14*AH15)</x:f>
        <x:v>0</x:v>
      </x:c>
      <x:c r="AI16" s="39" t="n">
        <x:f>AI12*((1-AI14)*AI13+AI14*AI15)</x:f>
        <x:v>0</x:v>
      </x:c>
      <x:c r="AJ16" s="39" t="n">
        <x:f>AJ12*((1-AJ14)*AJ13+AJ14*AJ15)</x:f>
        <x:v>0</x:v>
      </x:c>
      <x:c r="AK16" s="39" t="n">
        <x:f>AK12*((1-AK14)*AK13+AK14*AK15)</x:f>
        <x:v>0</x:v>
      </x:c>
      <x:c r="AL16" s="39" t="n">
        <x:f>AL12*((1-AL14)*AL13+AL14*AL15)</x:f>
        <x:v>0</x:v>
      </x:c>
      <x:c r="AM16" s="39" t="n">
        <x:f>AM12*((1-AM14)*AM13+AM14*AM15)</x:f>
        <x:v>0</x:v>
      </x:c>
      <x:c r="AN16" s="39" t="n">
        <x:f>AN12*((1-AN14)*AN13+AN14*AN15)</x:f>
        <x:v>0</x:v>
      </x:c>
      <x:c r="AO16" s="39" t="n">
        <x:f>AO12*((1-AO14)*AO13+AO14*AO15)</x:f>
        <x:v>0</x:v>
      </x:c>
      <x:c r="AP16" s="39" t="n">
        <x:f>AP12*((1-AP14)*AP13+AP14*AP15)</x:f>
        <x:v>0</x:v>
      </x:c>
      <x:c r="AQ16" s="39" t="n">
        <x:f>AQ12*((1-AQ14)*AQ13+AQ14*AQ15)</x:f>
        <x:v>0</x:v>
      </x:c>
    </x:row>
    <x:row r="17" ht="21" customHeight="1">
      <x:c r="A17" s="2"/>
      <x:c r="B17" s="2"/>
      <x:c r="C17" s="2" t="str">
        <x:v>Vessel operating cost</x:v>
      </x:c>
      <x:c r="D17" s="2"/>
      <x:c r="E17" s="37" t="n">
        <x:f>E11*'Assumptions'!$D$50*(1+'Assumptions'!$D$80)^(((E$7+E$8)/2-46307)/365)</x:f>
        <x:v>1090393.2666446879</x:v>
      </x:c>
      <x:c r="F17" s="37" t="n">
        <x:f>F11*'Assumptions'!$D$50*(1+'Assumptions'!$D$80)^(((F$7+F$8)/2-46307)/365)</x:f>
        <x:v>1232362.4677226036</x:v>
      </x:c>
      <x:c r="G17" s="37" t="n">
        <x:f>G11*'Assumptions'!$D$50*(1+'Assumptions'!$D$80)^(((G$7+G$8)/2-46307)/365)</x:f>
        <x:v>1252188.5186372371</x:v>
      </x:c>
      <x:c r="H17" s="37" t="n">
        <x:f>H11*'Assumptions'!$D$50*(1+'Assumptions'!$D$80)^(((H$7+H$8)/2-46307)/365)</x:f>
        <x:v>1272248.9054163264</x:v>
      </x:c>
      <x:c r="I17" s="37" t="n">
        <x:f>I11*'Assumptions'!$D$50*(1+'Assumptions'!$D$80)^(((I$7+I$8)/2-46307)/365)</x:f>
        <x:v>1278615.0158865186</x:v>
      </x:c>
      <x:c r="J17" s="37" t="n">
        <x:f>J11*'Assumptions'!$D$50*(1+'Assumptions'!$D$80)^(((J$7+J$8)/2-46307)/365)</x:f>
        <x:v>1271010.9698141832</x:v>
      </x:c>
      <x:c r="K17" s="37" t="n">
        <x:f>K11*'Assumptions'!$D$50*(1+'Assumptions'!$D$80)^(((K$7+K$8)/2-46307)/365)</x:f>
        <x:v>1277301.5855609695</x:v>
      </x:c>
      <x:c r="L17" s="37" t="n">
        <x:f>L11*'Assumptions'!$D$50*(1+'Assumptions'!$D$80)^(((L$7+L$8)/2-46307)/365)</x:f>
        <x:v>1297764.2902244679</x:v>
      </x:c>
      <x:c r="M17" s="37" t="n">
        <x:f>M11*'Assumptions'!$D$50*(1+'Assumptions'!$D$80)^(((M$7+M$8)/2-46307)/365)</x:f>
        <x:v>1304258.0752068465</x:v>
      </x:c>
      <x:c r="N17" s="37" t="n">
        <x:f>N11*'Assumptions'!$D$50*(1+'Assumptions'!$D$80)^(((N$7+N$8)/2-46307)/365)</x:f>
        <x:v>1282219.4747763942</x:v>
      </x:c>
      <x:c r="O17" s="37" t="n">
        <x:f>O11*'Assumptions'!$D$50*(1+'Assumptions'!$D$80)^(((O$7+O$8)/2-46307)/365)</x:f>
        <x:v>1302847.6172721891</x:v>
      </x:c>
      <x:c r="P17" s="37" t="n">
        <x:f>P11*'Assumptions'!$D$50*(1+'Assumptions'!$D$80)^(((P$7+P$8)/2-46307)/365)</x:f>
        <x:v>1323719.5760289575</x:v>
      </x:c>
      <x:c r="Q17" s="37" t="n">
        <x:f>Q11*'Assumptions'!$D$50*(1+'Assumptions'!$D$80)^(((Q$7+Q$8)/2-46307)/365)</x:f>
        <x:v>5317224.189310285</x:v>
      </x:c>
      <x:c r="R17" s="37" t="n">
        <x:f>R11*'Assumptions'!$D$50*(1+'Assumptions'!$D$80)^(((R$7+R$8)/2-46307)/365)</x:f>
        <x:v>5423568.673096492</x:v>
      </x:c>
      <x:c r="S17" s="37" t="n">
        <x:f>S11*'Assumptions'!$D$50*(1+'Assumptions'!$D$80)^(((S$7+S$8)/2-46307)/365)</x:f>
        <x:v>5547346.800865735</x:v>
      </x:c>
      <x:c r="T17" s="37" t="n">
        <x:f>T11*'Assumptions'!$D$50*(1+'Assumptions'!$D$80)^(((T$7+T$8)/2-46307)/365)</x:f>
        <x:v>5642986.992522426</x:v>
      </x:c>
      <x:c r="U17" s="37" t="n">
        <x:f>U11*'Assumptions'!$D$50*(1+'Assumptions'!$D$80)^(((U$7+U$8)/2-46307)/365)</x:f>
        <x:v>5755846.732372873</x:v>
      </x:c>
      <x:c r="V17" s="37" t="n">
        <x:f>V11*'Assumptions'!$D$50*(1+'Assumptions'!$D$80)^(((V$7+V$8)/2-46307)/365)</x:f>
        <x:v>5870963.667020331</x:v>
      </x:c>
      <x:c r="W17" s="37" t="n">
        <x:f>W11*'Assumptions'!$D$50*(1+'Assumptions'!$D$80)^(((W$7+W$8)/2-46307)/365)</x:f>
        <x:v>6004952.362417476</x:v>
      </x:c>
      <x:c r="X17" s="37" t="n">
        <x:f>X11*'Assumptions'!$D$50*(1+'Assumptions'!$D$80)^(((X$7+X$8)/2-46307)/365)</x:f>
        <x:v>6108481.998376287</x:v>
      </x:c>
      <x:c r="Y17" s="37" t="n">
        <x:f>Y11*'Assumptions'!$D$50*(1+'Assumptions'!$D$80)^(((Y$7+Y$8)/2-46307)/365)</x:f>
        <x:v>6230651.638343813</x:v>
      </x:c>
      <x:c r="Z17" s="37" t="n">
        <x:f>Z11*'Assumptions'!$D$50*(1+'Assumptions'!$D$80)^(((Z$7+Z$8)/2-46307)/365)</x:f>
        <x:v>6355264.67111069</x:v>
      </x:c>
      <x:c r="AA17" s="37" t="n">
        <x:f>AA11*'Assumptions'!$D$50*(1+'Assumptions'!$D$80)^(((AA$7+AA$8)/2-46307)/365)</x:f>
        <x:v>6500306.212922489</x:v>
      </x:c>
      <x:c r="AB17" s="37" t="n">
        <x:f>AB11*'Assumptions'!$D$50*(1+'Assumptions'!$D$80)^(((AB$7+AB$8)/2-46307)/365)</x:f>
        <x:v>6612376.100446749</x:v>
      </x:c>
      <x:c r="AC17" s="37" t="n">
        <x:f>AC11*'Assumptions'!$D$50*(1+'Assumptions'!$D$80)^(((AC$7+AC$8)/2-46307)/365)</x:f>
        <x:v>6744623.6224556845</x:v>
      </x:c>
      <x:c r="AD17" s="37" t="n">
        <x:f>AD11*'Assumptions'!$D$50*(1+'Assumptions'!$D$80)^(((AD$7+AD$8)/2-46307)/365)</x:f>
        <x:v>6879516.094904798</x:v>
      </x:c>
      <x:c r="AE17" s="37" t="n">
        <x:f>AE11*'Assumptions'!$D$50*(1+'Assumptions'!$D$80)^(((AE$7+AE$8)/2-46307)/365)</x:f>
        <x:v>7036522.24224275</x:v>
      </x:c>
      <x:c r="AF17" s="37" t="n">
        <x:f>AF11*'Assumptions'!$D$50*(1+'Assumptions'!$D$80)^(((AF$7+AF$8)/2-46307)/365)</x:f>
        <x:v>5353669.771710242</x:v>
      </x:c>
      <x:c r="AG17" s="37" t="n">
        <x:f>AG11*'Assumptions'!$D$50*(1+'Assumptions'!$D$80)^(((AG$7+AG$8)/2-46307)/365)</x:f>
        <x:v>0</x:v>
      </x:c>
      <x:c r="AH17" s="37" t="n">
        <x:f>AH11*'Assumptions'!$D$50*(1+'Assumptions'!$D$80)^(((AH$7+AH$8)/2-46307)/365)</x:f>
        <x:v>0</x:v>
      </x:c>
      <x:c r="AI17" s="37" t="n">
        <x:f>AI11*'Assumptions'!$D$50*(1+'Assumptions'!$D$80)^(((AI$7+AI$8)/2-46307)/365)</x:f>
        <x:v>0</x:v>
      </x:c>
      <x:c r="AJ17" s="37" t="n">
        <x:f>AJ11*'Assumptions'!$D$50*(1+'Assumptions'!$D$80)^(((AJ$7+AJ$8)/2-46307)/365)</x:f>
        <x:v>0</x:v>
      </x:c>
      <x:c r="AK17" s="37" t="n">
        <x:f>AK11*'Assumptions'!$D$50*(1+'Assumptions'!$D$80)^(((AK$7+AK$8)/2-46307)/365)</x:f>
        <x:v>0</x:v>
      </x:c>
      <x:c r="AL17" s="37" t="n">
        <x:f>AL11*'Assumptions'!$D$50*(1+'Assumptions'!$D$80)^(((AL$7+AL$8)/2-46307)/365)</x:f>
        <x:v>0</x:v>
      </x:c>
      <x:c r="AM17" s="37" t="n">
        <x:f>AM11*'Assumptions'!$D$50*(1+'Assumptions'!$D$80)^(((AM$7+AM$8)/2-46307)/365)</x:f>
        <x:v>0</x:v>
      </x:c>
      <x:c r="AN17" s="37" t="n">
        <x:f>AN11*'Assumptions'!$D$50*(1+'Assumptions'!$D$80)^(((AN$7+AN$8)/2-46307)/365)</x:f>
        <x:v>0</x:v>
      </x:c>
      <x:c r="AO17" s="37" t="n">
        <x:f>AO11*'Assumptions'!$D$50*(1+'Assumptions'!$D$80)^(((AO$7+AO$8)/2-46307)/365)</x:f>
        <x:v>0</x:v>
      </x:c>
      <x:c r="AP17" s="37" t="n">
        <x:f>AP11*'Assumptions'!$D$50*(1+'Assumptions'!$D$80)^(((AP$7+AP$8)/2-46307)/365)</x:f>
        <x:v>0</x:v>
      </x:c>
      <x:c r="AQ17" s="37" t="n">
        <x:f>AQ11*'Assumptions'!$D$50*(1+'Assumptions'!$D$80)^(((AQ$7+AQ$8)/2-46307)/365)</x:f>
        <x:v>0</x:v>
      </x:c>
    </x:row>
    <x:row r="18" ht="21" customHeight="1">
      <x:c r="A18" s="2"/>
      <x:c r="B18" s="2"/>
      <x:c r="C18" s="2" t="str">
        <x:v>Management fees</x:v>
      </x:c>
      <x:c r="D18" s="2"/>
      <x:c r="E18" s="37" t="n">
        <x:f>E11*'Assumptions'!$D$55*(1+'Assumptions'!$D$80)^(((E$7+E$8)/2-46307)/365)</x:f>
        <x:v>37682.708479632594</x:v>
      </x:c>
      <x:c r="F18" s="37" t="n">
        <x:f>F11*'Assumptions'!$D$55*(1+'Assumptions'!$D$80)^(((F$7+F$8)/2-46307)/365)</x:f>
        <x:v>42588.99704629586</x:v>
      </x:c>
      <x:c r="G18" s="37" t="n">
        <x:f>G11*'Assumptions'!$D$55*(1+'Assumptions'!$D$80)^(((G$7+G$8)/2-46307)/365)</x:f>
        <x:v>43274.16204113981</x:v>
      </x:c>
      <x:c r="H18" s="37" t="n">
        <x:f>H11*'Assumptions'!$D$55*(1+'Assumptions'!$D$80)^(((H$7+H$8)/2-46307)/365)</x:f>
        <x:v>43967.4254077701</x:v>
      </x:c>
      <x:c r="I18" s="37" t="n">
        <x:f>I11*'Assumptions'!$D$55*(1+'Assumptions'!$D$80)^(((I$7+I$8)/2-46307)/365)</x:f>
        <x:v>44187.43069607822</x:v>
      </x:c>
      <x:c r="J18" s="37" t="n">
        <x:f>J11*'Assumptions'!$D$55*(1+'Assumptions'!$D$80)^(((J$7+J$8)/2-46307)/365)</x:f>
        <x:v>43924.64380975486</x:v>
      </x:c>
      <x:c r="K18" s="37" t="n">
        <x:f>K11*'Assumptions'!$D$55*(1+'Assumptions'!$D$80)^(((K$7+K$8)/2-46307)/365)</x:f>
        <x:v>44142.04008923939</x:v>
      </x:c>
      <x:c r="L18" s="37" t="n">
        <x:f>L11*'Assumptions'!$D$55*(1+'Assumptions'!$D$80)^(((L$7+L$8)/2-46307)/365)</x:f>
        <x:v>44849.207088639705</x:v>
      </x:c>
      <x:c r="M18" s="37" t="n">
        <x:f>M11*'Assumptions'!$D$55*(1+'Assumptions'!$D$80)^(((M$7+M$8)/2-46307)/365)</x:f>
        <x:v>45073.624657883665</x:v>
      </x:c>
      <x:c r="N18" s="37" t="n">
        <x:f>N11*'Assumptions'!$D$55*(1+'Assumptions'!$D$80)^(((N$7+N$8)/2-46307)/365)</x:f>
        <x:v>44311.99655477245</x:v>
      </x:c>
      <x:c r="O18" s="37" t="n">
        <x:f>O11*'Assumptions'!$D$55*(1+'Assumptions'!$D$80)^(((O$7+O$8)/2-46307)/365)</x:f>
        <x:v>45024.880891024186</x:v>
      </x:c>
      <x:c r="P18" s="37" t="n">
        <x:f>P11*'Assumptions'!$D$55*(1+'Assumptions'!$D$80)^(((P$7+P$8)/2-46307)/365)</x:f>
        <x:v>45746.1912304125</x:v>
      </x:c>
      <x:c r="Q18" s="37" t="n">
        <x:f>Q11*'Assumptions'!$D$55*(1+'Assumptions'!$D$80)^(((Q$7+Q$8)/2-46307)/365)</x:f>
        <x:v>183757.01242469368</x:v>
      </x:c>
      <x:c r="R18" s="37" t="n">
        <x:f>R11*'Assumptions'!$D$55*(1+'Assumptions'!$D$80)^(((R$7+R$8)/2-46307)/365)</x:f>
        <x:v>187432.1526731876</x:v>
      </x:c>
      <x:c r="S18" s="37" t="n">
        <x:f>S11*'Assumptions'!$D$55*(1+'Assumptions'!$D$80)^(((S$7+S$8)/2-46307)/365)</x:f>
        <x:v>191709.77914756583</x:v>
      </x:c>
      <x:c r="T18" s="37" t="n">
        <x:f>T11*'Assumptions'!$D$55*(1+'Assumptions'!$D$80)^(((T$7+T$8)/2-46307)/365)</x:f>
        <x:v>195014.99165334852</x:v>
      </x:c>
      <x:c r="U18" s="37" t="n">
        <x:f>U11*'Assumptions'!$D$55*(1+'Assumptions'!$D$80)^(((U$7+U$8)/2-46307)/365)</x:f>
        <x:v>198915.2914864155</x:v>
      </x:c>
      <x:c r="V18" s="37" t="n">
        <x:f>V11*'Assumptions'!$D$55*(1+'Assumptions'!$D$80)^(((V$7+V$8)/2-46307)/365)</x:f>
        <x:v>202893.5973161438</x:v>
      </x:c>
      <x:c r="W18" s="37" t="n">
        <x:f>W11*'Assumptions'!$D$55*(1+'Assumptions'!$D$80)^(((W$7+W$8)/2-46307)/365)</x:f>
        <x:v>207524.08899530984</x:v>
      </x:c>
      <x:c r="X18" s="37" t="n">
        <x:f>X11*'Assumptions'!$D$55*(1+'Assumptions'!$D$80)^(((X$7+X$8)/2-46307)/365)</x:f>
        <x:v>211101.95141447464</x:v>
      </x:c>
      <x:c r="Y18" s="37" t="n">
        <x:f>Y11*'Assumptions'!$D$55*(1+'Assumptions'!$D$80)^(((Y$7+Y$8)/2-46307)/365)</x:f>
        <x:v>215323.99044276413</x:v>
      </x:c>
      <x:c r="Z18" s="37" t="n">
        <x:f>Z11*'Assumptions'!$D$55*(1+'Assumptions'!$D$80)^(((Z$7+Z$8)/2-46307)/365)</x:f>
        <x:v>219630.4702516194</x:v>
      </x:c>
      <x:c r="AA18" s="37" t="n">
        <x:f>AA11*'Assumptions'!$D$55*(1+'Assumptions'!$D$80)^(((AA$7+AA$8)/2-46307)/365)</x:f>
        <x:v>224642.9352995272</x:v>
      </x:c>
      <x:c r="AB18" s="37" t="n">
        <x:f>AB11*'Assumptions'!$D$55*(1+'Assumptions'!$D$80)^(((AB$7+AB$8)/2-46307)/365)</x:f>
        <x:v>228515.93876543912</x:v>
      </x:c>
      <x:c r="AC18" s="37" t="n">
        <x:f>AC11*'Assumptions'!$D$55*(1+'Assumptions'!$D$80)^(((AC$7+AC$8)/2-46307)/365)</x:f>
        <x:v>233086.2575407479</x:v>
      </x:c>
      <x:c r="AD18" s="37" t="n">
        <x:f>AD11*'Assumptions'!$D$55*(1+'Assumptions'!$D$80)^(((AD$7+AD$8)/2-46307)/365)</x:f>
        <x:v>237747.98269156285</x:v>
      </x:c>
      <x:c r="AE18" s="37" t="n">
        <x:f>AE11*'Assumptions'!$D$55*(1+'Assumptions'!$D$80)^(((AE$7+AE$8)/2-46307)/365)</x:f>
        <x:v>243173.93043044797</x:v>
      </x:c>
      <x:c r="AF18" s="37" t="n">
        <x:f>AF11*'Assumptions'!$D$55*(1+'Assumptions'!$D$80)^(((AF$7+AF$8)/2-46307)/365)</x:f>
        <x:v>185016.52887528043</x:v>
      </x:c>
      <x:c r="AG18" s="37" t="n">
        <x:f>AG11*'Assumptions'!$D$55*(1+'Assumptions'!$D$80)^(((AG$7+AG$8)/2-46307)/365)</x:f>
        <x:v>0</x:v>
      </x:c>
      <x:c r="AH18" s="37" t="n">
        <x:f>AH11*'Assumptions'!$D$55*(1+'Assumptions'!$D$80)^(((AH$7+AH$8)/2-46307)/365)</x:f>
        <x:v>0</x:v>
      </x:c>
      <x:c r="AI18" s="37" t="n">
        <x:f>AI11*'Assumptions'!$D$55*(1+'Assumptions'!$D$80)^(((AI$7+AI$8)/2-46307)/365)</x:f>
        <x:v>0</x:v>
      </x:c>
      <x:c r="AJ18" s="37" t="n">
        <x:f>AJ11*'Assumptions'!$D$55*(1+'Assumptions'!$D$80)^(((AJ$7+AJ$8)/2-46307)/365)</x:f>
        <x:v>0</x:v>
      </x:c>
      <x:c r="AK18" s="37" t="n">
        <x:f>AK11*'Assumptions'!$D$55*(1+'Assumptions'!$D$80)^(((AK$7+AK$8)/2-46307)/365)</x:f>
        <x:v>0</x:v>
      </x:c>
      <x:c r="AL18" s="37" t="n">
        <x:f>AL11*'Assumptions'!$D$55*(1+'Assumptions'!$D$80)^(((AL$7+AL$8)/2-46307)/365)</x:f>
        <x:v>0</x:v>
      </x:c>
      <x:c r="AM18" s="37" t="n">
        <x:f>AM11*'Assumptions'!$D$55*(1+'Assumptions'!$D$80)^(((AM$7+AM$8)/2-46307)/365)</x:f>
        <x:v>0</x:v>
      </x:c>
      <x:c r="AN18" s="37" t="n">
        <x:f>AN11*'Assumptions'!$D$55*(1+'Assumptions'!$D$80)^(((AN$7+AN$8)/2-46307)/365)</x:f>
        <x:v>0</x:v>
      </x:c>
      <x:c r="AO18" s="37" t="n">
        <x:f>AO11*'Assumptions'!$D$55*(1+'Assumptions'!$D$80)^(((AO$7+AO$8)/2-46307)/365)</x:f>
        <x:v>0</x:v>
      </x:c>
      <x:c r="AP18" s="37" t="n">
        <x:f>AP11*'Assumptions'!$D$55*(1+'Assumptions'!$D$80)^(((AP$7+AP$8)/2-46307)/365)</x:f>
        <x:v>0</x:v>
      </x:c>
      <x:c r="AQ18" s="37" t="n">
        <x:f>AQ11*'Assumptions'!$D$55*(1+'Assumptions'!$D$80)^(((AQ$7+AQ$8)/2-46307)/365)</x:f>
        <x:v>0</x:v>
      </x:c>
    </x:row>
    <x:row r="19" ht="21" customHeight="1">
      <x:c r="A19" s="2"/>
      <x:c r="B19" s="2"/>
      <x:c r="C19" s="2" t="str">
        <x:v>Drydock cash budget</x:v>
      </x:c>
      <x:c r="D19" s="2"/>
      <x:c r="E19" s="37" t="n">
        <x:f>E11/365*'Assumptions'!$D$65*(1+'Assumptions'!$D$80)^(((E$7+E$8)/2-46307)/365)</x:f>
        <x:v>263592.24818163284</x:v>
      </x:c>
      <x:c r="F19" s="37" t="n">
        <x:f>F11/365*'Assumptions'!$D$65*(1+'Assumptions'!$D$80)^(((F$7+F$8)/2-46307)/365)</x:f>
        <x:v>297911.95835357055</x:v>
      </x:c>
      <x:c r="G19" s="37" t="n">
        <x:f>G11/365*'Assumptions'!$D$65*(1+'Assumptions'!$D$80)^(((G$7+G$8)/2-46307)/365)</x:f>
        <x:v>302704.7184457463</x:v>
      </x:c>
      <x:c r="H19" s="37" t="n">
        <x:f>H11/365*'Assumptions'!$D$65*(1+'Assumptions'!$D$80)^(((H$7+H$8)/2-46307)/365)</x:f>
        <x:v>307554.12701442215</x:v>
      </x:c>
      <x:c r="I19" s="37" t="n">
        <x:f>I11/365*'Assumptions'!$D$65*(1+'Assumptions'!$D$80)^(((I$7+I$8)/2-46307)/365)</x:f>
        <x:v>309093.07394516974</x:v>
      </x:c>
      <x:c r="J19" s="37" t="n">
        <x:f>J11/365*'Assumptions'!$D$65*(1+'Assumptions'!$D$80)^(((J$7+J$8)/2-46307)/365)</x:f>
        <x:v>307254.8678035898</x:v>
      </x:c>
      <x:c r="K19" s="37" t="n">
        <x:f>K11/365*'Assumptions'!$D$65*(1+'Assumptions'!$D$80)^(((K$7+K$8)/2-46307)/365)</x:f>
        <x:v>308775.564599751</x:v>
      </x:c>
      <x:c r="L19" s="37" t="n">
        <x:f>L11/365*'Assumptions'!$D$65*(1+'Assumptions'!$D$80)^(((L$7+L$8)/2-46307)/365)</x:f>
        <x:v>313722.2297077683</x:v>
      </x:c>
      <x:c r="M19" s="37" t="n">
        <x:f>M11/365*'Assumptions'!$D$65*(1+'Assumptions'!$D$80)^(((M$7+M$8)/2-46307)/365)</x:f>
        <x:v>315292.0407429927</x:v>
      </x:c>
      <x:c r="N19" s="37" t="n">
        <x:f>N11/365*'Assumptions'!$D$65*(1+'Assumptions'!$D$80)^(((N$7+N$8)/2-46307)/365)</x:f>
        <x:v>309964.41775416455</x:v>
      </x:c>
      <x:c r="O19" s="37" t="n">
        <x:f>O11/365*'Assumptions'!$D$65*(1+'Assumptions'!$D$80)^(((O$7+O$8)/2-46307)/365)</x:f>
        <x:v>314951.075891746</x:v>
      </x:c>
      <x:c r="P19" s="37" t="n">
        <x:f>P11/365*'Assumptions'!$D$65*(1+'Assumptions'!$D$80)^(((P$7+P$8)/2-46307)/365)</x:f>
        <x:v>319996.67430192366</x:v>
      </x:c>
      <x:c r="Q19" s="37" t="n">
        <x:f>Q11/365*'Assumptions'!$D$65*(1+'Assumptions'!$D$80)^(((Q$7+Q$8)/2-46307)/365)</x:f>
        <x:v>1285388.6033787958</x:v>
      </x:c>
      <x:c r="R19" s="37" t="n">
        <x:f>R11/365*'Assumptions'!$D$65*(1+'Assumptions'!$D$80)^(((R$7+R$8)/2-46307)/365)</x:f>
        <x:v>1311096.375446372</x:v>
      </x:c>
      <x:c r="S19" s="37" t="n">
        <x:f>S11/365*'Assumptions'!$D$65*(1+'Assumptions'!$D$80)^(((S$7+S$8)/2-46307)/365)</x:f>
        <x:v>1341018.5658821277</x:v>
      </x:c>
      <x:c r="T19" s="37" t="n">
        <x:f>T11/365*'Assumptions'!$D$65*(1+'Assumptions'!$D$80)^(((T$7+T$8)/2-46307)/365)</x:f>
        <x:v>1364138.6766774599</x:v>
      </x:c>
      <x:c r="U19" s="37" t="n">
        <x:f>U11/365*'Assumptions'!$D$65*(1+'Assumptions'!$D$80)^(((U$7+U$8)/2-46307)/365)</x:f>
        <x:v>1391421.450211009</x:v>
      </x:c>
      <x:c r="V19" s="37" t="n">
        <x:f>V11/365*'Assumptions'!$D$65*(1+'Assumptions'!$D$80)^(((V$7+V$8)/2-46307)/365)</x:f>
        <x:v>1419249.879215229</x:v>
      </x:c>
      <x:c r="W19" s="37" t="n">
        <x:f>W11/365*'Assumptions'!$D$65*(1+'Assumptions'!$D$80)^(((W$7+W$8)/2-46307)/365)</x:f>
        <x:v>1451640.3776996317</x:v>
      </x:c>
      <x:c r="X19" s="37" t="n">
        <x:f>X11/365*'Assumptions'!$D$65*(1+'Assumptions'!$D$80)^(((X$7+X$8)/2-46307)/365)</x:f>
        <x:v>1476667.686956395</x:v>
      </x:c>
      <x:c r="Y19" s="37" t="n">
        <x:f>Y11/365*'Assumptions'!$D$65*(1+'Assumptions'!$D$80)^(((Y$7+Y$8)/2-46307)/365)</x:f>
        <x:v>1506201.040695523</x:v>
      </x:c>
      <x:c r="Z19" s="37" t="n">
        <x:f>Z11/365*'Assumptions'!$D$65*(1+'Assumptions'!$D$80)^(((Z$7+Z$8)/2-46307)/365)</x:f>
        <x:v>1536325.0615094334</x:v>
      </x:c>
      <x:c r="AA19" s="37" t="n">
        <x:f>AA11/365*'Assumptions'!$D$65*(1+'Assumptions'!$D$80)^(((AA$7+AA$8)/2-46307)/365)</x:f>
        <x:v>1571387.4809643407</x:v>
      </x:c>
      <x:c r="AB19" s="37" t="n">
        <x:f>AB11/365*'Assumptions'!$D$65*(1+'Assumptions'!$D$80)^(((AB$7+AB$8)/2-46307)/365)</x:f>
        <x:v>1598479.3151764905</x:v>
      </x:c>
      <x:c r="AC19" s="37" t="n">
        <x:f>AC11/365*'Assumptions'!$D$65*(1+'Assumptions'!$D$80)^(((AC$7+AC$8)/2-46307)/365)</x:f>
        <x:v>1630448.9014800203</x:v>
      </x:c>
      <x:c r="AD19" s="37" t="n">
        <x:f>AD11/365*'Assumptions'!$D$65*(1+'Assumptions'!$D$80)^(((AD$7+AD$8)/2-46307)/365)</x:f>
        <x:v>1663057.8795096208</x:v>
      </x:c>
      <x:c r="AE19" s="37" t="n">
        <x:f>AE11/365*'Assumptions'!$D$65*(1+'Assumptions'!$D$80)^(((AE$7+AE$8)/2-46307)/365)</x:f>
        <x:v>1701012.6290675465</x:v>
      </x:c>
      <x:c r="AF19" s="37" t="n">
        <x:f>AF11/365*'Assumptions'!$D$65*(1+'Assumptions'!$D$80)^(((AF$7+AF$8)/2-46307)/365)</x:f>
        <x:v>1294198.9778509852</x:v>
      </x:c>
      <x:c r="AG19" s="37" t="n">
        <x:f>AG11/365*'Assumptions'!$D$65*(1+'Assumptions'!$D$80)^(((AG$7+AG$8)/2-46307)/365)</x:f>
        <x:v>0</x:v>
      </x:c>
      <x:c r="AH19" s="37" t="n">
        <x:f>AH11/365*'Assumptions'!$D$65*(1+'Assumptions'!$D$80)^(((AH$7+AH$8)/2-46307)/365)</x:f>
        <x:v>0</x:v>
      </x:c>
      <x:c r="AI19" s="37" t="n">
        <x:f>AI11/365*'Assumptions'!$D$65*(1+'Assumptions'!$D$80)^(((AI$7+AI$8)/2-46307)/365)</x:f>
        <x:v>0</x:v>
      </x:c>
      <x:c r="AJ19" s="37" t="n">
        <x:f>AJ11/365*'Assumptions'!$D$65*(1+'Assumptions'!$D$80)^(((AJ$7+AJ$8)/2-46307)/365)</x:f>
        <x:v>0</x:v>
      </x:c>
      <x:c r="AK19" s="37" t="n">
        <x:f>AK11/365*'Assumptions'!$D$65*(1+'Assumptions'!$D$80)^(((AK$7+AK$8)/2-46307)/365)</x:f>
        <x:v>0</x:v>
      </x:c>
      <x:c r="AL19" s="37" t="n">
        <x:f>AL11/365*'Assumptions'!$D$65*(1+'Assumptions'!$D$80)^(((AL$7+AL$8)/2-46307)/365)</x:f>
        <x:v>0</x:v>
      </x:c>
      <x:c r="AM19" s="37" t="n">
        <x:f>AM11/365*'Assumptions'!$D$65*(1+'Assumptions'!$D$80)^(((AM$7+AM$8)/2-46307)/365)</x:f>
        <x:v>0</x:v>
      </x:c>
      <x:c r="AN19" s="37" t="n">
        <x:f>AN11/365*'Assumptions'!$D$65*(1+'Assumptions'!$D$80)^(((AN$7+AN$8)/2-46307)/365)</x:f>
        <x:v>0</x:v>
      </x:c>
      <x:c r="AO19" s="37" t="n">
        <x:f>AO11/365*'Assumptions'!$D$65*(1+'Assumptions'!$D$80)^(((AO$7+AO$8)/2-46307)/365)</x:f>
        <x:v>0</x:v>
      </x:c>
      <x:c r="AP19" s="37" t="n">
        <x:f>AP11/365*'Assumptions'!$D$65*(1+'Assumptions'!$D$80)^(((AP$7+AP$8)/2-46307)/365)</x:f>
        <x:v>0</x:v>
      </x:c>
      <x:c r="AQ19" s="37" t="n">
        <x:f>AQ11/365*'Assumptions'!$D$65*(1+'Assumptions'!$D$80)^(((AQ$7+AQ$8)/2-46307)/365)</x:f>
        <x:v>0</x:v>
      </x:c>
    </x:row>
    <x:row r="20" ht="21" customHeight="1">
      <x:c r="A20" s="2"/>
      <x:c r="B20" s="2"/>
      <x:c r="C20" s="2" t="str">
        <x:v>Other maintenance capex</x:v>
      </x:c>
      <x:c r="D20" s="2"/>
      <x:c r="E20" s="37" t="n">
        <x:f>E11/365*'Assumptions'!$D$70*(1+'Assumptions'!$D$80)^(((E$7+E$8)/2-46307)/365)</x:f>
        <x:v>43932.04136360547</x:v>
      </x:c>
      <x:c r="F20" s="37" t="n">
        <x:f>F11/365*'Assumptions'!$D$70*(1+'Assumptions'!$D$80)^(((F$7+F$8)/2-46307)/365)</x:f>
        <x:v>49651.99305892843</x:v>
      </x:c>
      <x:c r="G20" s="37" t="n">
        <x:f>G11/365*'Assumptions'!$D$70*(1+'Assumptions'!$D$80)^(((G$7+G$8)/2-46307)/365)</x:f>
        <x:v>50450.78640762438</x:v>
      </x:c>
      <x:c r="H20" s="37" t="n">
        <x:f>H11/365*'Assumptions'!$D$70*(1+'Assumptions'!$D$80)^(((H$7+H$8)/2-46307)/365)</x:f>
        <x:v>51259.02116907036</x:v>
      </x:c>
      <x:c r="I20" s="37" t="n">
        <x:f>I11/365*'Assumptions'!$D$70*(1+'Assumptions'!$D$80)^(((I$7+I$8)/2-46307)/365)</x:f>
        <x:v>51515.512324194955</x:v>
      </x:c>
      <x:c r="J20" s="37" t="n">
        <x:f>J11/365*'Assumptions'!$D$70*(1+'Assumptions'!$D$80)^(((J$7+J$8)/2-46307)/365)</x:f>
        <x:v>51209.14463393163</x:v>
      </x:c>
      <x:c r="K20" s="37" t="n">
        <x:f>K11/365*'Assumptions'!$D$70*(1+'Assumptions'!$D$80)^(((K$7+K$8)/2-46307)/365)</x:f>
        <x:v>51462.594099958485</x:v>
      </x:c>
      <x:c r="L20" s="37" t="n">
        <x:f>L11/365*'Assumptions'!$D$70*(1+'Assumptions'!$D$80)^(((L$7+L$8)/2-46307)/365)</x:f>
        <x:v>52287.03828462804</x:v>
      </x:c>
      <x:c r="M20" s="37" t="n">
        <x:f>M11/365*'Assumptions'!$D$70*(1+'Assumptions'!$D$80)^(((M$7+M$8)/2-46307)/365)</x:f>
        <x:v>52548.67345716545</x:v>
      </x:c>
      <x:c r="N20" s="37" t="n">
        <x:f>N11/365*'Assumptions'!$D$70*(1+'Assumptions'!$D$80)^(((N$7+N$8)/2-46307)/365)</x:f>
        <x:v>51660.736292360765</x:v>
      </x:c>
      <x:c r="O20" s="37" t="n">
        <x:f>O11/365*'Assumptions'!$D$70*(1+'Assumptions'!$D$80)^(((O$7+O$8)/2-46307)/365)</x:f>
        <x:v>52491.84598195766</x:v>
      </x:c>
      <x:c r="P20" s="37" t="n">
        <x:f>P11/365*'Assumptions'!$D$70*(1+'Assumptions'!$D$80)^(((P$7+P$8)/2-46307)/365)</x:f>
        <x:v>53332.779050320605</x:v>
      </x:c>
      <x:c r="Q20" s="37" t="n">
        <x:f>Q11/365*'Assumptions'!$D$70*(1+'Assumptions'!$D$80)^(((Q$7+Q$8)/2-46307)/365)</x:f>
        <x:v>214231.43389646598</x:v>
      </x:c>
      <x:c r="R20" s="37" t="n">
        <x:f>R11/365*'Assumptions'!$D$70*(1+'Assumptions'!$D$80)^(((R$7+R$8)/2-46307)/365)</x:f>
        <x:v>218516.06257439533</x:v>
      </x:c>
      <x:c r="S20" s="37" t="n">
        <x:f>S11/365*'Assumptions'!$D$70*(1+'Assumptions'!$D$80)^(((S$7+S$8)/2-46307)/365)</x:f>
        <x:v>223503.094313688</x:v>
      </x:c>
      <x:c r="T20" s="37" t="n">
        <x:f>T11/365*'Assumptions'!$D$70*(1+'Assumptions'!$D$80)^(((T$7+T$8)/2-46307)/365)</x:f>
        <x:v>227356.44611290997</x:v>
      </x:c>
      <x:c r="U20" s="37" t="n">
        <x:f>U11/365*'Assumptions'!$D$70*(1+'Assumptions'!$D$80)^(((U$7+U$8)/2-46307)/365)</x:f>
        <x:v>231903.57503516815</x:v>
      </x:c>
      <x:c r="V20" s="37" t="n">
        <x:f>V11/365*'Assumptions'!$D$70*(1+'Assumptions'!$D$80)^(((V$7+V$8)/2-46307)/365)</x:f>
        <x:v>236541.64653587152</x:v>
      </x:c>
      <x:c r="W20" s="37" t="n">
        <x:f>W11/365*'Assumptions'!$D$70*(1+'Assumptions'!$D$80)^(((W$7+W$8)/2-46307)/365)</x:f>
        <x:v>241940.06294993864</x:v>
      </x:c>
      <x:c r="X20" s="37" t="n">
        <x:f>X11/365*'Assumptions'!$D$70*(1+'Assumptions'!$D$80)^(((X$7+X$8)/2-46307)/365)</x:f>
        <x:v>246111.28115939916</x:v>
      </x:c>
      <x:c r="Y20" s="37" t="n">
        <x:f>Y11/365*'Assumptions'!$D$70*(1+'Assumptions'!$D$80)^(((Y$7+Y$8)/2-46307)/365)</x:f>
        <x:v>251033.50678258715</x:v>
      </x:c>
      <x:c r="Z20" s="37" t="n">
        <x:f>Z11/365*'Assumptions'!$D$70*(1+'Assumptions'!$D$80)^(((Z$7+Z$8)/2-46307)/365)</x:f>
        <x:v>256054.1769182389</x:v>
      </x:c>
      <x:c r="AA20" s="37" t="n">
        <x:f>AA11/365*'Assumptions'!$D$70*(1+'Assumptions'!$D$80)^(((AA$7+AA$8)/2-46307)/365)</x:f>
        <x:v>261897.91349405682</x:v>
      </x:c>
      <x:c r="AB20" s="37" t="n">
        <x:f>AB11/365*'Assumptions'!$D$70*(1+'Assumptions'!$D$80)^(((AB$7+AB$8)/2-46307)/365)</x:f>
        <x:v>266413.21919608174</x:v>
      </x:c>
      <x:c r="AC20" s="37" t="n">
        <x:f>AC11/365*'Assumptions'!$D$70*(1+'Assumptions'!$D$80)^(((AC$7+AC$8)/2-46307)/365)</x:f>
        <x:v>271741.4835800034</x:v>
      </x:c>
      <x:c r="AD20" s="37" t="n">
        <x:f>AD11/365*'Assumptions'!$D$70*(1+'Assumptions'!$D$80)^(((AD$7+AD$8)/2-46307)/365)</x:f>
        <x:v>277176.31325160345</x:v>
      </x:c>
      <x:c r="AE20" s="37" t="n">
        <x:f>AE11/365*'Assumptions'!$D$70*(1+'Assumptions'!$D$80)^(((AE$7+AE$8)/2-46307)/365)</x:f>
        <x:v>283502.1048445911</x:v>
      </x:c>
      <x:c r="AF20" s="37" t="n">
        <x:f>AF11/365*'Assumptions'!$D$70*(1+'Assumptions'!$D$80)^(((AF$7+AF$8)/2-46307)/365)</x:f>
        <x:v>215699.8296418309</x:v>
      </x:c>
      <x:c r="AG20" s="37" t="n">
        <x:f>AG11/365*'Assumptions'!$D$70*(1+'Assumptions'!$D$80)^(((AG$7+AG$8)/2-46307)/365)</x:f>
        <x:v>0</x:v>
      </x:c>
      <x:c r="AH20" s="37" t="n">
        <x:f>AH11/365*'Assumptions'!$D$70*(1+'Assumptions'!$D$80)^(((AH$7+AH$8)/2-46307)/365)</x:f>
        <x:v>0</x:v>
      </x:c>
      <x:c r="AI20" s="37" t="n">
        <x:f>AI11/365*'Assumptions'!$D$70*(1+'Assumptions'!$D$80)^(((AI$7+AI$8)/2-46307)/365)</x:f>
        <x:v>0</x:v>
      </x:c>
      <x:c r="AJ20" s="37" t="n">
        <x:f>AJ11/365*'Assumptions'!$D$70*(1+'Assumptions'!$D$80)^(((AJ$7+AJ$8)/2-46307)/365)</x:f>
        <x:v>0</x:v>
      </x:c>
      <x:c r="AK20" s="37" t="n">
        <x:f>AK11/365*'Assumptions'!$D$70*(1+'Assumptions'!$D$80)^(((AK$7+AK$8)/2-46307)/365)</x:f>
        <x:v>0</x:v>
      </x:c>
      <x:c r="AL20" s="37" t="n">
        <x:f>AL11/365*'Assumptions'!$D$70*(1+'Assumptions'!$D$80)^(((AL$7+AL$8)/2-46307)/365)</x:f>
        <x:v>0</x:v>
      </x:c>
      <x:c r="AM20" s="37" t="n">
        <x:f>AM11/365*'Assumptions'!$D$70*(1+'Assumptions'!$D$80)^(((AM$7+AM$8)/2-46307)/365)</x:f>
        <x:v>0</x:v>
      </x:c>
      <x:c r="AN20" s="37" t="n">
        <x:f>AN11/365*'Assumptions'!$D$70*(1+'Assumptions'!$D$80)^(((AN$7+AN$8)/2-46307)/365)</x:f>
        <x:v>0</x:v>
      </x:c>
      <x:c r="AO20" s="37" t="n">
        <x:f>AO11/365*'Assumptions'!$D$70*(1+'Assumptions'!$D$80)^(((AO$7+AO$8)/2-46307)/365)</x:f>
        <x:v>0</x:v>
      </x:c>
      <x:c r="AP20" s="37" t="n">
        <x:f>AP11/365*'Assumptions'!$D$70*(1+'Assumptions'!$D$80)^(((AP$7+AP$8)/2-46307)/365)</x:f>
        <x:v>0</x:v>
      </x:c>
      <x:c r="AQ20" s="37" t="n">
        <x:f>AQ11/365*'Assumptions'!$D$70*(1+'Assumptions'!$D$80)^(((AQ$7+AQ$8)/2-46307)/365)</x:f>
        <x:v>0</x:v>
      </x:c>
    </x:row>
    <x:row r="21" ht="25" customHeight="1">
      <x:c r="A21" s="2"/>
      <x:c r="B21" s="2"/>
      <x:c r="C21" s="30" t="str">
        <x:v>Capesize</x:v>
      </x:c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30"/>
      <x:c r="AI21" s="30"/>
      <x:c r="AJ21" s="30"/>
      <x:c r="AK21" s="30"/>
      <x:c r="AL21" s="30"/>
      <x:c r="AM21" s="30"/>
      <x:c r="AN21" s="30"/>
      <x:c r="AO21" s="30"/>
      <x:c r="AP21" s="30"/>
      <x:c r="AQ21" s="30"/>
    </x:row>
    <x:row r="22" ht="21" customHeight="1">
      <x:c r="A22" s="2"/>
      <x:c r="B22" s="2"/>
      <x:c r="C22" s="2" t="str">
        <x:v>Owned days</x:v>
      </x:c>
      <x:c r="D22" s="2"/>
      <x:c r="E22" s="5" t="n">
        <x:f>SUMIFS('Days'!E$10:E$53,'Days'!$D$10:$D$53,$C21)</x:f>
        <x:v>1440</x:v>
      </x:c>
      <x:c r="F22" s="5" t="n">
        <x:f>SUMIFS('Days'!F$10:F$53,'Days'!$D$10:$D$53,$C21)</x:f>
        <x:v>1620</x:v>
      </x:c>
      <x:c r="G22" s="5" t="n">
        <x:f>SUMIFS('Days'!G$10:G$53,'Days'!$D$10:$D$53,$C21)</x:f>
        <x:v>1638</x:v>
      </x:c>
      <x:c r="H22" s="5" t="n">
        <x:f>SUMIFS('Days'!H$10:H$53,'Days'!$D$10:$D$53,$C21)</x:f>
        <x:v>1656</x:v>
      </x:c>
      <x:c r="I22" s="5" t="n">
        <x:f>SUMIFS('Days'!I$10:I$53,'Days'!$D$10:$D$53,$C21)</x:f>
        <x:v>1656</x:v>
      </x:c>
      <x:c r="J22" s="5" t="n">
        <x:f>SUMIFS('Days'!J$10:J$53,'Days'!$D$10:$D$53,$C21)</x:f>
        <x:v>1638</x:v>
      </x:c>
      <x:c r="K22" s="5" t="n">
        <x:f>SUMIFS('Days'!K$10:K$53,'Days'!$D$10:$D$53,$C21)</x:f>
        <x:v>1638</x:v>
      </x:c>
      <x:c r="L22" s="5" t="n">
        <x:f>SUMIFS('Days'!L$10:L$53,'Days'!$D$10:$D$53,$C21)</x:f>
        <x:v>1656</x:v>
      </x:c>
      <x:c r="M22" s="5" t="n">
        <x:f>SUMIFS('Days'!M$10:M$53,'Days'!$D$10:$D$53,$C21)</x:f>
        <x:v>1656</x:v>
      </x:c>
      <x:c r="N22" s="5" t="n">
        <x:f>SUMIFS('Days'!N$10:N$53,'Days'!$D$10:$D$53,$C21)</x:f>
        <x:v>1620</x:v>
      </x:c>
      <x:c r="O22" s="5" t="n">
        <x:f>SUMIFS('Days'!O$10:O$53,'Days'!$D$10:$D$53,$C21)</x:f>
        <x:v>1638</x:v>
      </x:c>
      <x:c r="P22" s="5" t="n">
        <x:f>SUMIFS('Days'!P$10:P$53,'Days'!$D$10:$D$53,$C21)</x:f>
        <x:v>1656</x:v>
      </x:c>
      <x:c r="Q22" s="5" t="n">
        <x:f>SUMIFS('Days'!Q$10:Q$53,'Days'!$D$10:$D$53,$C21)</x:f>
        <x:v>6570</x:v>
      </x:c>
      <x:c r="R22" s="5" t="n">
        <x:f>SUMIFS('Days'!R$10:R$53,'Days'!$D$10:$D$53,$C21)</x:f>
        <x:v>6570</x:v>
      </x:c>
      <x:c r="S22" s="5" t="n">
        <x:f>SUMIFS('Days'!S$10:S$53,'Days'!$D$10:$D$53,$C21)</x:f>
        <x:v>6220</x:v>
      </x:c>
      <x:c r="T22" s="5" t="n">
        <x:f>SUMIFS('Days'!T$10:T$53,'Days'!$D$10:$D$53,$C21)</x:f>
        <x:v>5018</x:v>
      </x:c>
      <x:c r="U22" s="5" t="n">
        <x:f>SUMIFS('Days'!U$10:U$53,'Days'!$D$10:$D$53,$C21)</x:f>
        <x:v>4745</x:v>
      </x:c>
      <x:c r="V22" s="5" t="n">
        <x:f>SUMIFS('Days'!V$10:V$53,'Days'!$D$10:$D$53,$C21)</x:f>
        <x:v>4561</x:v>
      </x:c>
      <x:c r="W22" s="5" t="n">
        <x:f>SUMIFS('Days'!W$10:W$53,'Days'!$D$10:$D$53,$C21)</x:f>
        <x:v>3934</x:v>
      </x:c>
      <x:c r="X22" s="5" t="n">
        <x:f>SUMIFS('Days'!X$10:X$53,'Days'!$D$10:$D$53,$C21)</x:f>
        <x:v>3558</x:v>
      </x:c>
      <x:c r="Y22" s="5" t="n">
        <x:f>SUMIFS('Days'!Y$10:Y$53,'Days'!$D$10:$D$53,$C21)</x:f>
        <x:v>3285</x:v>
      </x:c>
      <x:c r="Z22" s="5" t="n">
        <x:f>SUMIFS('Days'!Z$10:Z$53,'Days'!$D$10:$D$53,$C21)</x:f>
        <x:v>3285</x:v>
      </x:c>
      <x:c r="AA22" s="5" t="n">
        <x:f>SUMIFS('Days'!AA$10:AA$53,'Days'!$D$10:$D$53,$C21)</x:f>
        <x:v>3110</x:v>
      </x:c>
      <x:c r="AB22" s="5" t="n">
        <x:f>SUMIFS('Days'!AB$10:AB$53,'Days'!$D$10:$D$53,$C21)</x:f>
        <x:v>2095</x:v>
      </x:c>
      <x:c r="AC22" s="5" t="n">
        <x:f>SUMIFS('Days'!AC$10:AC$53,'Days'!$D$10:$D$53,$C21)</x:f>
        <x:v>730</x:v>
      </x:c>
      <x:c r="AD22" s="5" t="n">
        <x:f>SUMIFS('Days'!AD$10:AD$53,'Days'!$D$10:$D$53,$C21)</x:f>
        <x:v>730</x:v>
      </x:c>
      <x:c r="AE22" s="5" t="n">
        <x:f>SUMIFS('Days'!AE$10:AE$53,'Days'!$D$10:$D$53,$C21)</x:f>
        <x:v>640</x:v>
      </x:c>
      <x:c r="AF22" s="5" t="n">
        <x:f>SUMIFS('Days'!AF$10:AF$53,'Days'!$D$10:$D$53,$C21)</x:f>
        <x:v>273</x:v>
      </x:c>
      <x:c r="AG22" s="5" t="n">
        <x:f>SUMIFS('Days'!AG$10:AG$53,'Days'!$D$10:$D$53,$C21)</x:f>
        <x:v>0</x:v>
      </x:c>
      <x:c r="AH22" s="5" t="n">
        <x:f>SUMIFS('Days'!AH$10:AH$53,'Days'!$D$10:$D$53,$C21)</x:f>
        <x:v>0</x:v>
      </x:c>
      <x:c r="AI22" s="5" t="n">
        <x:f>SUMIFS('Days'!AI$10:AI$53,'Days'!$D$10:$D$53,$C21)</x:f>
        <x:v>0</x:v>
      </x:c>
      <x:c r="AJ22" s="5" t="n">
        <x:f>SUMIFS('Days'!AJ$10:AJ$53,'Days'!$D$10:$D$53,$C21)</x:f>
        <x:v>0</x:v>
      </x:c>
      <x:c r="AK22" s="5" t="n">
        <x:f>SUMIFS('Days'!AK$10:AK$53,'Days'!$D$10:$D$53,$C21)</x:f>
        <x:v>0</x:v>
      </x:c>
      <x:c r="AL22" s="5" t="n">
        <x:f>SUMIFS('Days'!AL$10:AL$53,'Days'!$D$10:$D$53,$C21)</x:f>
        <x:v>0</x:v>
      </x:c>
      <x:c r="AM22" s="5" t="n">
        <x:f>SUMIFS('Days'!AM$10:AM$53,'Days'!$D$10:$D$53,$C21)</x:f>
        <x:v>0</x:v>
      </x:c>
      <x:c r="AN22" s="5" t="n">
        <x:f>SUMIFS('Days'!AN$10:AN$53,'Days'!$D$10:$D$53,$C21)</x:f>
        <x:v>0</x:v>
      </x:c>
      <x:c r="AO22" s="5" t="n">
        <x:f>SUMIFS('Days'!AO$10:AO$53,'Days'!$D$10:$D$53,$C21)</x:f>
        <x:v>0</x:v>
      </x:c>
      <x:c r="AP22" s="5" t="n">
        <x:f>SUMIFS('Days'!AP$10:AP$53,'Days'!$D$10:$D$53,$C21)</x:f>
        <x:v>0</x:v>
      </x:c>
      <x:c r="AQ22" s="5" t="n">
        <x:f>SUMIFS('Days'!AQ$10:AQ$53,'Days'!$D$10:$D$53,$C21)</x:f>
        <x:v>0</x:v>
      </x:c>
    </x:row>
    <x:row r="23" ht="21" customHeight="1">
      <x:c r="A23" s="2"/>
      <x:c r="B23" s="2"/>
      <x:c r="C23" s="2" t="str">
        <x:v>Available days</x:v>
      </x:c>
      <x:c r="D23" s="2"/>
      <x:c r="E23" s="5" t="n">
        <x:f>E22*(1-'Assumptions'!$D$45)</x:f>
        <x:v>1389.6</x:v>
      </x:c>
      <x:c r="F23" s="5" t="n">
        <x:f>F22*(1-'Assumptions'!$D$45)</x:f>
        <x:v>1563.3</x:v>
      </x:c>
      <x:c r="G23" s="5" t="n">
        <x:f>G22*(1-'Assumptions'!$D$45)</x:f>
        <x:v>1580.6699999999998</x:v>
      </x:c>
      <x:c r="H23" s="5" t="n">
        <x:f>H22*(1-'Assumptions'!$D$45)</x:f>
        <x:v>1598.04</x:v>
      </x:c>
      <x:c r="I23" s="5" t="n">
        <x:f>I22*(1-'Assumptions'!$D$45)</x:f>
        <x:v>1598.04</x:v>
      </x:c>
      <x:c r="J23" s="5" t="n">
        <x:f>J22*(1-'Assumptions'!$D$45)</x:f>
        <x:v>1580.6699999999998</x:v>
      </x:c>
      <x:c r="K23" s="5" t="n">
        <x:f>K22*(1-'Assumptions'!$D$45)</x:f>
        <x:v>1580.6699999999998</x:v>
      </x:c>
      <x:c r="L23" s="5" t="n">
        <x:f>L22*(1-'Assumptions'!$D$45)</x:f>
        <x:v>1598.04</x:v>
      </x:c>
      <x:c r="M23" s="5" t="n">
        <x:f>M22*(1-'Assumptions'!$D$45)</x:f>
        <x:v>1598.04</x:v>
      </x:c>
      <x:c r="N23" s="5" t="n">
        <x:f>N22*(1-'Assumptions'!$D$45)</x:f>
        <x:v>1563.3</x:v>
      </x:c>
      <x:c r="O23" s="5" t="n">
        <x:f>O22*(1-'Assumptions'!$D$45)</x:f>
        <x:v>1580.6699999999998</x:v>
      </x:c>
      <x:c r="P23" s="5" t="n">
        <x:f>P22*(1-'Assumptions'!$D$45)</x:f>
        <x:v>1598.04</x:v>
      </x:c>
      <x:c r="Q23" s="5" t="n">
        <x:f>Q22*(1-'Assumptions'!$D$45)</x:f>
        <x:v>6340.05</x:v>
      </x:c>
      <x:c r="R23" s="5" t="n">
        <x:f>R22*(1-'Assumptions'!$D$45)</x:f>
        <x:v>6340.05</x:v>
      </x:c>
      <x:c r="S23" s="5" t="n">
        <x:f>S22*(1-'Assumptions'!$D$45)</x:f>
        <x:v>6002.3</x:v>
      </x:c>
      <x:c r="T23" s="5" t="n">
        <x:f>T22*(1-'Assumptions'!$D$45)</x:f>
        <x:v>4842.37</x:v>
      </x:c>
      <x:c r="U23" s="5" t="n">
        <x:f>U22*(1-'Assumptions'!$D$45)</x:f>
        <x:v>4578.925</x:v>
      </x:c>
      <x:c r="V23" s="5" t="n">
        <x:f>V22*(1-'Assumptions'!$D$45)</x:f>
        <x:v>4401.365</x:v>
      </x:c>
      <x:c r="W23" s="5" t="n">
        <x:f>W22*(1-'Assumptions'!$D$45)</x:f>
        <x:v>3796.31</x:v>
      </x:c>
      <x:c r="X23" s="5" t="n">
        <x:f>X22*(1-'Assumptions'!$D$45)</x:f>
        <x:v>3433.47</x:v>
      </x:c>
      <x:c r="Y23" s="5" t="n">
        <x:f>Y22*(1-'Assumptions'!$D$45)</x:f>
        <x:v>3170.025</x:v>
      </x:c>
      <x:c r="Z23" s="5" t="n">
        <x:f>Z22*(1-'Assumptions'!$D$45)</x:f>
        <x:v>3170.025</x:v>
      </x:c>
      <x:c r="AA23" s="5" t="n">
        <x:f>AA22*(1-'Assumptions'!$D$45)</x:f>
        <x:v>3001.15</x:v>
      </x:c>
      <x:c r="AB23" s="5" t="n">
        <x:f>AB22*(1-'Assumptions'!$D$45)</x:f>
        <x:v>2021.675</x:v>
      </x:c>
      <x:c r="AC23" s="5" t="n">
        <x:f>AC22*(1-'Assumptions'!$D$45)</x:f>
        <x:v>704.4499999999999</x:v>
      </x:c>
      <x:c r="AD23" s="5" t="n">
        <x:f>AD22*(1-'Assumptions'!$D$45)</x:f>
        <x:v>704.4499999999999</x:v>
      </x:c>
      <x:c r="AE23" s="5" t="n">
        <x:f>AE22*(1-'Assumptions'!$D$45)</x:f>
        <x:v>617.6</x:v>
      </x:c>
      <x:c r="AF23" s="5" t="n">
        <x:f>AF22*(1-'Assumptions'!$D$45)</x:f>
        <x:v>263.445</x:v>
      </x:c>
      <x:c r="AG23" s="5" t="n">
        <x:f>AG22*(1-'Assumptions'!$D$45)</x:f>
        <x:v>0</x:v>
      </x:c>
      <x:c r="AH23" s="5" t="n">
        <x:f>AH22*(1-'Assumptions'!$D$45)</x:f>
        <x:v>0</x:v>
      </x:c>
      <x:c r="AI23" s="5" t="n">
        <x:f>AI22*(1-'Assumptions'!$D$45)</x:f>
        <x:v>0</x:v>
      </x:c>
      <x:c r="AJ23" s="5" t="n">
        <x:f>AJ22*(1-'Assumptions'!$D$45)</x:f>
        <x:v>0</x:v>
      </x:c>
      <x:c r="AK23" s="5" t="n">
        <x:f>AK22*(1-'Assumptions'!$D$45)</x:f>
        <x:v>0</x:v>
      </x:c>
      <x:c r="AL23" s="5" t="n">
        <x:f>AL22*(1-'Assumptions'!$D$45)</x:f>
        <x:v>0</x:v>
      </x:c>
      <x:c r="AM23" s="5" t="n">
        <x:f>AM22*(1-'Assumptions'!$D$45)</x:f>
        <x:v>0</x:v>
      </x:c>
      <x:c r="AN23" s="5" t="n">
        <x:f>AN22*(1-'Assumptions'!$D$45)</x:f>
        <x:v>0</x:v>
      </x:c>
      <x:c r="AO23" s="5" t="n">
        <x:f>AO22*(1-'Assumptions'!$D$45)</x:f>
        <x:v>0</x:v>
      </x:c>
      <x:c r="AP23" s="5" t="n">
        <x:f>AP22*(1-'Assumptions'!$D$45)</x:f>
        <x:v>0</x:v>
      </x:c>
      <x:c r="AQ23" s="5" t="n">
        <x:f>AQ22*(1-'Assumptions'!$D$45)</x:f>
        <x:v>0</x:v>
      </x:c>
    </x:row>
    <x:row r="24" ht="21" customHeight="1">
      <x:c r="A24" s="2"/>
      <x:c r="B24" s="2"/>
      <x:c r="C24" s="2" t="str">
        <x:v>Open TCE (USD/day)</x:v>
      </x:c>
      <x:c r="D24" s="2"/>
      <x:c r="E24" s="34" t="n">
        <x:f>'Assumptions'!$D$15*'Assumptions'!$D$6*(1+'Assumptions'!$D$80)^(((E$7+E$8)/2-46307)/365)</x:f>
        <x:v>24052.792646574</x:v>
      </x:c>
      <x:c r="F24" s="34" t="n">
        <x:f>'Assumptions'!$D$15*'Assumptions'!$D$6*(1+'Assumptions'!$D$80)^(((F$7+F$8)/2-46307)/365)</x:f>
        <x:v>24163.96995534517</x:v>
      </x:c>
      <x:c r="G24" s="34" t="n">
        <x:f>'Assumptions'!$D$15*'Assumptions'!$D$6*(1+'Assumptions'!$D$80)^(((G$7+G$8)/2-46307)/365)</x:f>
        <x:v>24282.905985208217</x:v>
      </x:c>
      <x:c r="H24" s="34" t="n">
        <x:f>'Assumptions'!$D$15*'Assumptions'!$D$6*(1+'Assumptions'!$D$80)^(((H$7+H$8)/2-46307)/365)</x:f>
        <x:v>24403.751382666105</x:v>
      </x:c>
      <x:c r="I24" s="34" t="n">
        <x:f>'Assumptions'!$D$15*'Assumptions'!$D$6*(1+'Assumptions'!$D$80)^(((I$7+I$8)/2-46307)/365)</x:f>
        <x:v>24525.86347608412</x:v>
      </x:c>
      <x:c r="J24" s="34" t="n">
        <x:f>'Assumptions'!$D$15*'Assumptions'!$D$6*(1+'Assumptions'!$D$80)^(((J$7+J$8)/2-46307)/365)</x:f>
        <x:v>24647.9179666616</x:v>
      </x:c>
      <x:c r="K24" s="34" t="n">
        <x:f>'Assumptions'!$D$15*'Assumptions'!$D$6*(1+'Assumptions'!$D$80)^(((K$7+K$8)/2-46307)/365)</x:f>
        <x:v>24769.907929430567</x:v>
      </x:c>
      <x:c r="L24" s="34" t="n">
        <x:f>'Assumptions'!$D$15*'Assumptions'!$D$6*(1+'Assumptions'!$D$80)^(((L$7+L$8)/2-46307)/365)</x:f>
        <x:v>24893.17692246422</x:v>
      </x:c>
      <x:c r="M24" s="34" t="n">
        <x:f>'Assumptions'!$D$15*'Assumptions'!$D$6*(1+'Assumptions'!$D$80)^(((M$7+M$8)/2-46307)/365)</x:f>
        <x:v>25017.738015476592</x:v>
      </x:c>
      <x:c r="N24" s="34" t="n">
        <x:f>'Assumptions'!$D$15*'Assumptions'!$D$6*(1+'Assumptions'!$D$80)^(((N$7+N$8)/2-46307)/365)</x:f>
        <x:v>25141.558328948908</x:v>
      </x:c>
      <x:c r="O24" s="34" t="n">
        <x:f>'Assumptions'!$D$15*'Assumptions'!$D$6*(1+'Assumptions'!$D$80)^(((O$7+O$8)/2-46307)/365)</x:f>
        <x:v>25265.30608801918</x:v>
      </x:c>
      <x:c r="P24" s="34" t="n">
        <x:f>'Assumptions'!$D$15*'Assumptions'!$D$6*(1+'Assumptions'!$D$80)^(((P$7+P$8)/2-46307)/365)</x:f>
        <x:v>25391.040460913504</x:v>
      </x:c>
      <x:c r="Q24" s="34" t="n">
        <x:f>'Assumptions'!$D$15*'Assumptions'!$D$6*(1+'Assumptions'!$D$80)^(((Q$7+Q$8)/2-46307)/365)</x:f>
        <x:v>25707.772067575916</x:v>
      </x:c>
      <x:c r="R24" s="34" t="n">
        <x:f>'Assumptions'!$D$15*'Assumptions'!$D$6*(1+'Assumptions'!$D$80)^(((R$7+R$8)/2-46307)/365)</x:f>
        <x:v>26221.92750892744</x:v>
      </x:c>
      <x:c r="S24" s="34" t="n">
        <x:f>'Assumptions'!$D$15*'Assumptions'!$D$6*(1+'Assumptions'!$D$80)^(((S$7+S$8)/2-46307)/365)</x:f>
        <x:v>26747.091614588884</x:v>
      </x:c>
      <x:c r="T24" s="34" t="n">
        <x:f>'Assumptions'!$D$15*'Assumptions'!$D$6*(1+'Assumptions'!$D$80)^(((T$7+T$8)/2-46307)/365)</x:f>
        <x:v>27282.773533549196</x:v>
      </x:c>
      <x:c r="U24" s="34" t="n">
        <x:f>'Assumptions'!$D$15*'Assumptions'!$D$6*(1+'Assumptions'!$D$80)^(((U$7+U$8)/2-46307)/365)</x:f>
        <x:v>27828.42900422018</x:v>
      </x:c>
      <x:c r="V24" s="34" t="n">
        <x:f>'Assumptions'!$D$15*'Assumptions'!$D$6*(1+'Assumptions'!$D$80)^(((V$7+V$8)/2-46307)/365)</x:f>
        <x:v>28384.997584304583</x:v>
      </x:c>
      <x:c r="W24" s="34" t="n">
        <x:f>'Assumptions'!$D$15*'Assumptions'!$D$6*(1+'Assumptions'!$D$80)^(((W$7+W$8)/2-46307)/365)</x:f>
        <x:v>28953.482943189374</x:v>
      </x:c>
      <x:c r="X24" s="34" t="n">
        <x:f>'Assumptions'!$D$15*'Assumptions'!$D$6*(1+'Assumptions'!$D$80)^(((X$7+X$8)/2-46307)/365)</x:f>
        <x:v>29533.3537391279</x:v>
      </x:c>
      <x:c r="Y24" s="34" t="n">
        <x:f>'Assumptions'!$D$15*'Assumptions'!$D$6*(1+'Assumptions'!$D$80)^(((Y$7+Y$8)/2-46307)/365)</x:f>
        <x:v>30124.020813910458</x:v>
      </x:c>
      <x:c r="Z24" s="34" t="n">
        <x:f>'Assumptions'!$D$15*'Assumptions'!$D$6*(1+'Assumptions'!$D$80)^(((Z$7+Z$8)/2-46307)/365)</x:f>
        <x:v>30726.501230188667</x:v>
      </x:c>
      <x:c r="AA24" s="34" t="n">
        <x:f>'Assumptions'!$D$15*'Assumptions'!$D$6*(1+'Assumptions'!$D$80)^(((AA$7+AA$8)/2-46307)/365)</x:f>
        <x:v>31341.881450928107</x:v>
      </x:c>
      <x:c r="AB24" s="34" t="n">
        <x:f>'Assumptions'!$D$15*'Assumptions'!$D$6*(1+'Assumptions'!$D$80)^(((AB$7+AB$8)/2-46307)/365)</x:f>
        <x:v>31969.58630352981</x:v>
      </x:c>
      <x:c r="AC24" s="34" t="n">
        <x:f>'Assumptions'!$D$15*'Assumptions'!$D$6*(1+'Assumptions'!$D$80)^(((AC$7+AC$8)/2-46307)/365)</x:f>
        <x:v>32608.978029600406</x:v>
      </x:c>
      <x:c r="AD24" s="34" t="n">
        <x:f>'Assumptions'!$D$15*'Assumptions'!$D$6*(1+'Assumptions'!$D$80)^(((AD$7+AD$8)/2-46307)/365)</x:f>
        <x:v>33261.157590192415</x:v>
      </x:c>
      <x:c r="AE24" s="34" t="n">
        <x:f>'Assumptions'!$D$15*'Assumptions'!$D$6*(1+'Assumptions'!$D$80)^(((AE$7+AE$8)/2-46307)/365)</x:f>
        <x:v>33927.30107156582</x:v>
      </x:c>
      <x:c r="AF24" s="34" t="n">
        <x:f>'Assumptions'!$D$15*'Assumptions'!$D$6*(1+'Assumptions'!$D$80)^(((AF$7+AF$8)/2-46307)/365)</x:f>
        <x:v>34606.78585462341</x:v>
      </x:c>
      <x:c r="AG24" s="34" t="n">
        <x:f>'Assumptions'!$D$15*'Assumptions'!$D$6*(1+'Assumptions'!$D$80)^(((AG$7+AG$8)/2-46307)/365)</x:f>
        <x:v>35298.92157171588</x:v>
      </x:c>
      <x:c r="AH24" s="34" t="n">
        <x:f>'Assumptions'!$D$15*'Assumptions'!$D$6*(1+'Assumptions'!$D$80)^(((AH$7+AH$8)/2-46307)/365)</x:f>
        <x:v>36004.9000031502</x:v>
      </x:c>
      <x:c r="AI24" s="34" t="n">
        <x:f>'Assumptions'!$D$15*'Assumptions'!$D$6*(1+'Assumptions'!$D$80)^(((AI$7+AI$8)/2-46307)/365)</x:f>
        <x:v>36725.99425158585</x:v>
      </x:c>
      <x:c r="AJ24" s="34" t="n">
        <x:f>'Assumptions'!$D$15*'Assumptions'!$D$6*(1+'Assumptions'!$D$80)^(((AJ$7+AJ$8)/2-46307)/365)</x:f>
        <x:v>37461.53033752366</x:v>
      </x:c>
      <x:c r="AK24" s="34" t="n">
        <x:f>'Assumptions'!$D$15*'Assumptions'!$D$6*(1+'Assumptions'!$D$80)^(((AK$7+AK$8)/2-46307)/365)</x:f>
        <x:v>38210.76094427414</x:v>
      </x:c>
      <x:c r="AL24" s="34" t="n">
        <x:f>'Assumptions'!$D$15*'Assumptions'!$D$6*(1+'Assumptions'!$D$80)^(((AL$7+AL$8)/2-46307)/365)</x:f>
        <x:v>38974.97616315962</x:v>
      </x:c>
      <x:c r="AM24" s="34" t="n">
        <x:f>'Assumptions'!$D$15*'Assumptions'!$D$6*(1+'Assumptions'!$D$80)^(((AM$7+AM$8)/2-46307)/365)</x:f>
        <x:v>39755.55411620801</x:v>
      </x:c>
      <x:c r="AN24" s="34" t="n">
        <x:f>'Assumptions'!$D$15*'Assumptions'!$D$6*(1+'Assumptions'!$D$80)^(((AN$7+AN$8)/2-46307)/365)</x:f>
        <x:v>40551.76522675302</x:v>
      </x:c>
      <x:c r="AO24" s="34" t="n">
        <x:f>'Assumptions'!$D$15*'Assumptions'!$D$6*(1+'Assumptions'!$D$80)^(((AO$7+AO$8)/2-46307)/365)</x:f>
        <x:v>41362.80053128808</x:v>
      </x:c>
      <x:c r="AP24" s="34" t="n">
        <x:f>'Assumptions'!$D$15*'Assumptions'!$D$6*(1+'Assumptions'!$D$80)^(((AP$7+AP$8)/2-46307)/365)</x:f>
        <x:v>42190.056541913844</x:v>
      </x:c>
      <x:c r="AQ24" s="34" t="n">
        <x:f>'Assumptions'!$D$15*'Assumptions'!$D$6*(1+'Assumptions'!$D$80)^(((AQ$7+AQ$8)/2-46307)/365)</x:f>
        <x:v>43035.02506316754</x:v>
      </x:c>
    </x:row>
    <x:row r="25" ht="21" customHeight="1">
      <x:c r="A25" s="2"/>
      <x:c r="B25" s="2"/>
      <x:c r="C25" s="2" t="str">
        <x:v>Fixed share</x:v>
      </x:c>
      <x:c r="D25" s="2"/>
      <x:c r="E25" s="43" t="n">
        <x:f>'Assumptions'!$D$130</x:f>
        <x:v>0.1</x:v>
      </x:c>
      <x:c r="F25" s="43" t="n">
        <x:f>'Assumptions'!$D$130</x:f>
        <x:v>0.1</x:v>
      </x:c>
      <x:c r="G25" s="43" t="n">
        <x:f>'Assumptions'!$D$130</x:f>
        <x:v>0.1</x:v>
      </x:c>
      <x:c r="H25" s="43" t="n">
        <x:f>'Assumptions'!$D$130</x:f>
        <x:v>0.1</x:v>
      </x:c>
      <x:c r="I25" s="43" t="n">
        <x:f>'Assumptions'!$D$130</x:f>
        <x:v>0.1</x:v>
      </x:c>
      <x:c r="J25" s="43" t="n">
        <x:f>'Assumptions'!$D$130</x:f>
        <x:v>0.1</x:v>
      </x:c>
      <x:c r="K25" s="43" t="n">
        <x:f>'Assumptions'!$D$130</x:f>
        <x:v>0.1</x:v>
      </x:c>
      <x:c r="L25" s="43" t="n">
        <x:f>'Assumptions'!$D$130</x:f>
        <x:v>0.1</x:v>
      </x:c>
      <x:c r="M25" s="43" t="n">
        <x:f>'Assumptions'!$D$130</x:f>
        <x:v>0.1</x:v>
      </x:c>
      <x:c r="N25" s="43" t="n">
        <x:f>'Assumptions'!$D$130</x:f>
        <x:v>0.1</x:v>
      </x:c>
      <x:c r="O25" s="43" t="n">
        <x:f>'Assumptions'!$D$130</x:f>
        <x:v>0.1</x:v>
      </x:c>
      <x:c r="P25" s="43" t="n">
        <x:f>'Assumptions'!$D$130</x:f>
        <x:v>0.1</x:v>
      </x:c>
      <x:c r="Q25" s="43" t="n">
        <x:f>'Assumptions'!$D$130</x:f>
        <x:v>0.1</x:v>
      </x:c>
      <x:c r="R25" s="43" t="n">
        <x:f>'Assumptions'!$D$130</x:f>
        <x:v>0.1</x:v>
      </x:c>
      <x:c r="S25" s="43" t="n">
        <x:f>'Assumptions'!$D$130</x:f>
        <x:v>0.1</x:v>
      </x:c>
      <x:c r="T25" s="43" t="n">
        <x:f>'Assumptions'!$D$130</x:f>
        <x:v>0.1</x:v>
      </x:c>
      <x:c r="U25" s="43" t="n">
        <x:f>'Assumptions'!$D$130</x:f>
        <x:v>0.1</x:v>
      </x:c>
      <x:c r="V25" s="43" t="n">
        <x:f>'Assumptions'!$D$130</x:f>
        <x:v>0.1</x:v>
      </x:c>
      <x:c r="W25" s="43" t="n">
        <x:f>'Assumptions'!$D$130</x:f>
        <x:v>0.1</x:v>
      </x:c>
      <x:c r="X25" s="43" t="n">
        <x:f>'Assumptions'!$D$130</x:f>
        <x:v>0.1</x:v>
      </x:c>
      <x:c r="Y25" s="43" t="n">
        <x:f>'Assumptions'!$D$130</x:f>
        <x:v>0.1</x:v>
      </x:c>
      <x:c r="Z25" s="43" t="n">
        <x:f>'Assumptions'!$D$130</x:f>
        <x:v>0.1</x:v>
      </x:c>
      <x:c r="AA25" s="43" t="n">
        <x:f>'Assumptions'!$D$130</x:f>
        <x:v>0.1</x:v>
      </x:c>
      <x:c r="AB25" s="43" t="n">
        <x:f>'Assumptions'!$D$130</x:f>
        <x:v>0.1</x:v>
      </x:c>
      <x:c r="AC25" s="43" t="n">
        <x:f>'Assumptions'!$D$130</x:f>
        <x:v>0.1</x:v>
      </x:c>
      <x:c r="AD25" s="43" t="n">
        <x:f>'Assumptions'!$D$130</x:f>
        <x:v>0.1</x:v>
      </x:c>
      <x:c r="AE25" s="43" t="n">
        <x:f>'Assumptions'!$D$130</x:f>
        <x:v>0.1</x:v>
      </x:c>
      <x:c r="AF25" s="43" t="n">
        <x:f>'Assumptions'!$D$130</x:f>
        <x:v>0.1</x:v>
      </x:c>
      <x:c r="AG25" s="43" t="n">
        <x:f>'Assumptions'!$D$130</x:f>
        <x:v>0.1</x:v>
      </x:c>
      <x:c r="AH25" s="43" t="n">
        <x:f>'Assumptions'!$D$130</x:f>
        <x:v>0.1</x:v>
      </x:c>
      <x:c r="AI25" s="43" t="n">
        <x:f>'Assumptions'!$D$130</x:f>
        <x:v>0.1</x:v>
      </x:c>
      <x:c r="AJ25" s="43" t="n">
        <x:f>'Assumptions'!$D$130</x:f>
        <x:v>0.1</x:v>
      </x:c>
      <x:c r="AK25" s="43" t="n">
        <x:f>'Assumptions'!$D$130</x:f>
        <x:v>0.1</x:v>
      </x:c>
      <x:c r="AL25" s="43" t="n">
        <x:f>'Assumptions'!$D$130</x:f>
        <x:v>0.1</x:v>
      </x:c>
      <x:c r="AM25" s="43" t="n">
        <x:f>'Assumptions'!$D$130</x:f>
        <x:v>0.1</x:v>
      </x:c>
      <x:c r="AN25" s="43" t="n">
        <x:f>'Assumptions'!$D$130</x:f>
        <x:v>0.1</x:v>
      </x:c>
      <x:c r="AO25" s="43" t="n">
        <x:f>'Assumptions'!$D$130</x:f>
        <x:v>0.1</x:v>
      </x:c>
      <x:c r="AP25" s="43" t="n">
        <x:f>'Assumptions'!$D$130</x:f>
        <x:v>0.1</x:v>
      </x:c>
      <x:c r="AQ25" s="43" t="n">
        <x:f>'Assumptions'!$D$130</x:f>
        <x:v>0.1</x:v>
      </x:c>
    </x:row>
    <x:row r="26" ht="21" customHeight="1">
      <x:c r="A26" s="2"/>
      <x:c r="B26" s="2"/>
      <x:c r="C26" s="2" t="str">
        <x:v>Fixed TCE (USD/day)</x:v>
      </x:c>
      <x:c r="D26" s="2"/>
      <x:c r="E26" s="34" t="n">
        <x:f>'Assumptions'!$D$135*(1+'Assumptions'!$D$80)^(((E$7+E$8)/2-46307)/365)</x:f>
        <x:v>24052.792646574</x:v>
      </x:c>
      <x:c r="F26" s="34" t="n">
        <x:f>'Assumptions'!$D$135*(1+'Assumptions'!$D$80)^(((F$7+F$8)/2-46307)/365)</x:f>
        <x:v>24163.96995534517</x:v>
      </x:c>
      <x:c r="G26" s="34" t="n">
        <x:f>'Assumptions'!$D$135*(1+'Assumptions'!$D$80)^(((G$7+G$8)/2-46307)/365)</x:f>
        <x:v>24282.905985208217</x:v>
      </x:c>
      <x:c r="H26" s="34" t="n">
        <x:f>'Assumptions'!$D$135*(1+'Assumptions'!$D$80)^(((H$7+H$8)/2-46307)/365)</x:f>
        <x:v>24403.751382666105</x:v>
      </x:c>
      <x:c r="I26" s="34" t="n">
        <x:f>'Assumptions'!$D$135*(1+'Assumptions'!$D$80)^(((I$7+I$8)/2-46307)/365)</x:f>
        <x:v>24525.86347608412</x:v>
      </x:c>
      <x:c r="J26" s="34" t="n">
        <x:f>'Assumptions'!$D$135*(1+'Assumptions'!$D$80)^(((J$7+J$8)/2-46307)/365)</x:f>
        <x:v>24647.9179666616</x:v>
      </x:c>
      <x:c r="K26" s="34" t="n">
        <x:f>'Assumptions'!$D$135*(1+'Assumptions'!$D$80)^(((K$7+K$8)/2-46307)/365)</x:f>
        <x:v>24769.907929430567</x:v>
      </x:c>
      <x:c r="L26" s="34" t="n">
        <x:f>'Assumptions'!$D$135*(1+'Assumptions'!$D$80)^(((L$7+L$8)/2-46307)/365)</x:f>
        <x:v>24893.17692246422</x:v>
      </x:c>
      <x:c r="M26" s="34" t="n">
        <x:f>'Assumptions'!$D$135*(1+'Assumptions'!$D$80)^(((M$7+M$8)/2-46307)/365)</x:f>
        <x:v>25017.738015476592</x:v>
      </x:c>
      <x:c r="N26" s="34" t="n">
        <x:f>'Assumptions'!$D$135*(1+'Assumptions'!$D$80)^(((N$7+N$8)/2-46307)/365)</x:f>
        <x:v>25141.558328948908</x:v>
      </x:c>
      <x:c r="O26" s="34" t="n">
        <x:f>'Assumptions'!$D$135*(1+'Assumptions'!$D$80)^(((O$7+O$8)/2-46307)/365)</x:f>
        <x:v>25265.30608801918</x:v>
      </x:c>
      <x:c r="P26" s="34" t="n">
        <x:f>'Assumptions'!$D$135*(1+'Assumptions'!$D$80)^(((P$7+P$8)/2-46307)/365)</x:f>
        <x:v>25391.040460913504</x:v>
      </x:c>
      <x:c r="Q26" s="34" t="n">
        <x:f>'Assumptions'!$D$135*(1+'Assumptions'!$D$80)^(((Q$7+Q$8)/2-46307)/365)</x:f>
        <x:v>25707.772067575916</x:v>
      </x:c>
      <x:c r="R26" s="34" t="n">
        <x:f>'Assumptions'!$D$135*(1+'Assumptions'!$D$80)^(((R$7+R$8)/2-46307)/365)</x:f>
        <x:v>26221.92750892744</x:v>
      </x:c>
      <x:c r="S26" s="34" t="n">
        <x:f>'Assumptions'!$D$135*(1+'Assumptions'!$D$80)^(((S$7+S$8)/2-46307)/365)</x:f>
        <x:v>26747.091614588884</x:v>
      </x:c>
      <x:c r="T26" s="34" t="n">
        <x:f>'Assumptions'!$D$135*(1+'Assumptions'!$D$80)^(((T$7+T$8)/2-46307)/365)</x:f>
        <x:v>27282.773533549196</x:v>
      </x:c>
      <x:c r="U26" s="34" t="n">
        <x:f>'Assumptions'!$D$135*(1+'Assumptions'!$D$80)^(((U$7+U$8)/2-46307)/365)</x:f>
        <x:v>27828.42900422018</x:v>
      </x:c>
      <x:c r="V26" s="34" t="n">
        <x:f>'Assumptions'!$D$135*(1+'Assumptions'!$D$80)^(((V$7+V$8)/2-46307)/365)</x:f>
        <x:v>28384.997584304583</x:v>
      </x:c>
      <x:c r="W26" s="34" t="n">
        <x:f>'Assumptions'!$D$135*(1+'Assumptions'!$D$80)^(((W$7+W$8)/2-46307)/365)</x:f>
        <x:v>28953.482943189374</x:v>
      </x:c>
      <x:c r="X26" s="34" t="n">
        <x:f>'Assumptions'!$D$135*(1+'Assumptions'!$D$80)^(((X$7+X$8)/2-46307)/365)</x:f>
        <x:v>29533.3537391279</x:v>
      </x:c>
      <x:c r="Y26" s="34" t="n">
        <x:f>'Assumptions'!$D$135*(1+'Assumptions'!$D$80)^(((Y$7+Y$8)/2-46307)/365)</x:f>
        <x:v>30124.020813910458</x:v>
      </x:c>
      <x:c r="Z26" s="34" t="n">
        <x:f>'Assumptions'!$D$135*(1+'Assumptions'!$D$80)^(((Z$7+Z$8)/2-46307)/365)</x:f>
        <x:v>30726.501230188667</x:v>
      </x:c>
      <x:c r="AA26" s="34" t="n">
        <x:f>'Assumptions'!$D$135*(1+'Assumptions'!$D$80)^(((AA$7+AA$8)/2-46307)/365)</x:f>
        <x:v>31341.881450928107</x:v>
      </x:c>
      <x:c r="AB26" s="34" t="n">
        <x:f>'Assumptions'!$D$135*(1+'Assumptions'!$D$80)^(((AB$7+AB$8)/2-46307)/365)</x:f>
        <x:v>31969.58630352981</x:v>
      </x:c>
      <x:c r="AC26" s="34" t="n">
        <x:f>'Assumptions'!$D$135*(1+'Assumptions'!$D$80)^(((AC$7+AC$8)/2-46307)/365)</x:f>
        <x:v>32608.978029600406</x:v>
      </x:c>
      <x:c r="AD26" s="34" t="n">
        <x:f>'Assumptions'!$D$135*(1+'Assumptions'!$D$80)^(((AD$7+AD$8)/2-46307)/365)</x:f>
        <x:v>33261.157590192415</x:v>
      </x:c>
      <x:c r="AE26" s="34" t="n">
        <x:f>'Assumptions'!$D$135*(1+'Assumptions'!$D$80)^(((AE$7+AE$8)/2-46307)/365)</x:f>
        <x:v>33927.30107156582</x:v>
      </x:c>
      <x:c r="AF26" s="34" t="n">
        <x:f>'Assumptions'!$D$135*(1+'Assumptions'!$D$80)^(((AF$7+AF$8)/2-46307)/365)</x:f>
        <x:v>34606.78585462341</x:v>
      </x:c>
      <x:c r="AG26" s="34" t="n">
        <x:f>'Assumptions'!$D$135*(1+'Assumptions'!$D$80)^(((AG$7+AG$8)/2-46307)/365)</x:f>
        <x:v>35298.92157171588</x:v>
      </x:c>
      <x:c r="AH26" s="34" t="n">
        <x:f>'Assumptions'!$D$135*(1+'Assumptions'!$D$80)^(((AH$7+AH$8)/2-46307)/365)</x:f>
        <x:v>36004.9000031502</x:v>
      </x:c>
      <x:c r="AI26" s="34" t="n">
        <x:f>'Assumptions'!$D$135*(1+'Assumptions'!$D$80)^(((AI$7+AI$8)/2-46307)/365)</x:f>
        <x:v>36725.99425158585</x:v>
      </x:c>
      <x:c r="AJ26" s="34" t="n">
        <x:f>'Assumptions'!$D$135*(1+'Assumptions'!$D$80)^(((AJ$7+AJ$8)/2-46307)/365)</x:f>
        <x:v>37461.53033752366</x:v>
      </x:c>
      <x:c r="AK26" s="34" t="n">
        <x:f>'Assumptions'!$D$135*(1+'Assumptions'!$D$80)^(((AK$7+AK$8)/2-46307)/365)</x:f>
        <x:v>38210.76094427414</x:v>
      </x:c>
      <x:c r="AL26" s="34" t="n">
        <x:f>'Assumptions'!$D$135*(1+'Assumptions'!$D$80)^(((AL$7+AL$8)/2-46307)/365)</x:f>
        <x:v>38974.97616315962</x:v>
      </x:c>
      <x:c r="AM26" s="34" t="n">
        <x:f>'Assumptions'!$D$135*(1+'Assumptions'!$D$80)^(((AM$7+AM$8)/2-46307)/365)</x:f>
        <x:v>39755.55411620801</x:v>
      </x:c>
      <x:c r="AN26" s="34" t="n">
        <x:f>'Assumptions'!$D$135*(1+'Assumptions'!$D$80)^(((AN$7+AN$8)/2-46307)/365)</x:f>
        <x:v>40551.76522675302</x:v>
      </x:c>
      <x:c r="AO26" s="34" t="n">
        <x:f>'Assumptions'!$D$135*(1+'Assumptions'!$D$80)^(((AO$7+AO$8)/2-46307)/365)</x:f>
        <x:v>41362.80053128808</x:v>
      </x:c>
      <x:c r="AP26" s="34" t="n">
        <x:f>'Assumptions'!$D$135*(1+'Assumptions'!$D$80)^(((AP$7+AP$8)/2-46307)/365)</x:f>
        <x:v>42190.056541913844</x:v>
      </x:c>
      <x:c r="AQ26" s="34" t="n">
        <x:f>'Assumptions'!$D$135*(1+'Assumptions'!$D$80)^(((AQ$7+AQ$8)/2-46307)/365)</x:f>
        <x:v>43035.02506316754</x:v>
      </x:c>
    </x:row>
    <x:row r="27" ht="21" customHeight="1">
      <x:c r="A27" s="2"/>
      <x:c r="B27" s="2"/>
      <x:c r="C27" s="2" t="str">
        <x:v>TCE cash revenue</x:v>
      </x:c>
      <x:c r="D27" s="2"/>
      <x:c r="E27" s="39" t="n">
        <x:f>E23*((1-E25)*E24+E25*E26)</x:f>
        <x:v>33423760.66167923</x:v>
      </x:c>
      <x:c r="F27" s="39" t="n">
        <x:f>F23*((1-F25)*F24+F25*F26)</x:f>
        <x:v>37775534.2311911</x:v>
      </x:c>
      <x:c r="G27" s="39" t="n">
        <x:f>G23*((1-G25)*G24+G25*G26)</x:f>
        <x:v>38383261.00363907</x:v>
      </x:c>
      <x:c r="H27" s="39" t="n">
        <x:f>H23*((1-H25)*H24+H25*H26)</x:f>
        <x:v>38998170.85955575</x:v>
      </x:c>
      <x:c r="I27" s="39" t="n">
        <x:f>I23*((1-I25)*I24+I25*I26)</x:f>
        <x:v>39193310.869321465</x:v>
      </x:c>
      <x:c r="J27" s="39" t="n">
        <x:f>J23*((1-J25)*J24+J25*J26)</x:f>
        <x:v>38960224.49236299</x:v>
      </x:c>
      <x:c r="K27" s="39" t="n">
        <x:f>K23*((1-K25)*K24+K25*K26)</x:f>
        <x:v>39153050.36681301</x:v>
      </x:c>
      <x:c r="L27" s="39" t="n">
        <x:f>L23*((1-L25)*L24+L25*L26)</x:f>
        <x:v>39780292.44917472</x:v>
      </x:c>
      <x:c r="M27" s="39" t="n">
        <x:f>M23*((1-M25)*M24+M25*M26)</x:f>
        <x:v>39979346.058252215</x:v>
      </x:c>
      <x:c r="N27" s="39" t="n">
        <x:f>N23*((1-N25)*N24+N25*N26)</x:f>
        <x:v>39303798.13564583</x:v>
      </x:c>
      <x:c r="O27" s="39" t="n">
        <x:f>O23*((1-O25)*O24+O25*O26)</x:f>
        <x:v>39936111.37414928</x:v>
      </x:c>
      <x:c r="P27" s="39" t="n">
        <x:f>P23*((1-P25)*P24+P25*P26)</x:f>
        <x:v>40575898.29815821</x:v>
      </x:c>
      <x:c r="Q27" s="39" t="n">
        <x:f>Q23*((1-Q25)*Q24+Q25*Q26)</x:f>
        <x:v>162988560.2970347</x:v>
      </x:c>
      <x:c r="R27" s="39" t="n">
        <x:f>R23*((1-R25)*R24+R25*R26)</x:f>
        <x:v>166248331.50297543</x:v>
      </x:c>
      <x:c r="S27" s="39" t="n">
        <x:f>S23*((1-S25)*S24+S25*S26)</x:f>
        <x:v>160544067.99824688</x:v>
      </x:c>
      <x:c r="T27" s="39" t="n">
        <x:f>T23*((1-T25)*T24+T25*T26)</x:f>
        <x:v>132113284.07565261</x:v>
      </x:c>
      <x:c r="U27" s="39" t="n">
        <x:f>U23*((1-U25)*U24+U25*U26)</x:f>
        <x:v>127424289.2781489</x:v>
      </x:c>
      <x:c r="V27" s="39" t="n">
        <x:f>V23*((1-V25)*V24+V25*V26)</x:f>
        <x:v>124932734.89264274</x:v>
      </x:c>
      <x:c r="W27" s="39" t="n">
        <x:f>W23*((1-W25)*W24+W25*W26)</x:f>
        <x:v>109916396.83205925</x:v>
      </x:c>
      <x:c r="X27" s="39" t="n">
        <x:f>X23*((1-X25)*X24+X25*X26)</x:f>
        <x:v>101401884.06268346</x:v>
      </x:c>
      <x:c r="Y27" s="39" t="n">
        <x:f>Y23*((1-Y25)*Y24+Y25*Y26)</x:f>
        <x:v>95493899.0806165</x:v>
      </x:c>
      <x:c r="Z27" s="39" t="n">
        <x:f>Z23*((1-Z25)*Z24+Z25*Z26)</x:f>
        <x:v>97403777.06222883</x:v>
      </x:c>
      <x:c r="AA27" s="39" t="n">
        <x:f>AA23*((1-AA25)*AA24+AA25*AA26)</x:f>
        <x:v>94061687.51645291</x:v>
      </x:c>
      <x:c r="AB27" s="39" t="n">
        <x:f>AB23*((1-AB25)*AB24+AB25*AB26)</x:f>
        <x:v>64632113.39018863</x:v>
      </x:c>
      <x:c r="AC27" s="39" t="n">
        <x:f>AC23*((1-AC25)*AC24+AC25*AC26)</x:f>
        <x:v>22971394.572952002</x:v>
      </x:c>
      <x:c r="AD27" s="39" t="n">
        <x:f>AD23*((1-AD25)*AD24+AD25*AD26)</x:f>
        <x:v>23430822.464411046</x:v>
      </x:c>
      <x:c r="AE27" s="39" t="n">
        <x:f>AE23*((1-AE25)*AE24+AE25*AE26)</x:f>
        <x:v>20953501.141799048</x:v>
      </x:c>
      <x:c r="AF27" s="39" t="n">
        <x:f>AF23*((1-AF25)*AF24+AF25*AF26)</x:f>
        <x:v>9116984.699471265</x:v>
      </x:c>
      <x:c r="AG27" s="39" t="n">
        <x:f>AG23*((1-AG25)*AG24+AG25*AG26)</x:f>
        <x:v>0</x:v>
      </x:c>
      <x:c r="AH27" s="39" t="n">
        <x:f>AH23*((1-AH25)*AH24+AH25*AH26)</x:f>
        <x:v>0</x:v>
      </x:c>
      <x:c r="AI27" s="39" t="n">
        <x:f>AI23*((1-AI25)*AI24+AI25*AI26)</x:f>
        <x:v>0</x:v>
      </x:c>
      <x:c r="AJ27" s="39" t="n">
        <x:f>AJ23*((1-AJ25)*AJ24+AJ25*AJ26)</x:f>
        <x:v>0</x:v>
      </x:c>
      <x:c r="AK27" s="39" t="n">
        <x:f>AK23*((1-AK25)*AK24+AK25*AK26)</x:f>
        <x:v>0</x:v>
      </x:c>
      <x:c r="AL27" s="39" t="n">
        <x:f>AL23*((1-AL25)*AL24+AL25*AL26)</x:f>
        <x:v>0</x:v>
      </x:c>
      <x:c r="AM27" s="39" t="n">
        <x:f>AM23*((1-AM25)*AM24+AM25*AM26)</x:f>
        <x:v>0</x:v>
      </x:c>
      <x:c r="AN27" s="39" t="n">
        <x:f>AN23*((1-AN25)*AN24+AN25*AN26)</x:f>
        <x:v>0</x:v>
      </x:c>
      <x:c r="AO27" s="39" t="n">
        <x:f>AO23*((1-AO25)*AO24+AO25*AO26)</x:f>
        <x:v>0</x:v>
      </x:c>
      <x:c r="AP27" s="39" t="n">
        <x:f>AP23*((1-AP25)*AP24+AP25*AP26)</x:f>
        <x:v>0</x:v>
      </x:c>
      <x:c r="AQ27" s="39" t="n">
        <x:f>AQ23*((1-AQ25)*AQ24+AQ25*AQ26)</x:f>
        <x:v>0</x:v>
      </x:c>
    </x:row>
    <x:row r="28" ht="21" customHeight="1">
      <x:c r="A28" s="2"/>
      <x:c r="B28" s="2"/>
      <x:c r="C28" s="2" t="str">
        <x:v>Vessel operating cost</x:v>
      </x:c>
      <x:c r="D28" s="2"/>
      <x:c r="E28" s="37" t="n">
        <x:f>E22*'Assumptions'!$D$50*(1+'Assumptions'!$D$80)^(((E$7+E$8)/2-46307)/365)</x:f>
        <x:v>9813539.399802191</x:v>
      </x:c>
      <x:c r="F28" s="37" t="n">
        <x:f>F22*'Assumptions'!$D$50*(1+'Assumptions'!$D$80)^(((F$7+F$8)/2-46307)/365)</x:f>
        <x:v>11091262.209503433</x:v>
      </x:c>
      <x:c r="G28" s="37" t="n">
        <x:f>G22*'Assumptions'!$D$50*(1+'Assumptions'!$D$80)^(((G$7+G$8)/2-46307)/365)</x:f>
        <x:v>11269696.667735133</x:v>
      </x:c>
      <x:c r="H28" s="37" t="n">
        <x:f>H22*'Assumptions'!$D$50*(1+'Assumptions'!$D$80)^(((H$7+H$8)/2-46307)/365)</x:f>
        <x:v>11450240.148746936</x:v>
      </x:c>
      <x:c r="I28" s="37" t="n">
        <x:f>I22*'Assumptions'!$D$50*(1+'Assumptions'!$D$80)^(((I$7+I$8)/2-46307)/365)</x:f>
        <x:v>11507535.142978668</x:v>
      </x:c>
      <x:c r="J28" s="37" t="n">
        <x:f>J22*'Assumptions'!$D$50*(1+'Assumptions'!$D$80)^(((J$7+J$8)/2-46307)/365)</x:f>
        <x:v>11439098.728327649</x:v>
      </x:c>
      <x:c r="K28" s="37" t="n">
        <x:f>K22*'Assumptions'!$D$50*(1+'Assumptions'!$D$80)^(((K$7+K$8)/2-46307)/365)</x:f>
        <x:v>11495714.270048726</x:v>
      </x:c>
      <x:c r="L28" s="37" t="n">
        <x:f>L22*'Assumptions'!$D$50*(1+'Assumptions'!$D$80)^(((L$7+L$8)/2-46307)/365)</x:f>
        <x:v>11679878.612020211</x:v>
      </x:c>
      <x:c r="M28" s="37" t="n">
        <x:f>M22*'Assumptions'!$D$50*(1+'Assumptions'!$D$80)^(((M$7+M$8)/2-46307)/365)</x:f>
        <x:v>11738322.676861618</x:v>
      </x:c>
      <x:c r="N28" s="37" t="n">
        <x:f>N22*'Assumptions'!$D$50*(1+'Assumptions'!$D$80)^(((N$7+N$8)/2-46307)/365)</x:f>
        <x:v>11539975.272987548</x:v>
      </x:c>
      <x:c r="O28" s="37" t="n">
        <x:f>O22*'Assumptions'!$D$50*(1+'Assumptions'!$D$80)^(((O$7+O$8)/2-46307)/365)</x:f>
        <x:v>11725628.555449702</x:v>
      </x:c>
      <x:c r="P28" s="37" t="n">
        <x:f>P22*'Assumptions'!$D$50*(1+'Assumptions'!$D$80)^(((P$7+P$8)/2-46307)/365)</x:f>
        <x:v>11913476.184260616</x:v>
      </x:c>
      <x:c r="Q28" s="37" t="n">
        <x:f>Q22*'Assumptions'!$D$50*(1+'Assumptions'!$D$80)^(((Q$7+Q$8)/2-46307)/365)</x:f>
        <x:v>47855017.70379257</x:v>
      </x:c>
      <x:c r="R28" s="37" t="n">
        <x:f>R22*'Assumptions'!$D$50*(1+'Assumptions'!$D$80)^(((R$7+R$8)/2-46307)/365)</x:f>
        <x:v>48812118.05786843</x:v>
      </x:c>
      <x:c r="S28" s="37" t="n">
        <x:f>S22*'Assumptions'!$D$50*(1+'Assumptions'!$D$80)^(((S$7+S$8)/2-46307)/365)</x:f>
        <x:v>47137291.12211048</x:v>
      </x:c>
      <x:c r="T28" s="37" t="n">
        <x:f>T22*'Assumptions'!$D$50*(1+'Assumptions'!$D$80)^(((T$7+T$8)/2-46307)/365)</x:f>
        <x:v>38789737.984215796</x:v>
      </x:c>
      <x:c r="U28" s="37" t="n">
        <x:f>U22*'Assumptions'!$D$50*(1+'Assumptions'!$D$80)^(((U$7+U$8)/2-46307)/365)</x:f>
        <x:v>37413003.76042368</x:v>
      </x:c>
      <x:c r="V28" s="37" t="n">
        <x:f>V22*'Assumptions'!$D$50*(1+'Assumptions'!$D$80)^(((V$7+V$8)/2-46307)/365)</x:f>
        <x:v>36681459.29490374</x:v>
      </x:c>
      <x:c r="W28" s="37" t="n">
        <x:f>W22*'Assumptions'!$D$50*(1+'Assumptions'!$D$80)^(((W$7+W$8)/2-46307)/365)</x:f>
        <x:v>32272517.204576984</x:v>
      </x:c>
      <x:c r="X28" s="37" t="n">
        <x:f>X22*'Assumptions'!$D$50*(1+'Assumptions'!$D$80)^(((X$7+X$8)/2-46307)/365)</x:f>
        <x:v>29772573.904414833</x:v>
      </x:c>
      <x:c r="Y28" s="37" t="n">
        <x:f>Y22*'Assumptions'!$D$50*(1+'Assumptions'!$D$80)^(((Y$7+Y$8)/2-46307)/365)</x:f>
        <x:v>28037932.37254716</x:v>
      </x:c>
      <x:c r="Z28" s="37" t="n">
        <x:f>Z22*'Assumptions'!$D$50*(1+'Assumptions'!$D$80)^(((Z$7+Z$8)/2-46307)/365)</x:f>
        <x:v>28598691.019998103</x:v>
      </x:c>
      <x:c r="AA28" s="37" t="n">
        <x:f>AA22*'Assumptions'!$D$50*(1+'Assumptions'!$D$80)^(((AA$7+AA$8)/2-46307)/365)</x:f>
        <x:v>27617421.20517615</x:v>
      </x:c>
      <x:c r="AB28" s="37" t="n">
        <x:f>AB22*'Assumptions'!$D$50*(1+'Assumptions'!$D$80)^(((AB$7+AB$8)/2-46307)/365)</x:f>
        <x:v>18976613.603336904</x:v>
      </x:c>
      <x:c r="AC28" s="37" t="n">
        <x:f>AC22*'Assumptions'!$D$50*(1+'Assumptions'!$D$80)^(((AC$7+AC$8)/2-46307)/365)</x:f>
        <x:v>6744623.6224556845</x:v>
      </x:c>
      <x:c r="AD28" s="37" t="n">
        <x:f>AD22*'Assumptions'!$D$50*(1+'Assumptions'!$D$80)^(((AD$7+AD$8)/2-46307)/365)</x:f>
        <x:v>6879516.094904798</x:v>
      </x:c>
      <x:c r="AE28" s="37" t="n">
        <x:f>AE22*'Assumptions'!$D$50*(1+'Assumptions'!$D$80)^(((AE$7+AE$8)/2-46307)/365)</x:f>
        <x:v>6152150.594310601</x:v>
      </x:c>
      <x:c r="AF28" s="37" t="n">
        <x:f>AF22*'Assumptions'!$D$50*(1+'Assumptions'!$D$80)^(((AF$7+AF$8)/2-46307)/365)</x:f>
        <x:v>2676834.885855121</x:v>
      </x:c>
      <x:c r="AG28" s="37" t="n">
        <x:f>AG22*'Assumptions'!$D$50*(1+'Assumptions'!$D$80)^(((AG$7+AG$8)/2-46307)/365)</x:f>
        <x:v>0</x:v>
      </x:c>
      <x:c r="AH28" s="37" t="n">
        <x:f>AH22*'Assumptions'!$D$50*(1+'Assumptions'!$D$80)^(((AH$7+AH$8)/2-46307)/365)</x:f>
        <x:v>0</x:v>
      </x:c>
      <x:c r="AI28" s="37" t="n">
        <x:f>AI22*'Assumptions'!$D$50*(1+'Assumptions'!$D$80)^(((AI$7+AI$8)/2-46307)/365)</x:f>
        <x:v>0</x:v>
      </x:c>
      <x:c r="AJ28" s="37" t="n">
        <x:f>AJ22*'Assumptions'!$D$50*(1+'Assumptions'!$D$80)^(((AJ$7+AJ$8)/2-46307)/365)</x:f>
        <x:v>0</x:v>
      </x:c>
      <x:c r="AK28" s="37" t="n">
        <x:f>AK22*'Assumptions'!$D$50*(1+'Assumptions'!$D$80)^(((AK$7+AK$8)/2-46307)/365)</x:f>
        <x:v>0</x:v>
      </x:c>
      <x:c r="AL28" s="37" t="n">
        <x:f>AL22*'Assumptions'!$D$50*(1+'Assumptions'!$D$80)^(((AL$7+AL$8)/2-46307)/365)</x:f>
        <x:v>0</x:v>
      </x:c>
      <x:c r="AM28" s="37" t="n">
        <x:f>AM22*'Assumptions'!$D$50*(1+'Assumptions'!$D$80)^(((AM$7+AM$8)/2-46307)/365)</x:f>
        <x:v>0</x:v>
      </x:c>
      <x:c r="AN28" s="37" t="n">
        <x:f>AN22*'Assumptions'!$D$50*(1+'Assumptions'!$D$80)^(((AN$7+AN$8)/2-46307)/365)</x:f>
        <x:v>0</x:v>
      </x:c>
      <x:c r="AO28" s="37" t="n">
        <x:f>AO22*'Assumptions'!$D$50*(1+'Assumptions'!$D$80)^(((AO$7+AO$8)/2-46307)/365)</x:f>
        <x:v>0</x:v>
      </x:c>
      <x:c r="AP28" s="37" t="n">
        <x:f>AP22*'Assumptions'!$D$50*(1+'Assumptions'!$D$80)^(((AP$7+AP$8)/2-46307)/365)</x:f>
        <x:v>0</x:v>
      </x:c>
      <x:c r="AQ28" s="37" t="n">
        <x:f>AQ22*'Assumptions'!$D$50*(1+'Assumptions'!$D$80)^(((AQ$7+AQ$8)/2-46307)/365)</x:f>
        <x:v>0</x:v>
      </x:c>
    </x:row>
    <x:row r="29" ht="21" customHeight="1">
      <x:c r="A29" s="2"/>
      <x:c r="B29" s="2"/>
      <x:c r="C29" s="2" t="str">
        <x:v>Management fees</x:v>
      </x:c>
      <x:c r="D29" s="2"/>
      <x:c r="E29" s="37" t="n">
        <x:f>E22*'Assumptions'!$D$55*(1+'Assumptions'!$D$80)^(((E$7+E$8)/2-46307)/365)</x:f>
        <x:v>339144.3763166934</x:v>
      </x:c>
      <x:c r="F29" s="37" t="n">
        <x:f>F22*'Assumptions'!$D$55*(1+'Assumptions'!$D$80)^(((F$7+F$8)/2-46307)/365)</x:f>
        <x:v>383300.9734166628</x:v>
      </x:c>
      <x:c r="G29" s="37" t="n">
        <x:f>G22*'Assumptions'!$D$55*(1+'Assumptions'!$D$80)^(((G$7+G$8)/2-46307)/365)</x:f>
        <x:v>389467.45837025833</x:v>
      </x:c>
      <x:c r="H29" s="37" t="n">
        <x:f>H22*'Assumptions'!$D$55*(1+'Assumptions'!$D$80)^(((H$7+H$8)/2-46307)/365)</x:f>
        <x:v>395706.82866993087</x:v>
      </x:c>
      <x:c r="I29" s="37" t="n">
        <x:f>I22*'Assumptions'!$D$55*(1+'Assumptions'!$D$80)^(((I$7+I$8)/2-46307)/365)</x:f>
        <x:v>397686.876264704</x:v>
      </x:c>
      <x:c r="J29" s="37" t="n">
        <x:f>J22*'Assumptions'!$D$55*(1+'Assumptions'!$D$80)^(((J$7+J$8)/2-46307)/365)</x:f>
        <x:v>395321.7942877937</x:v>
      </x:c>
      <x:c r="K29" s="37" t="n">
        <x:f>K22*'Assumptions'!$D$55*(1+'Assumptions'!$D$80)^(((K$7+K$8)/2-46307)/365)</x:f>
        <x:v>397278.36080315453</x:v>
      </x:c>
      <x:c r="L29" s="37" t="n">
        <x:f>L22*'Assumptions'!$D$55*(1+'Assumptions'!$D$80)^(((L$7+L$8)/2-46307)/365)</x:f>
        <x:v>403642.8637977573</x:v>
      </x:c>
      <x:c r="M29" s="37" t="n">
        <x:f>M22*'Assumptions'!$D$55*(1+'Assumptions'!$D$80)^(((M$7+M$8)/2-46307)/365)</x:f>
        <x:v>405662.621920953</x:v>
      </x:c>
      <x:c r="N29" s="37" t="n">
        <x:f>N22*'Assumptions'!$D$55*(1+'Assumptions'!$D$80)^(((N$7+N$8)/2-46307)/365)</x:f>
        <x:v>398807.968992952</x:v>
      </x:c>
      <x:c r="O29" s="37" t="n">
        <x:f>O22*'Assumptions'!$D$55*(1+'Assumptions'!$D$80)^(((O$7+O$8)/2-46307)/365)</x:f>
        <x:v>405223.9280192177</x:v>
      </x:c>
      <x:c r="P29" s="37" t="n">
        <x:f>P22*'Assumptions'!$D$55*(1+'Assumptions'!$D$80)^(((P$7+P$8)/2-46307)/365)</x:f>
        <x:v>411715.72107371246</x:v>
      </x:c>
      <x:c r="Q29" s="37" t="n">
        <x:f>Q22*'Assumptions'!$D$55*(1+'Assumptions'!$D$80)^(((Q$7+Q$8)/2-46307)/365)</x:f>
        <x:v>1653813.111822243</x:v>
      </x:c>
      <x:c r="R29" s="37" t="n">
        <x:f>R22*'Assumptions'!$D$55*(1+'Assumptions'!$D$80)^(((R$7+R$8)/2-46307)/365)</x:f>
        <x:v>1686889.3740586883</x:v>
      </x:c>
      <x:c r="S29" s="37" t="n">
        <x:f>S22*'Assumptions'!$D$55*(1+'Assumptions'!$D$80)^(((S$7+S$8)/2-46307)/365)</x:f>
        <x:v>1629009.325543524</x:v>
      </x:c>
      <x:c r="T29" s="37" t="n">
        <x:f>T22*'Assumptions'!$D$55*(1+'Assumptions'!$D$80)^(((T$7+T$8)/2-46307)/365)</x:f>
        <x:v>1340527.7097486341</x:v>
      </x:c>
      <x:c r="U29" s="37" t="n">
        <x:f>U22*'Assumptions'!$D$55*(1+'Assumptions'!$D$80)^(((U$7+U$8)/2-46307)/365)</x:f>
        <x:v>1292949.3946617006</x:v>
      </x:c>
      <x:c r="V29" s="37" t="n">
        <x:f>V22*'Assumptions'!$D$55*(1+'Assumptions'!$D$80)^(((V$7+V$8)/2-46307)/365)</x:f>
        <x:v>1267668.0785738793</x:v>
      </x:c>
      <x:c r="W29" s="37" t="n">
        <x:f>W22*'Assumptions'!$D$55*(1+'Assumptions'!$D$80)^(((W$7+W$8)/2-46307)/365)</x:f>
        <x:v>1115300.226922881</x:v>
      </x:c>
      <x:c r="X29" s="37" t="n">
        <x:f>X22*'Assumptions'!$D$55*(1+'Assumptions'!$D$80)^(((X$7+X$8)/2-46307)/365)</x:f>
        <x:v>1028905.1275790421</x:v>
      </x:c>
      <x:c r="Y29" s="37" t="n">
        <x:f>Y22*'Assumptions'!$D$55*(1+'Assumptions'!$D$80)^(((Y$7+Y$8)/2-46307)/365)</x:f>
        <x:v>968957.9569924386</x:v>
      </x:c>
      <x:c r="Z29" s="37" t="n">
        <x:f>Z22*'Assumptions'!$D$55*(1+'Assumptions'!$D$80)^(((Z$7+Z$8)/2-46307)/365)</x:f>
        <x:v>988337.1161322874</x:v>
      </x:c>
      <x:c r="AA29" s="37" t="n">
        <x:f>AA22*'Assumptions'!$D$55*(1+'Assumptions'!$D$80)^(((AA$7+AA$8)/2-46307)/365)</x:f>
        <x:v>954425.585767117</x:v>
      </x:c>
      <x:c r="AB29" s="37" t="n">
        <x:f>AB22*'Assumptions'!$D$55*(1+'Assumptions'!$D$80)^(((AB$7+AB$8)/2-46307)/365)</x:f>
        <x:v>655809.4407035547</x:v>
      </x:c>
      <x:c r="AC29" s="37" t="n">
        <x:f>AC22*'Assumptions'!$D$55*(1+'Assumptions'!$D$80)^(((AC$7+AC$8)/2-46307)/365)</x:f>
        <x:v>233086.2575407479</x:v>
      </x:c>
      <x:c r="AD29" s="37" t="n">
        <x:f>AD22*'Assumptions'!$D$55*(1+'Assumptions'!$D$80)^(((AD$7+AD$8)/2-46307)/365)</x:f>
        <x:v>237747.98269156285</x:v>
      </x:c>
      <x:c r="AE29" s="37" t="n">
        <x:f>AE22*'Assumptions'!$D$55*(1+'Assumptions'!$D$80)^(((AE$7+AE$8)/2-46307)/365)</x:f>
        <x:v>212611.08671514576</x:v>
      </x:c>
      <x:c r="AF29" s="37" t="n">
        <x:f>AF22*'Assumptions'!$D$55*(1+'Assumptions'!$D$80)^(((AF$7+AF$8)/2-46307)/365)</x:f>
        <x:v>92508.26443764022</x:v>
      </x:c>
      <x:c r="AG29" s="37" t="n">
        <x:f>AG22*'Assumptions'!$D$55*(1+'Assumptions'!$D$80)^(((AG$7+AG$8)/2-46307)/365)</x:f>
        <x:v>0</x:v>
      </x:c>
      <x:c r="AH29" s="37" t="n">
        <x:f>AH22*'Assumptions'!$D$55*(1+'Assumptions'!$D$80)^(((AH$7+AH$8)/2-46307)/365)</x:f>
        <x:v>0</x:v>
      </x:c>
      <x:c r="AI29" s="37" t="n">
        <x:f>AI22*'Assumptions'!$D$55*(1+'Assumptions'!$D$80)^(((AI$7+AI$8)/2-46307)/365)</x:f>
        <x:v>0</x:v>
      </x:c>
      <x:c r="AJ29" s="37" t="n">
        <x:f>AJ22*'Assumptions'!$D$55*(1+'Assumptions'!$D$80)^(((AJ$7+AJ$8)/2-46307)/365)</x:f>
        <x:v>0</x:v>
      </x:c>
      <x:c r="AK29" s="37" t="n">
        <x:f>AK22*'Assumptions'!$D$55*(1+'Assumptions'!$D$80)^(((AK$7+AK$8)/2-46307)/365)</x:f>
        <x:v>0</x:v>
      </x:c>
      <x:c r="AL29" s="37" t="n">
        <x:f>AL22*'Assumptions'!$D$55*(1+'Assumptions'!$D$80)^(((AL$7+AL$8)/2-46307)/365)</x:f>
        <x:v>0</x:v>
      </x:c>
      <x:c r="AM29" s="37" t="n">
        <x:f>AM22*'Assumptions'!$D$55*(1+'Assumptions'!$D$80)^(((AM$7+AM$8)/2-46307)/365)</x:f>
        <x:v>0</x:v>
      </x:c>
      <x:c r="AN29" s="37" t="n">
        <x:f>AN22*'Assumptions'!$D$55*(1+'Assumptions'!$D$80)^(((AN$7+AN$8)/2-46307)/365)</x:f>
        <x:v>0</x:v>
      </x:c>
      <x:c r="AO29" s="37" t="n">
        <x:f>AO22*'Assumptions'!$D$55*(1+'Assumptions'!$D$80)^(((AO$7+AO$8)/2-46307)/365)</x:f>
        <x:v>0</x:v>
      </x:c>
      <x:c r="AP29" s="37" t="n">
        <x:f>AP22*'Assumptions'!$D$55*(1+'Assumptions'!$D$80)^(((AP$7+AP$8)/2-46307)/365)</x:f>
        <x:v>0</x:v>
      </x:c>
      <x:c r="AQ29" s="37" t="n">
        <x:f>AQ22*'Assumptions'!$D$55*(1+'Assumptions'!$D$80)^(((AQ$7+AQ$8)/2-46307)/365)</x:f>
        <x:v>0</x:v>
      </x:c>
    </x:row>
    <x:row r="30" ht="21" customHeight="1">
      <x:c r="A30" s="2"/>
      <x:c r="B30" s="2"/>
      <x:c r="C30" s="2" t="str">
        <x:v>Drydock cash budget</x:v>
      </x:c>
      <x:c r="D30" s="2"/>
      <x:c r="E30" s="37" t="n">
        <x:f>E22/365*'Assumptions'!$D$65*(1+'Assumptions'!$D$80)^(((E$7+E$8)/2-46307)/365)</x:f>
        <x:v>2372330.2336346954</x:v>
      </x:c>
      <x:c r="F30" s="37" t="n">
        <x:f>F22/365*'Assumptions'!$D$65*(1+'Assumptions'!$D$80)^(((F$7+F$8)/2-46307)/365)</x:f>
        <x:v>2681207.625182135</x:v>
      </x:c>
      <x:c r="G30" s="37" t="n">
        <x:f>G22/365*'Assumptions'!$D$65*(1+'Assumptions'!$D$80)^(((G$7+G$8)/2-46307)/365)</x:f>
        <x:v>2724342.4660117165</x:v>
      </x:c>
      <x:c r="H30" s="37" t="n">
        <x:f>H22/365*'Assumptions'!$D$65*(1+'Assumptions'!$D$80)^(((H$7+H$8)/2-46307)/365)</x:f>
        <x:v>2767987.1431297995</x:v>
      </x:c>
      <x:c r="I30" s="37" t="n">
        <x:f>I22/365*'Assumptions'!$D$65*(1+'Assumptions'!$D$80)^(((I$7+I$8)/2-46307)/365)</x:f>
        <x:v>2781837.6655065278</x:v>
      </x:c>
      <x:c r="J30" s="37" t="n">
        <x:f>J22/365*'Assumptions'!$D$65*(1+'Assumptions'!$D$80)^(((J$7+J$8)/2-46307)/365)</x:f>
        <x:v>2765293.810232308</x:v>
      </x:c>
      <x:c r="K30" s="37" t="n">
        <x:f>K22/365*'Assumptions'!$D$65*(1+'Assumptions'!$D$80)^(((K$7+K$8)/2-46307)/365)</x:f>
        <x:v>2778980.0813977583</x:v>
      </x:c>
      <x:c r="L30" s="37" t="n">
        <x:f>L22/365*'Assumptions'!$D$65*(1+'Assumptions'!$D$80)^(((L$7+L$8)/2-46307)/365)</x:f>
        <x:v>2823500.0673699146</x:v>
      </x:c>
      <x:c r="M30" s="37" t="n">
        <x:f>M22/365*'Assumptions'!$D$65*(1+'Assumptions'!$D$80)^(((M$7+M$8)/2-46307)/365)</x:f>
        <x:v>2837628.3666869346</x:v>
      </x:c>
      <x:c r="N30" s="37" t="n">
        <x:f>N22/365*'Assumptions'!$D$65*(1+'Assumptions'!$D$80)^(((N$7+N$8)/2-46307)/365)</x:f>
        <x:v>2789679.7597874813</x:v>
      </x:c>
      <x:c r="O30" s="37" t="n">
        <x:f>O22/365*'Assumptions'!$D$65*(1+'Assumptions'!$D$80)^(((O$7+O$8)/2-46307)/365)</x:f>
        <x:v>2834559.683025714</x:v>
      </x:c>
      <x:c r="P30" s="37" t="n">
        <x:f>P22/365*'Assumptions'!$D$65*(1+'Assumptions'!$D$80)^(((P$7+P$8)/2-46307)/365)</x:f>
        <x:v>2879970.068717313</x:v>
      </x:c>
      <x:c r="Q30" s="37" t="n">
        <x:f>Q22/365*'Assumptions'!$D$65*(1+'Assumptions'!$D$80)^(((Q$7+Q$8)/2-46307)/365)</x:f>
        <x:v>11568497.430409163</x:v>
      </x:c>
      <x:c r="R30" s="37" t="n">
        <x:f>R22/365*'Assumptions'!$D$65*(1+'Assumptions'!$D$80)^(((R$7+R$8)/2-46307)/365)</x:f>
        <x:v>11799867.379017347</x:v>
      </x:c>
      <x:c r="S30" s="37" t="n">
        <x:f>S22/365*'Assumptions'!$D$65*(1+'Assumptions'!$D$80)^(((S$7+S$8)/2-46307)/365)</x:f>
        <x:v>11394993.824845402</x:v>
      </x:c>
      <x:c r="T30" s="37" t="n">
        <x:f>T22/365*'Assumptions'!$D$65*(1+'Assumptions'!$D$80)^(((T$7+T$8)/2-46307)/365)</x:f>
        <x:v>9377051.889818484</x:v>
      </x:c>
      <x:c r="U30" s="37" t="n">
        <x:f>U22/365*'Assumptions'!$D$65*(1+'Assumptions'!$D$80)^(((U$7+U$8)/2-46307)/365)</x:f>
        <x:v>9044239.426371558</x:v>
      </x:c>
      <x:c r="V30" s="37" t="n">
        <x:f>V22/365*'Assumptions'!$D$65*(1+'Assumptions'!$D$80)^(((V$7+V$8)/2-46307)/365)</x:f>
        <x:v>8867395.478220083</x:v>
      </x:c>
      <x:c r="W30" s="37" t="n">
        <x:f>W22/365*'Assumptions'!$D$65*(1+'Assumptions'!$D$80)^(((W$7+W$8)/2-46307)/365)</x:f>
        <x:v>7801575.472500479</x:v>
      </x:c>
      <x:c r="X30" s="37" t="n">
        <x:f>X22/365*'Assumptions'!$D$65*(1+'Assumptions'!$D$80)^(((X$7+X$8)/2-46307)/365)</x:f>
        <x:v>7197237.849576511</x:v>
      </x:c>
      <x:c r="Y30" s="37" t="n">
        <x:f>Y22/365*'Assumptions'!$D$65*(1+'Assumptions'!$D$80)^(((Y$7+Y$8)/2-46307)/365)</x:f>
        <x:v>6777904.683129854</x:v>
      </x:c>
      <x:c r="Z30" s="37" t="n">
        <x:f>Z22/365*'Assumptions'!$D$65*(1+'Assumptions'!$D$80)^(((Z$7+Z$8)/2-46307)/365)</x:f>
        <x:v>6913462.776792451</x:v>
      </x:c>
      <x:c r="AA30" s="37" t="n">
        <x:f>AA22/365*'Assumptions'!$D$65*(1+'Assumptions'!$D$80)^(((AA$7+AA$8)/2-46307)/365)</x:f>
        <x:v>6676250.08988948</x:v>
      </x:c>
      <x:c r="AB30" s="37" t="n">
        <x:f>AB22/365*'Assumptions'!$D$65*(1+'Assumptions'!$D$80)^(((AB$7+AB$8)/2-46307)/365)</x:f>
        <x:v>4587416.664787325</x:v>
      </x:c>
      <x:c r="AC30" s="37" t="n">
        <x:f>AC22/365*'Assumptions'!$D$65*(1+'Assumptions'!$D$80)^(((AC$7+AC$8)/2-46307)/365)</x:f>
        <x:v>1630448.9014800203</x:v>
      </x:c>
      <x:c r="AD30" s="37" t="n">
        <x:f>AD22/365*'Assumptions'!$D$65*(1+'Assumptions'!$D$80)^(((AD$7+AD$8)/2-46307)/365)</x:f>
        <x:v>1663057.8795096208</x:v>
      </x:c>
      <x:c r="AE30" s="37" t="n">
        <x:f>AE22/365*'Assumptions'!$D$65*(1+'Assumptions'!$D$80)^(((AE$7+AE$8)/2-46307)/365)</x:f>
        <x:v>1487224.156561789</x:v>
      </x:c>
      <x:c r="AF30" s="37" t="n">
        <x:f>AF22/365*'Assumptions'!$D$65*(1+'Assumptions'!$D$80)^(((AF$7+AF$8)/2-46307)/365)</x:f>
        <x:v>647099.4889254926</x:v>
      </x:c>
      <x:c r="AG30" s="37" t="n">
        <x:f>AG22/365*'Assumptions'!$D$65*(1+'Assumptions'!$D$80)^(((AG$7+AG$8)/2-46307)/365)</x:f>
        <x:v>0</x:v>
      </x:c>
      <x:c r="AH30" s="37" t="n">
        <x:f>AH22/365*'Assumptions'!$D$65*(1+'Assumptions'!$D$80)^(((AH$7+AH$8)/2-46307)/365)</x:f>
        <x:v>0</x:v>
      </x:c>
      <x:c r="AI30" s="37" t="n">
        <x:f>AI22/365*'Assumptions'!$D$65*(1+'Assumptions'!$D$80)^(((AI$7+AI$8)/2-46307)/365)</x:f>
        <x:v>0</x:v>
      </x:c>
      <x:c r="AJ30" s="37" t="n">
        <x:f>AJ22/365*'Assumptions'!$D$65*(1+'Assumptions'!$D$80)^(((AJ$7+AJ$8)/2-46307)/365)</x:f>
        <x:v>0</x:v>
      </x:c>
      <x:c r="AK30" s="37" t="n">
        <x:f>AK22/365*'Assumptions'!$D$65*(1+'Assumptions'!$D$80)^(((AK$7+AK$8)/2-46307)/365)</x:f>
        <x:v>0</x:v>
      </x:c>
      <x:c r="AL30" s="37" t="n">
        <x:f>AL22/365*'Assumptions'!$D$65*(1+'Assumptions'!$D$80)^(((AL$7+AL$8)/2-46307)/365)</x:f>
        <x:v>0</x:v>
      </x:c>
      <x:c r="AM30" s="37" t="n">
        <x:f>AM22/365*'Assumptions'!$D$65*(1+'Assumptions'!$D$80)^(((AM$7+AM$8)/2-46307)/365)</x:f>
        <x:v>0</x:v>
      </x:c>
      <x:c r="AN30" s="37" t="n">
        <x:f>AN22/365*'Assumptions'!$D$65*(1+'Assumptions'!$D$80)^(((AN$7+AN$8)/2-46307)/365)</x:f>
        <x:v>0</x:v>
      </x:c>
      <x:c r="AO30" s="37" t="n">
        <x:f>AO22/365*'Assumptions'!$D$65*(1+'Assumptions'!$D$80)^(((AO$7+AO$8)/2-46307)/365)</x:f>
        <x:v>0</x:v>
      </x:c>
      <x:c r="AP30" s="37" t="n">
        <x:f>AP22/365*'Assumptions'!$D$65*(1+'Assumptions'!$D$80)^(((AP$7+AP$8)/2-46307)/365)</x:f>
        <x:v>0</x:v>
      </x:c>
      <x:c r="AQ30" s="37" t="n">
        <x:f>AQ22/365*'Assumptions'!$D$65*(1+'Assumptions'!$D$80)^(((AQ$7+AQ$8)/2-46307)/365)</x:f>
        <x:v>0</x:v>
      </x:c>
    </x:row>
    <x:row r="31" ht="21" customHeight="1">
      <x:c r="A31" s="2"/>
      <x:c r="B31" s="2"/>
      <x:c r="C31" s="2" t="str">
        <x:v>Other maintenance capex</x:v>
      </x:c>
      <x:c r="D31" s="2"/>
      <x:c r="E31" s="37" t="n">
        <x:f>E22/365*'Assumptions'!$D$70*(1+'Assumptions'!$D$80)^(((E$7+E$8)/2-46307)/365)</x:f>
        <x:v>395388.37227244925</x:v>
      </x:c>
      <x:c r="F31" s="37" t="n">
        <x:f>F22/365*'Assumptions'!$D$70*(1+'Assumptions'!$D$80)^(((F$7+F$8)/2-46307)/365)</x:f>
        <x:v>446867.9375303559</x:v>
      </x:c>
      <x:c r="G31" s="37" t="n">
        <x:f>G22/365*'Assumptions'!$D$70*(1+'Assumptions'!$D$80)^(((G$7+G$8)/2-46307)/365)</x:f>
        <x:v>454057.07766861946</x:v>
      </x:c>
      <x:c r="H31" s="37" t="n">
        <x:f>H22/365*'Assumptions'!$D$70*(1+'Assumptions'!$D$80)^(((H$7+H$8)/2-46307)/365)</x:f>
        <x:v>461331.19052163325</x:v>
      </x:c>
      <x:c r="I31" s="37" t="n">
        <x:f>I22/365*'Assumptions'!$D$70*(1+'Assumptions'!$D$80)^(((I$7+I$8)/2-46307)/365)</x:f>
        <x:v>463639.6109177546</x:v>
      </x:c>
      <x:c r="J31" s="37" t="n">
        <x:f>J22/365*'Assumptions'!$D$70*(1+'Assumptions'!$D$80)^(((J$7+J$8)/2-46307)/365)</x:f>
        <x:v>460882.3017053847</x:v>
      </x:c>
      <x:c r="K31" s="37" t="n">
        <x:f>K22/365*'Assumptions'!$D$70*(1+'Assumptions'!$D$80)^(((K$7+K$8)/2-46307)/365)</x:f>
        <x:v>463163.34689962637</x:v>
      </x:c>
      <x:c r="L31" s="37" t="n">
        <x:f>L22/365*'Assumptions'!$D$70*(1+'Assumptions'!$D$80)^(((L$7+L$8)/2-46307)/365)</x:f>
        <x:v>470583.3445616524</x:v>
      </x:c>
      <x:c r="M31" s="37" t="n">
        <x:f>M22/365*'Assumptions'!$D$70*(1+'Assumptions'!$D$80)^(((M$7+M$8)/2-46307)/365)</x:f>
        <x:v>472938.06111448904</x:v>
      </x:c>
      <x:c r="N31" s="37" t="n">
        <x:f>N22/365*'Assumptions'!$D$70*(1+'Assumptions'!$D$80)^(((N$7+N$8)/2-46307)/365)</x:f>
        <x:v>464946.62663124694</x:v>
      </x:c>
      <x:c r="O31" s="37" t="n">
        <x:f>O22/365*'Assumptions'!$D$70*(1+'Assumptions'!$D$80)^(((O$7+O$8)/2-46307)/365)</x:f>
        <x:v>472426.61383761896</x:v>
      </x:c>
      <x:c r="P31" s="37" t="n">
        <x:f>P22/365*'Assumptions'!$D$70*(1+'Assumptions'!$D$80)^(((P$7+P$8)/2-46307)/365)</x:f>
        <x:v>479995.01145288546</x:v>
      </x:c>
      <x:c r="Q31" s="37" t="n">
        <x:f>Q22/365*'Assumptions'!$D$70*(1+'Assumptions'!$D$80)^(((Q$7+Q$8)/2-46307)/365)</x:f>
        <x:v>1928082.9050681938</x:v>
      </x:c>
      <x:c r="R31" s="37" t="n">
        <x:f>R22/365*'Assumptions'!$D$70*(1+'Assumptions'!$D$80)^(((R$7+R$8)/2-46307)/365)</x:f>
        <x:v>1966644.563169558</x:v>
      </x:c>
      <x:c r="S31" s="37" t="n">
        <x:f>S22/365*'Assumptions'!$D$70*(1+'Assumptions'!$D$80)^(((S$7+S$8)/2-46307)/365)</x:f>
        <x:v>1899165.6374742335</x:v>
      </x:c>
      <x:c r="T31" s="37" t="n">
        <x:f>T22/365*'Assumptions'!$D$70*(1+'Assumptions'!$D$80)^(((T$7+T$8)/2-46307)/365)</x:f>
        <x:v>1562841.981636414</x:v>
      </x:c>
      <x:c r="U31" s="37" t="n">
        <x:f>U22/365*'Assumptions'!$D$70*(1+'Assumptions'!$D$80)^(((U$7+U$8)/2-46307)/365)</x:f>
        <x:v>1507373.2377285932</x:v>
      </x:c>
      <x:c r="V31" s="37" t="n">
        <x:f>V22/365*'Assumptions'!$D$70*(1+'Assumptions'!$D$80)^(((V$7+V$8)/2-46307)/365)</x:f>
        <x:v>1477899.2463700136</x:v>
      </x:c>
      <x:c r="W31" s="37" t="n">
        <x:f>W22/365*'Assumptions'!$D$70*(1+'Assumptions'!$D$80)^(((W$7+W$8)/2-46307)/365)</x:f>
        <x:v>1300262.57875008</x:v>
      </x:c>
      <x:c r="X31" s="37" t="n">
        <x:f>X22/365*'Assumptions'!$D$70*(1+'Assumptions'!$D$80)^(((X$7+X$8)/2-46307)/365)</x:f>
        <x:v>1199539.6415960852</x:v>
      </x:c>
      <x:c r="Y31" s="37" t="n">
        <x:f>Y22/365*'Assumptions'!$D$70*(1+'Assumptions'!$D$80)^(((Y$7+Y$8)/2-46307)/365)</x:f>
        <x:v>1129650.7805216422</x:v>
      </x:c>
      <x:c r="Z31" s="37" t="n">
        <x:f>Z22/365*'Assumptions'!$D$70*(1+'Assumptions'!$D$80)^(((Z$7+Z$8)/2-46307)/365)</x:f>
        <x:v>1152243.7961320751</x:v>
      </x:c>
      <x:c r="AA31" s="37" t="n">
        <x:f>AA22/365*'Assumptions'!$D$70*(1+'Assumptions'!$D$80)^(((AA$7+AA$8)/2-46307)/365)</x:f>
        <x:v>1112708.3483149132</x:v>
      </x:c>
      <x:c r="AB31" s="37" t="n">
        <x:f>AB22/365*'Assumptions'!$D$70*(1+'Assumptions'!$D$80)^(((AB$7+AB$8)/2-46307)/365)</x:f>
        <x:v>764569.4441312209</x:v>
      </x:c>
      <x:c r="AC31" s="37" t="n">
        <x:f>AC22/365*'Assumptions'!$D$70*(1+'Assumptions'!$D$80)^(((AC$7+AC$8)/2-46307)/365)</x:f>
        <x:v>271741.4835800034</x:v>
      </x:c>
      <x:c r="AD31" s="37" t="n">
        <x:f>AD22/365*'Assumptions'!$D$70*(1+'Assumptions'!$D$80)^(((AD$7+AD$8)/2-46307)/365)</x:f>
        <x:v>277176.31325160345</x:v>
      </x:c>
      <x:c r="AE31" s="37" t="n">
        <x:f>AE22/365*'Assumptions'!$D$70*(1+'Assumptions'!$D$80)^(((AE$7+AE$8)/2-46307)/365)</x:f>
        <x:v>247870.69276029817</x:v>
      </x:c>
      <x:c r="AF31" s="37" t="n">
        <x:f>AF22/365*'Assumptions'!$D$70*(1+'Assumptions'!$D$80)^(((AF$7+AF$8)/2-46307)/365)</x:f>
        <x:v>107849.91482091545</x:v>
      </x:c>
      <x:c r="AG31" s="37" t="n">
        <x:f>AG22/365*'Assumptions'!$D$70*(1+'Assumptions'!$D$80)^(((AG$7+AG$8)/2-46307)/365)</x:f>
        <x:v>0</x:v>
      </x:c>
      <x:c r="AH31" s="37" t="n">
        <x:f>AH22/365*'Assumptions'!$D$70*(1+'Assumptions'!$D$80)^(((AH$7+AH$8)/2-46307)/365)</x:f>
        <x:v>0</x:v>
      </x:c>
      <x:c r="AI31" s="37" t="n">
        <x:f>AI22/365*'Assumptions'!$D$70*(1+'Assumptions'!$D$80)^(((AI$7+AI$8)/2-46307)/365)</x:f>
        <x:v>0</x:v>
      </x:c>
      <x:c r="AJ31" s="37" t="n">
        <x:f>AJ22/365*'Assumptions'!$D$70*(1+'Assumptions'!$D$80)^(((AJ$7+AJ$8)/2-46307)/365)</x:f>
        <x:v>0</x:v>
      </x:c>
      <x:c r="AK31" s="37" t="n">
        <x:f>AK22/365*'Assumptions'!$D$70*(1+'Assumptions'!$D$80)^(((AK$7+AK$8)/2-46307)/365)</x:f>
        <x:v>0</x:v>
      </x:c>
      <x:c r="AL31" s="37" t="n">
        <x:f>AL22/365*'Assumptions'!$D$70*(1+'Assumptions'!$D$80)^(((AL$7+AL$8)/2-46307)/365)</x:f>
        <x:v>0</x:v>
      </x:c>
      <x:c r="AM31" s="37" t="n">
        <x:f>AM22/365*'Assumptions'!$D$70*(1+'Assumptions'!$D$80)^(((AM$7+AM$8)/2-46307)/365)</x:f>
        <x:v>0</x:v>
      </x:c>
      <x:c r="AN31" s="37" t="n">
        <x:f>AN22/365*'Assumptions'!$D$70*(1+'Assumptions'!$D$80)^(((AN$7+AN$8)/2-46307)/365)</x:f>
        <x:v>0</x:v>
      </x:c>
      <x:c r="AO31" s="37" t="n">
        <x:f>AO22/365*'Assumptions'!$D$70*(1+'Assumptions'!$D$80)^(((AO$7+AO$8)/2-46307)/365)</x:f>
        <x:v>0</x:v>
      </x:c>
      <x:c r="AP31" s="37" t="n">
        <x:f>AP22/365*'Assumptions'!$D$70*(1+'Assumptions'!$D$80)^(((AP$7+AP$8)/2-46307)/365)</x:f>
        <x:v>0</x:v>
      </x:c>
      <x:c r="AQ31" s="37" t="n">
        <x:f>AQ22/365*'Assumptions'!$D$70*(1+'Assumptions'!$D$80)^(((AQ$7+AQ$8)/2-46307)/365)</x:f>
        <x:v>0</x:v>
      </x:c>
    </x:row>
    <x:row r="32" ht="25" customHeight="1">
      <x:c r="A32" s="2"/>
      <x:c r="B32" s="2"/>
      <x:c r="C32" s="30" t="str">
        <x:v>Ultramax</x:v>
      </x:c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  <x:c r="AK32" s="30"/>
      <x:c r="AL32" s="30"/>
      <x:c r="AM32" s="30"/>
      <x:c r="AN32" s="30"/>
      <x:c r="AO32" s="30"/>
      <x:c r="AP32" s="30"/>
      <x:c r="AQ32" s="30"/>
    </x:row>
    <x:row r="33" ht="21" customHeight="1">
      <x:c r="A33" s="2"/>
      <x:c r="B33" s="2"/>
      <x:c r="C33" s="2" t="str">
        <x:v>Owned days</x:v>
      </x:c>
      <x:c r="D33" s="2"/>
      <x:c r="E33" s="5" t="n">
        <x:f>SUMIFS('Days'!E$10:E$53,'Days'!$D$10:$D$53,$C32)</x:f>
        <x:v>1200</x:v>
      </x:c>
      <x:c r="F33" s="5" t="n">
        <x:f>SUMIFS('Days'!F$10:F$53,'Days'!$D$10:$D$53,$C32)</x:f>
        <x:v>1350</x:v>
      </x:c>
      <x:c r="G33" s="5" t="n">
        <x:f>SUMIFS('Days'!G$10:G$53,'Days'!$D$10:$D$53,$C32)</x:f>
        <x:v>1365</x:v>
      </x:c>
      <x:c r="H33" s="5" t="n">
        <x:f>SUMIFS('Days'!H$10:H$53,'Days'!$D$10:$D$53,$C32)</x:f>
        <x:v>1380</x:v>
      </x:c>
      <x:c r="I33" s="5" t="n">
        <x:f>SUMIFS('Days'!I$10:I$53,'Days'!$D$10:$D$53,$C32)</x:f>
        <x:v>1380</x:v>
      </x:c>
      <x:c r="J33" s="5" t="n">
        <x:f>SUMIFS('Days'!J$10:J$53,'Days'!$D$10:$D$53,$C32)</x:f>
        <x:v>1365</x:v>
      </x:c>
      <x:c r="K33" s="5" t="n">
        <x:f>SUMIFS('Days'!K$10:K$53,'Days'!$D$10:$D$53,$C32)</x:f>
        <x:v>1365</x:v>
      </x:c>
      <x:c r="L33" s="5" t="n">
        <x:f>SUMIFS('Days'!L$10:L$53,'Days'!$D$10:$D$53,$C32)</x:f>
        <x:v>1380</x:v>
      </x:c>
      <x:c r="M33" s="5" t="n">
        <x:f>SUMIFS('Days'!M$10:M$53,'Days'!$D$10:$D$53,$C32)</x:f>
        <x:v>1380</x:v>
      </x:c>
      <x:c r="N33" s="5" t="n">
        <x:f>SUMIFS('Days'!N$10:N$53,'Days'!$D$10:$D$53,$C32)</x:f>
        <x:v>1350</x:v>
      </x:c>
      <x:c r="O33" s="5" t="n">
        <x:f>SUMIFS('Days'!O$10:O$53,'Days'!$D$10:$D$53,$C32)</x:f>
        <x:v>1365</x:v>
      </x:c>
      <x:c r="P33" s="5" t="n">
        <x:f>SUMIFS('Days'!P$10:P$53,'Days'!$D$10:$D$53,$C32)</x:f>
        <x:v>1380</x:v>
      </x:c>
      <x:c r="Q33" s="5" t="n">
        <x:f>SUMIFS('Days'!Q$10:Q$53,'Days'!$D$10:$D$53,$C32)</x:f>
        <x:v>5475</x:v>
      </x:c>
      <x:c r="R33" s="5" t="n">
        <x:f>SUMIFS('Days'!R$10:R$53,'Days'!$D$10:$D$53,$C32)</x:f>
        <x:v>5475</x:v>
      </x:c>
      <x:c r="S33" s="5" t="n">
        <x:f>SUMIFS('Days'!S$10:S$53,'Days'!$D$10:$D$53,$C32)</x:f>
        <x:v>5490</x:v>
      </x:c>
      <x:c r="T33" s="5" t="n">
        <x:f>SUMIFS('Days'!T$10:T$53,'Days'!$D$10:$D$53,$C32)</x:f>
        <x:v>5475</x:v>
      </x:c>
      <x:c r="U33" s="5" t="n">
        <x:f>SUMIFS('Days'!U$10:U$53,'Days'!$D$10:$D$53,$C32)</x:f>
        <x:v>5475</x:v>
      </x:c>
      <x:c r="V33" s="5" t="n">
        <x:f>SUMIFS('Days'!V$10:V$53,'Days'!$D$10:$D$53,$C32)</x:f>
        <x:v>5475</x:v>
      </x:c>
      <x:c r="W33" s="5" t="n">
        <x:f>SUMIFS('Days'!W$10:W$53,'Days'!$D$10:$D$53,$C32)</x:f>
        <x:v>5490</x:v>
      </x:c>
      <x:c r="X33" s="5" t="n">
        <x:f>SUMIFS('Days'!X$10:X$53,'Days'!$D$10:$D$53,$C32)</x:f>
        <x:v>5475</x:v>
      </x:c>
      <x:c r="Y33" s="5" t="n">
        <x:f>SUMIFS('Days'!Y$10:Y$53,'Days'!$D$10:$D$53,$C32)</x:f>
        <x:v>5475</x:v>
      </x:c>
      <x:c r="Z33" s="5" t="n">
        <x:f>SUMIFS('Days'!Z$10:Z$53,'Days'!$D$10:$D$53,$C32)</x:f>
        <x:v>5107</x:v>
      </x:c>
      <x:c r="AA33" s="5" t="n">
        <x:f>SUMIFS('Days'!AA$10:AA$53,'Days'!$D$10:$D$53,$C32)</x:f>
        <x:v>3566</x:v>
      </x:c>
      <x:c r="AB33" s="5" t="n">
        <x:f>SUMIFS('Days'!AB$10:AB$53,'Days'!$D$10:$D$53,$C32)</x:f>
        <x:v>2006</x:v>
      </x:c>
      <x:c r="AC33" s="5" t="n">
        <x:f>SUMIFS('Days'!AC$10:AC$53,'Days'!$D$10:$D$53,$C32)</x:f>
        <x:v>1276</x:v>
      </x:c>
      <x:c r="AD33" s="5" t="n">
        <x:f>SUMIFS('Days'!AD$10:AD$53,'Days'!$D$10:$D$53,$C32)</x:f>
        <x:v>730</x:v>
      </x:c>
      <x:c r="AE33" s="5" t="n">
        <x:f>SUMIFS('Days'!AE$10:AE$53,'Days'!$D$10:$D$53,$C32)</x:f>
        <x:v>732</x:v>
      </x:c>
      <x:c r="AF33" s="5" t="n">
        <x:f>SUMIFS('Days'!AF$10:AF$53,'Days'!$D$10:$D$53,$C32)</x:f>
        <x:v>730</x:v>
      </x:c>
      <x:c r="AG33" s="5" t="n">
        <x:f>SUMIFS('Days'!AG$10:AG$53,'Days'!$D$10:$D$53,$C32)</x:f>
        <x:v>730</x:v>
      </x:c>
      <x:c r="AH33" s="5" t="n">
        <x:f>SUMIFS('Days'!AH$10:AH$53,'Days'!$D$10:$D$53,$C32)</x:f>
        <x:v>546</x:v>
      </x:c>
      <x:c r="AI33" s="5" t="n">
        <x:f>SUMIFS('Days'!AI$10:AI$53,'Days'!$D$10:$D$53,$C32)</x:f>
        <x:v>0</x:v>
      </x:c>
      <x:c r="AJ33" s="5" t="n">
        <x:f>SUMIFS('Days'!AJ$10:AJ$53,'Days'!$D$10:$D$53,$C32)</x:f>
        <x:v>0</x:v>
      </x:c>
      <x:c r="AK33" s="5" t="n">
        <x:f>SUMIFS('Days'!AK$10:AK$53,'Days'!$D$10:$D$53,$C32)</x:f>
        <x:v>0</x:v>
      </x:c>
      <x:c r="AL33" s="5" t="n">
        <x:f>SUMIFS('Days'!AL$10:AL$53,'Days'!$D$10:$D$53,$C32)</x:f>
        <x:v>0</x:v>
      </x:c>
      <x:c r="AM33" s="5" t="n">
        <x:f>SUMIFS('Days'!AM$10:AM$53,'Days'!$D$10:$D$53,$C32)</x:f>
        <x:v>0</x:v>
      </x:c>
      <x:c r="AN33" s="5" t="n">
        <x:f>SUMIFS('Days'!AN$10:AN$53,'Days'!$D$10:$D$53,$C32)</x:f>
        <x:v>0</x:v>
      </x:c>
      <x:c r="AO33" s="5" t="n">
        <x:f>SUMIFS('Days'!AO$10:AO$53,'Days'!$D$10:$D$53,$C32)</x:f>
        <x:v>0</x:v>
      </x:c>
      <x:c r="AP33" s="5" t="n">
        <x:f>SUMIFS('Days'!AP$10:AP$53,'Days'!$D$10:$D$53,$C32)</x:f>
        <x:v>0</x:v>
      </x:c>
      <x:c r="AQ33" s="5" t="n">
        <x:f>SUMIFS('Days'!AQ$10:AQ$53,'Days'!$D$10:$D$53,$C32)</x:f>
        <x:v>0</x:v>
      </x:c>
    </x:row>
    <x:row r="34" ht="21" customHeight="1">
      <x:c r="A34" s="2"/>
      <x:c r="B34" s="2"/>
      <x:c r="C34" s="2" t="str">
        <x:v>Available days</x:v>
      </x:c>
      <x:c r="D34" s="2"/>
      <x:c r="E34" s="5" t="n">
        <x:f>E33*(1-'Assumptions'!$D$45)</x:f>
        <x:v>1158</x:v>
      </x:c>
      <x:c r="F34" s="5" t="n">
        <x:f>F33*(1-'Assumptions'!$D$45)</x:f>
        <x:v>1302.75</x:v>
      </x:c>
      <x:c r="G34" s="5" t="n">
        <x:f>G33*(1-'Assumptions'!$D$45)</x:f>
        <x:v>1317.225</x:v>
      </x:c>
      <x:c r="H34" s="5" t="n">
        <x:f>H33*(1-'Assumptions'!$D$45)</x:f>
        <x:v>1331.7</x:v>
      </x:c>
      <x:c r="I34" s="5" t="n">
        <x:f>I33*(1-'Assumptions'!$D$45)</x:f>
        <x:v>1331.7</x:v>
      </x:c>
      <x:c r="J34" s="5" t="n">
        <x:f>J33*(1-'Assumptions'!$D$45)</x:f>
        <x:v>1317.225</x:v>
      </x:c>
      <x:c r="K34" s="5" t="n">
        <x:f>K33*(1-'Assumptions'!$D$45)</x:f>
        <x:v>1317.225</x:v>
      </x:c>
      <x:c r="L34" s="5" t="n">
        <x:f>L33*(1-'Assumptions'!$D$45)</x:f>
        <x:v>1331.7</x:v>
      </x:c>
      <x:c r="M34" s="5" t="n">
        <x:f>M33*(1-'Assumptions'!$D$45)</x:f>
        <x:v>1331.7</x:v>
      </x:c>
      <x:c r="N34" s="5" t="n">
        <x:f>N33*(1-'Assumptions'!$D$45)</x:f>
        <x:v>1302.75</x:v>
      </x:c>
      <x:c r="O34" s="5" t="n">
        <x:f>O33*(1-'Assumptions'!$D$45)</x:f>
        <x:v>1317.225</x:v>
      </x:c>
      <x:c r="P34" s="5" t="n">
        <x:f>P33*(1-'Assumptions'!$D$45)</x:f>
        <x:v>1331.7</x:v>
      </x:c>
      <x:c r="Q34" s="5" t="n">
        <x:f>Q33*(1-'Assumptions'!$D$45)</x:f>
        <x:v>5283.375</x:v>
      </x:c>
      <x:c r="R34" s="5" t="n">
        <x:f>R33*(1-'Assumptions'!$D$45)</x:f>
        <x:v>5283.375</x:v>
      </x:c>
      <x:c r="S34" s="5" t="n">
        <x:f>S33*(1-'Assumptions'!$D$45)</x:f>
        <x:v>5297.849999999999</x:v>
      </x:c>
      <x:c r="T34" s="5" t="n">
        <x:f>T33*(1-'Assumptions'!$D$45)</x:f>
        <x:v>5283.375</x:v>
      </x:c>
      <x:c r="U34" s="5" t="n">
        <x:f>U33*(1-'Assumptions'!$D$45)</x:f>
        <x:v>5283.375</x:v>
      </x:c>
      <x:c r="V34" s="5" t="n">
        <x:f>V33*(1-'Assumptions'!$D$45)</x:f>
        <x:v>5283.375</x:v>
      </x:c>
      <x:c r="W34" s="5" t="n">
        <x:f>W33*(1-'Assumptions'!$D$45)</x:f>
        <x:v>5297.849999999999</x:v>
      </x:c>
      <x:c r="X34" s="5" t="n">
        <x:f>X33*(1-'Assumptions'!$D$45)</x:f>
        <x:v>5283.375</x:v>
      </x:c>
      <x:c r="Y34" s="5" t="n">
        <x:f>Y33*(1-'Assumptions'!$D$45)</x:f>
        <x:v>5283.375</x:v>
      </x:c>
      <x:c r="Z34" s="5" t="n">
        <x:f>Z33*(1-'Assumptions'!$D$45)</x:f>
        <x:v>4928.255</x:v>
      </x:c>
      <x:c r="AA34" s="5" t="n">
        <x:f>AA33*(1-'Assumptions'!$D$45)</x:f>
        <x:v>3441.19</x:v>
      </x:c>
      <x:c r="AB34" s="5" t="n">
        <x:f>AB33*(1-'Assumptions'!$D$45)</x:f>
        <x:v>1935.79</x:v>
      </x:c>
      <x:c r="AC34" s="5" t="n">
        <x:f>AC33*(1-'Assumptions'!$D$45)</x:f>
        <x:v>1231.34</x:v>
      </x:c>
      <x:c r="AD34" s="5" t="n">
        <x:f>AD33*(1-'Assumptions'!$D$45)</x:f>
        <x:v>704.4499999999999</x:v>
      </x:c>
      <x:c r="AE34" s="5" t="n">
        <x:f>AE33*(1-'Assumptions'!$D$45)</x:f>
        <x:v>706.38</x:v>
      </x:c>
      <x:c r="AF34" s="5" t="n">
        <x:f>AF33*(1-'Assumptions'!$D$45)</x:f>
        <x:v>704.4499999999999</x:v>
      </x:c>
      <x:c r="AG34" s="5" t="n">
        <x:f>AG33*(1-'Assumptions'!$D$45)</x:f>
        <x:v>704.4499999999999</x:v>
      </x:c>
      <x:c r="AH34" s="5" t="n">
        <x:f>AH33*(1-'Assumptions'!$D$45)</x:f>
        <x:v>526.89</x:v>
      </x:c>
      <x:c r="AI34" s="5" t="n">
        <x:f>AI33*(1-'Assumptions'!$D$45)</x:f>
        <x:v>0</x:v>
      </x:c>
      <x:c r="AJ34" s="5" t="n">
        <x:f>AJ33*(1-'Assumptions'!$D$45)</x:f>
        <x:v>0</x:v>
      </x:c>
      <x:c r="AK34" s="5" t="n">
        <x:f>AK33*(1-'Assumptions'!$D$45)</x:f>
        <x:v>0</x:v>
      </x:c>
      <x:c r="AL34" s="5" t="n">
        <x:f>AL33*(1-'Assumptions'!$D$45)</x:f>
        <x:v>0</x:v>
      </x:c>
      <x:c r="AM34" s="5" t="n">
        <x:f>AM33*(1-'Assumptions'!$D$45)</x:f>
        <x:v>0</x:v>
      </x:c>
      <x:c r="AN34" s="5" t="n">
        <x:f>AN33*(1-'Assumptions'!$D$45)</x:f>
        <x:v>0</x:v>
      </x:c>
      <x:c r="AO34" s="5" t="n">
        <x:f>AO33*(1-'Assumptions'!$D$45)</x:f>
        <x:v>0</x:v>
      </x:c>
      <x:c r="AP34" s="5" t="n">
        <x:f>AP33*(1-'Assumptions'!$D$45)</x:f>
        <x:v>0</x:v>
      </x:c>
      <x:c r="AQ34" s="5" t="n">
        <x:f>AQ33*(1-'Assumptions'!$D$45)</x:f>
        <x:v>0</x:v>
      </x:c>
    </x:row>
    <x:row r="35" ht="21" customHeight="1">
      <x:c r="A35" s="2"/>
      <x:c r="B35" s="2"/>
      <x:c r="C35" s="2" t="str">
        <x:v>Open TCE (USD/day)</x:v>
      </x:c>
      <x:c r="D35" s="2"/>
      <x:c r="E35" s="34" t="n">
        <x:f>'Assumptions'!$D$20*'Assumptions'!$D$6*(1+'Assumptions'!$D$80)^(((E$7+E$8)/2-46307)/365)</x:f>
        <x:v>16536.294944519625</x:v>
      </x:c>
      <x:c r="F35" s="34" t="n">
        <x:f>'Assumptions'!$D$20*'Assumptions'!$D$6*(1+'Assumptions'!$D$80)^(((F$7+F$8)/2-46307)/365)</x:f>
        <x:v>16612.729344299805</x:v>
      </x:c>
      <x:c r="G35" s="34" t="n">
        <x:f>'Assumptions'!$D$20*'Assumptions'!$D$6*(1+'Assumptions'!$D$80)^(((G$7+G$8)/2-46307)/365)</x:f>
        <x:v>16694.49786483065</x:v>
      </x:c>
      <x:c r="H35" s="34" t="n">
        <x:f>'Assumptions'!$D$20*'Assumptions'!$D$6*(1+'Assumptions'!$D$80)^(((H$7+H$8)/2-46307)/365)</x:f>
        <x:v>16777.579075582948</x:v>
      </x:c>
      <x:c r="I35" s="34" t="n">
        <x:f>'Assumptions'!$D$20*'Assumptions'!$D$6*(1+'Assumptions'!$D$80)^(((I$7+I$8)/2-46307)/365)</x:f>
        <x:v>16861.53113980783</x:v>
      </x:c>
      <x:c r="J35" s="34" t="n">
        <x:f>'Assumptions'!$D$20*'Assumptions'!$D$6*(1+'Assumptions'!$D$80)^(((J$7+J$8)/2-46307)/365)</x:f>
        <x:v>16945.44360207985</x:v>
      </x:c>
      <x:c r="K35" s="34" t="n">
        <x:f>'Assumptions'!$D$20*'Assumptions'!$D$6*(1+'Assumptions'!$D$80)^(((K$7+K$8)/2-46307)/365)</x:f>
        <x:v>17029.311701483515</x:v>
      </x:c>
      <x:c r="L35" s="34" t="n">
        <x:f>'Assumptions'!$D$20*'Assumptions'!$D$6*(1+'Assumptions'!$D$80)^(((L$7+L$8)/2-46307)/365)</x:f>
        <x:v>17114.05913419415</x:v>
      </x:c>
      <x:c r="M35" s="34" t="n">
        <x:f>'Assumptions'!$D$20*'Assumptions'!$D$6*(1+'Assumptions'!$D$80)^(((M$7+M$8)/2-46307)/365)</x:f>
        <x:v>17199.694885640158</x:v>
      </x:c>
      <x:c r="N35" s="34" t="n">
        <x:f>'Assumptions'!$D$20*'Assumptions'!$D$6*(1+'Assumptions'!$D$80)^(((N$7+N$8)/2-46307)/365)</x:f>
        <x:v>17284.821351152375</x:v>
      </x:c>
      <x:c r="O35" s="34" t="n">
        <x:f>'Assumptions'!$D$20*'Assumptions'!$D$6*(1+'Assumptions'!$D$80)^(((O$7+O$8)/2-46307)/365)</x:f>
        <x:v>17369.89793551319</x:v>
      </x:c>
      <x:c r="P35" s="34" t="n">
        <x:f>'Assumptions'!$D$20*'Assumptions'!$D$6*(1+'Assumptions'!$D$80)^(((P$7+P$8)/2-46307)/365)</x:f>
        <x:v>17456.340316878035</x:v>
      </x:c>
      <x:c r="Q35" s="34" t="n">
        <x:f>'Assumptions'!$D$20*'Assumptions'!$D$6*(1+'Assumptions'!$D$80)^(((Q$7+Q$8)/2-46307)/365)</x:f>
        <x:v>17674.093296458443</x:v>
      </x:c>
      <x:c r="R35" s="34" t="n">
        <x:f>'Assumptions'!$D$20*'Assumptions'!$D$6*(1+'Assumptions'!$D$80)^(((R$7+R$8)/2-46307)/365)</x:f>
        <x:v>18027.575162387613</x:v>
      </x:c>
      <x:c r="S35" s="34" t="n">
        <x:f>'Assumptions'!$D$20*'Assumptions'!$D$6*(1+'Assumptions'!$D$80)^(((S$7+S$8)/2-46307)/365)</x:f>
        <x:v>18388.625485029857</x:v>
      </x:c>
      <x:c r="T35" s="34" t="n">
        <x:f>'Assumptions'!$D$20*'Assumptions'!$D$6*(1+'Assumptions'!$D$80)^(((T$7+T$8)/2-46307)/365)</x:f>
        <x:v>18756.906804315073</x:v>
      </x:c>
      <x:c r="U35" s="34" t="n">
        <x:f>'Assumptions'!$D$20*'Assumptions'!$D$6*(1+'Assumptions'!$D$80)^(((U$7+U$8)/2-46307)/365)</x:f>
        <x:v>19132.044940401374</x:v>
      </x:c>
      <x:c r="V35" s="34" t="n">
        <x:f>'Assumptions'!$D$20*'Assumptions'!$D$6*(1+'Assumptions'!$D$80)^(((V$7+V$8)/2-46307)/365)</x:f>
        <x:v>19514.6858392094</x:v>
      </x:c>
      <x:c r="W35" s="34" t="n">
        <x:f>'Assumptions'!$D$20*'Assumptions'!$D$6*(1+'Assumptions'!$D$80)^(((W$7+W$8)/2-46307)/365)</x:f>
        <x:v>19905.519523442694</x:v>
      </x:c>
      <x:c r="X35" s="34" t="n">
        <x:f>'Assumptions'!$D$20*'Assumptions'!$D$6*(1+'Assumptions'!$D$80)^(((X$7+X$8)/2-46307)/365)</x:f>
        <x:v>20304.18069565043</x:v>
      </x:c>
      <x:c r="Y35" s="34" t="n">
        <x:f>'Assumptions'!$D$20*'Assumptions'!$D$6*(1+'Assumptions'!$D$80)^(((Y$7+Y$8)/2-46307)/365)</x:f>
        <x:v>20710.26430956344</x:v>
      </x:c>
      <x:c r="Z35" s="34" t="n">
        <x:f>'Assumptions'!$D$20*'Assumptions'!$D$6*(1+'Assumptions'!$D$80)^(((Z$7+Z$8)/2-46307)/365)</x:f>
        <x:v>21124.46959575471</x:v>
      </x:c>
      <x:c r="AA35" s="34" t="n">
        <x:f>'Assumptions'!$D$20*'Assumptions'!$D$6*(1+'Assumptions'!$D$80)^(((AA$7+AA$8)/2-46307)/365)</x:f>
        <x:v>21547.543497513074</x:v>
      </x:c>
      <x:c r="AB35" s="34" t="n">
        <x:f>'Assumptions'!$D$20*'Assumptions'!$D$6*(1+'Assumptions'!$D$80)^(((AB$7+AB$8)/2-46307)/365)</x:f>
        <x:v>21979.090583676745</x:v>
      </x:c>
      <x:c r="AC35" s="34" t="n">
        <x:f>'Assumptions'!$D$20*'Assumptions'!$D$6*(1+'Assumptions'!$D$80)^(((AC$7+AC$8)/2-46307)/365)</x:f>
        <x:v>22418.67239535028</x:v>
      </x:c>
      <x:c r="AD35" s="34" t="n">
        <x:f>'Assumptions'!$D$20*'Assumptions'!$D$6*(1+'Assumptions'!$D$80)^(((AD$7+AD$8)/2-46307)/365)</x:f>
        <x:v>22867.045843257285</x:v>
      </x:c>
      <x:c r="AE35" s="34" t="n">
        <x:f>'Assumptions'!$D$20*'Assumptions'!$D$6*(1+'Assumptions'!$D$80)^(((AE$7+AE$8)/2-46307)/365)</x:f>
        <x:v>23325.019486701498</x:v>
      </x:c>
      <x:c r="AF35" s="34" t="n">
        <x:f>'Assumptions'!$D$20*'Assumptions'!$D$6*(1+'Assumptions'!$D$80)^(((AF$7+AF$8)/2-46307)/365)</x:f>
        <x:v>23792.165275053598</x:v>
      </x:c>
      <x:c r="AG35" s="34" t="n">
        <x:f>'Assumptions'!$D$20*'Assumptions'!$D$6*(1+'Assumptions'!$D$80)^(((AG$7+AG$8)/2-46307)/365)</x:f>
        <x:v>24268.008580554666</x:v>
      </x:c>
      <x:c r="AH35" s="34" t="n">
        <x:f>'Assumptions'!$D$20*'Assumptions'!$D$6*(1+'Assumptions'!$D$80)^(((AH$7+AH$8)/2-46307)/365)</x:f>
        <x:v>24753.36875216576</x:v>
      </x:c>
      <x:c r="AI35" s="34" t="n">
        <x:f>'Assumptions'!$D$20*'Assumptions'!$D$6*(1+'Assumptions'!$D$80)^(((AI$7+AI$8)/2-46307)/365)</x:f>
        <x:v>25249.121047965273</x:v>
      </x:c>
      <x:c r="AJ35" s="34" t="n">
        <x:f>'Assumptions'!$D$20*'Assumptions'!$D$6*(1+'Assumptions'!$D$80)^(((AJ$7+AJ$8)/2-46307)/365)</x:f>
        <x:v>25754.80210704752</x:v>
      </x:c>
      <x:c r="AK35" s="34" t="n">
        <x:f>'Assumptions'!$D$20*'Assumptions'!$D$6*(1+'Assumptions'!$D$80)^(((AK$7+AK$8)/2-46307)/365)</x:f>
        <x:v>26269.898149188466</x:v>
      </x:c>
      <x:c r="AL35" s="34" t="n">
        <x:f>'Assumptions'!$D$20*'Assumptions'!$D$6*(1+'Assumptions'!$D$80)^(((AL$7+AL$8)/2-46307)/365)</x:f>
        <x:v>26795.296112172236</x:v>
      </x:c>
      <x:c r="AM35" s="34" t="n">
        <x:f>'Assumptions'!$D$20*'Assumptions'!$D$6*(1+'Assumptions'!$D$80)^(((AM$7+AM$8)/2-46307)/365)</x:f>
        <x:v>27331.943454893008</x:v>
      </x:c>
      <x:c r="AN35" s="34" t="n">
        <x:f>'Assumptions'!$D$20*'Assumptions'!$D$6*(1+'Assumptions'!$D$80)^(((AN$7+AN$8)/2-46307)/365)</x:f>
        <x:v>27879.3385933927</x:v>
      </x:c>
      <x:c r="AO35" s="34" t="n">
        <x:f>'Assumptions'!$D$20*'Assumptions'!$D$6*(1+'Assumptions'!$D$80)^(((AO$7+AO$8)/2-46307)/365)</x:f>
        <x:v>28436.925365260555</x:v>
      </x:c>
      <x:c r="AP35" s="34" t="n">
        <x:f>'Assumptions'!$D$20*'Assumptions'!$D$6*(1+'Assumptions'!$D$80)^(((AP$7+AP$8)/2-46307)/365)</x:f>
        <x:v>29005.663872565765</x:v>
      </x:c>
      <x:c r="AQ35" s="34" t="n">
        <x:f>'Assumptions'!$D$20*'Assumptions'!$D$6*(1+'Assumptions'!$D$80)^(((AQ$7+AQ$8)/2-46307)/365)</x:f>
        <x:v>29586.579730927682</x:v>
      </x:c>
    </x:row>
    <x:row r="36" ht="21" customHeight="1">
      <x:c r="A36" s="2"/>
      <x:c r="B36" s="2"/>
      <x:c r="C36" s="2" t="str">
        <x:v>Fixed share</x:v>
      </x:c>
      <x:c r="D36" s="2"/>
      <x:c r="E36" s="43" t="n">
        <x:f>'Assumptions'!$D$130</x:f>
        <x:v>0.1</x:v>
      </x:c>
      <x:c r="F36" s="43" t="n">
        <x:f>'Assumptions'!$D$130</x:f>
        <x:v>0.1</x:v>
      </x:c>
      <x:c r="G36" s="43" t="n">
        <x:f>'Assumptions'!$D$130</x:f>
        <x:v>0.1</x:v>
      </x:c>
      <x:c r="H36" s="43" t="n">
        <x:f>'Assumptions'!$D$130</x:f>
        <x:v>0.1</x:v>
      </x:c>
      <x:c r="I36" s="43" t="n">
        <x:f>'Assumptions'!$D$130</x:f>
        <x:v>0.1</x:v>
      </x:c>
      <x:c r="J36" s="43" t="n">
        <x:f>'Assumptions'!$D$130</x:f>
        <x:v>0.1</x:v>
      </x:c>
      <x:c r="K36" s="43" t="n">
        <x:f>'Assumptions'!$D$130</x:f>
        <x:v>0.1</x:v>
      </x:c>
      <x:c r="L36" s="43" t="n">
        <x:f>'Assumptions'!$D$130</x:f>
        <x:v>0.1</x:v>
      </x:c>
      <x:c r="M36" s="43" t="n">
        <x:f>'Assumptions'!$D$130</x:f>
        <x:v>0.1</x:v>
      </x:c>
      <x:c r="N36" s="43" t="n">
        <x:f>'Assumptions'!$D$130</x:f>
        <x:v>0.1</x:v>
      </x:c>
      <x:c r="O36" s="43" t="n">
        <x:f>'Assumptions'!$D$130</x:f>
        <x:v>0.1</x:v>
      </x:c>
      <x:c r="P36" s="43" t="n">
        <x:f>'Assumptions'!$D$130</x:f>
        <x:v>0.1</x:v>
      </x:c>
      <x:c r="Q36" s="43" t="n">
        <x:f>'Assumptions'!$D$130</x:f>
        <x:v>0.1</x:v>
      </x:c>
      <x:c r="R36" s="43" t="n">
        <x:f>'Assumptions'!$D$130</x:f>
        <x:v>0.1</x:v>
      </x:c>
      <x:c r="S36" s="43" t="n">
        <x:f>'Assumptions'!$D$130</x:f>
        <x:v>0.1</x:v>
      </x:c>
      <x:c r="T36" s="43" t="n">
        <x:f>'Assumptions'!$D$130</x:f>
        <x:v>0.1</x:v>
      </x:c>
      <x:c r="U36" s="43" t="n">
        <x:f>'Assumptions'!$D$130</x:f>
        <x:v>0.1</x:v>
      </x:c>
      <x:c r="V36" s="43" t="n">
        <x:f>'Assumptions'!$D$130</x:f>
        <x:v>0.1</x:v>
      </x:c>
      <x:c r="W36" s="43" t="n">
        <x:f>'Assumptions'!$D$130</x:f>
        <x:v>0.1</x:v>
      </x:c>
      <x:c r="X36" s="43" t="n">
        <x:f>'Assumptions'!$D$130</x:f>
        <x:v>0.1</x:v>
      </x:c>
      <x:c r="Y36" s="43" t="n">
        <x:f>'Assumptions'!$D$130</x:f>
        <x:v>0.1</x:v>
      </x:c>
      <x:c r="Z36" s="43" t="n">
        <x:f>'Assumptions'!$D$130</x:f>
        <x:v>0.1</x:v>
      </x:c>
      <x:c r="AA36" s="43" t="n">
        <x:f>'Assumptions'!$D$130</x:f>
        <x:v>0.1</x:v>
      </x:c>
      <x:c r="AB36" s="43" t="n">
        <x:f>'Assumptions'!$D$130</x:f>
        <x:v>0.1</x:v>
      </x:c>
      <x:c r="AC36" s="43" t="n">
        <x:f>'Assumptions'!$D$130</x:f>
        <x:v>0.1</x:v>
      </x:c>
      <x:c r="AD36" s="43" t="n">
        <x:f>'Assumptions'!$D$130</x:f>
        <x:v>0.1</x:v>
      </x:c>
      <x:c r="AE36" s="43" t="n">
        <x:f>'Assumptions'!$D$130</x:f>
        <x:v>0.1</x:v>
      </x:c>
      <x:c r="AF36" s="43" t="n">
        <x:f>'Assumptions'!$D$130</x:f>
        <x:v>0.1</x:v>
      </x:c>
      <x:c r="AG36" s="43" t="n">
        <x:f>'Assumptions'!$D$130</x:f>
        <x:v>0.1</x:v>
      </x:c>
      <x:c r="AH36" s="43" t="n">
        <x:f>'Assumptions'!$D$130</x:f>
        <x:v>0.1</x:v>
      </x:c>
      <x:c r="AI36" s="43" t="n">
        <x:f>'Assumptions'!$D$130</x:f>
        <x:v>0.1</x:v>
      </x:c>
      <x:c r="AJ36" s="43" t="n">
        <x:f>'Assumptions'!$D$130</x:f>
        <x:v>0.1</x:v>
      </x:c>
      <x:c r="AK36" s="43" t="n">
        <x:f>'Assumptions'!$D$130</x:f>
        <x:v>0.1</x:v>
      </x:c>
      <x:c r="AL36" s="43" t="n">
        <x:f>'Assumptions'!$D$130</x:f>
        <x:v>0.1</x:v>
      </x:c>
      <x:c r="AM36" s="43" t="n">
        <x:f>'Assumptions'!$D$130</x:f>
        <x:v>0.1</x:v>
      </x:c>
      <x:c r="AN36" s="43" t="n">
        <x:f>'Assumptions'!$D$130</x:f>
        <x:v>0.1</x:v>
      </x:c>
      <x:c r="AO36" s="43" t="n">
        <x:f>'Assumptions'!$D$130</x:f>
        <x:v>0.1</x:v>
      </x:c>
      <x:c r="AP36" s="43" t="n">
        <x:f>'Assumptions'!$D$130</x:f>
        <x:v>0.1</x:v>
      </x:c>
      <x:c r="AQ36" s="43" t="n">
        <x:f>'Assumptions'!$D$130</x:f>
        <x:v>0.1</x:v>
      </x:c>
    </x:row>
    <x:row r="37" ht="21" customHeight="1">
      <x:c r="A37" s="2"/>
      <x:c r="B37" s="2"/>
      <x:c r="C37" s="2" t="str">
        <x:v>Fixed TCE (USD/day)</x:v>
      </x:c>
      <x:c r="D37" s="2"/>
      <x:c r="E37" s="34" t="n">
        <x:f>'Assumptions'!$D$135*(1+'Assumptions'!$D$80)^(((E$7+E$8)/2-46307)/365)</x:f>
        <x:v>24052.792646574</x:v>
      </x:c>
      <x:c r="F37" s="34" t="n">
        <x:f>'Assumptions'!$D$135*(1+'Assumptions'!$D$80)^(((F$7+F$8)/2-46307)/365)</x:f>
        <x:v>24163.96995534517</x:v>
      </x:c>
      <x:c r="G37" s="34" t="n">
        <x:f>'Assumptions'!$D$135*(1+'Assumptions'!$D$80)^(((G$7+G$8)/2-46307)/365)</x:f>
        <x:v>24282.905985208217</x:v>
      </x:c>
      <x:c r="H37" s="34" t="n">
        <x:f>'Assumptions'!$D$135*(1+'Assumptions'!$D$80)^(((H$7+H$8)/2-46307)/365)</x:f>
        <x:v>24403.751382666105</x:v>
      </x:c>
      <x:c r="I37" s="34" t="n">
        <x:f>'Assumptions'!$D$135*(1+'Assumptions'!$D$80)^(((I$7+I$8)/2-46307)/365)</x:f>
        <x:v>24525.86347608412</x:v>
      </x:c>
      <x:c r="J37" s="34" t="n">
        <x:f>'Assumptions'!$D$135*(1+'Assumptions'!$D$80)^(((J$7+J$8)/2-46307)/365)</x:f>
        <x:v>24647.9179666616</x:v>
      </x:c>
      <x:c r="K37" s="34" t="n">
        <x:f>'Assumptions'!$D$135*(1+'Assumptions'!$D$80)^(((K$7+K$8)/2-46307)/365)</x:f>
        <x:v>24769.907929430567</x:v>
      </x:c>
      <x:c r="L37" s="34" t="n">
        <x:f>'Assumptions'!$D$135*(1+'Assumptions'!$D$80)^(((L$7+L$8)/2-46307)/365)</x:f>
        <x:v>24893.17692246422</x:v>
      </x:c>
      <x:c r="M37" s="34" t="n">
        <x:f>'Assumptions'!$D$135*(1+'Assumptions'!$D$80)^(((M$7+M$8)/2-46307)/365)</x:f>
        <x:v>25017.738015476592</x:v>
      </x:c>
      <x:c r="N37" s="34" t="n">
        <x:f>'Assumptions'!$D$135*(1+'Assumptions'!$D$80)^(((N$7+N$8)/2-46307)/365)</x:f>
        <x:v>25141.558328948908</x:v>
      </x:c>
      <x:c r="O37" s="34" t="n">
        <x:f>'Assumptions'!$D$135*(1+'Assumptions'!$D$80)^(((O$7+O$8)/2-46307)/365)</x:f>
        <x:v>25265.30608801918</x:v>
      </x:c>
      <x:c r="P37" s="34" t="n">
        <x:f>'Assumptions'!$D$135*(1+'Assumptions'!$D$80)^(((P$7+P$8)/2-46307)/365)</x:f>
        <x:v>25391.040460913504</x:v>
      </x:c>
      <x:c r="Q37" s="34" t="n">
        <x:f>'Assumptions'!$D$135*(1+'Assumptions'!$D$80)^(((Q$7+Q$8)/2-46307)/365)</x:f>
        <x:v>25707.772067575916</x:v>
      </x:c>
      <x:c r="R37" s="34" t="n">
        <x:f>'Assumptions'!$D$135*(1+'Assumptions'!$D$80)^(((R$7+R$8)/2-46307)/365)</x:f>
        <x:v>26221.92750892744</x:v>
      </x:c>
      <x:c r="S37" s="34" t="n">
        <x:f>'Assumptions'!$D$135*(1+'Assumptions'!$D$80)^(((S$7+S$8)/2-46307)/365)</x:f>
        <x:v>26747.091614588884</x:v>
      </x:c>
      <x:c r="T37" s="34" t="n">
        <x:f>'Assumptions'!$D$135*(1+'Assumptions'!$D$80)^(((T$7+T$8)/2-46307)/365)</x:f>
        <x:v>27282.773533549196</x:v>
      </x:c>
      <x:c r="U37" s="34" t="n">
        <x:f>'Assumptions'!$D$135*(1+'Assumptions'!$D$80)^(((U$7+U$8)/2-46307)/365)</x:f>
        <x:v>27828.42900422018</x:v>
      </x:c>
      <x:c r="V37" s="34" t="n">
        <x:f>'Assumptions'!$D$135*(1+'Assumptions'!$D$80)^(((V$7+V$8)/2-46307)/365)</x:f>
        <x:v>28384.997584304583</x:v>
      </x:c>
      <x:c r="W37" s="34" t="n">
        <x:f>'Assumptions'!$D$135*(1+'Assumptions'!$D$80)^(((W$7+W$8)/2-46307)/365)</x:f>
        <x:v>28953.482943189374</x:v>
      </x:c>
      <x:c r="X37" s="34" t="n">
        <x:f>'Assumptions'!$D$135*(1+'Assumptions'!$D$80)^(((X$7+X$8)/2-46307)/365)</x:f>
        <x:v>29533.3537391279</x:v>
      </x:c>
      <x:c r="Y37" s="34" t="n">
        <x:f>'Assumptions'!$D$135*(1+'Assumptions'!$D$80)^(((Y$7+Y$8)/2-46307)/365)</x:f>
        <x:v>30124.020813910458</x:v>
      </x:c>
      <x:c r="Z37" s="34" t="n">
        <x:f>'Assumptions'!$D$135*(1+'Assumptions'!$D$80)^(((Z$7+Z$8)/2-46307)/365)</x:f>
        <x:v>30726.501230188667</x:v>
      </x:c>
      <x:c r="AA37" s="34" t="n">
        <x:f>'Assumptions'!$D$135*(1+'Assumptions'!$D$80)^(((AA$7+AA$8)/2-46307)/365)</x:f>
        <x:v>31341.881450928107</x:v>
      </x:c>
      <x:c r="AB37" s="34" t="n">
        <x:f>'Assumptions'!$D$135*(1+'Assumptions'!$D$80)^(((AB$7+AB$8)/2-46307)/365)</x:f>
        <x:v>31969.58630352981</x:v>
      </x:c>
      <x:c r="AC37" s="34" t="n">
        <x:f>'Assumptions'!$D$135*(1+'Assumptions'!$D$80)^(((AC$7+AC$8)/2-46307)/365)</x:f>
        <x:v>32608.978029600406</x:v>
      </x:c>
      <x:c r="AD37" s="34" t="n">
        <x:f>'Assumptions'!$D$135*(1+'Assumptions'!$D$80)^(((AD$7+AD$8)/2-46307)/365)</x:f>
        <x:v>33261.157590192415</x:v>
      </x:c>
      <x:c r="AE37" s="34" t="n">
        <x:f>'Assumptions'!$D$135*(1+'Assumptions'!$D$80)^(((AE$7+AE$8)/2-46307)/365)</x:f>
        <x:v>33927.30107156582</x:v>
      </x:c>
      <x:c r="AF37" s="34" t="n">
        <x:f>'Assumptions'!$D$135*(1+'Assumptions'!$D$80)^(((AF$7+AF$8)/2-46307)/365)</x:f>
        <x:v>34606.78585462341</x:v>
      </x:c>
      <x:c r="AG37" s="34" t="n">
        <x:f>'Assumptions'!$D$135*(1+'Assumptions'!$D$80)^(((AG$7+AG$8)/2-46307)/365)</x:f>
        <x:v>35298.92157171588</x:v>
      </x:c>
      <x:c r="AH37" s="34" t="n">
        <x:f>'Assumptions'!$D$135*(1+'Assumptions'!$D$80)^(((AH$7+AH$8)/2-46307)/365)</x:f>
        <x:v>36004.9000031502</x:v>
      </x:c>
      <x:c r="AI37" s="34" t="n">
        <x:f>'Assumptions'!$D$135*(1+'Assumptions'!$D$80)^(((AI$7+AI$8)/2-46307)/365)</x:f>
        <x:v>36725.99425158585</x:v>
      </x:c>
      <x:c r="AJ37" s="34" t="n">
        <x:f>'Assumptions'!$D$135*(1+'Assumptions'!$D$80)^(((AJ$7+AJ$8)/2-46307)/365)</x:f>
        <x:v>37461.53033752366</x:v>
      </x:c>
      <x:c r="AK37" s="34" t="n">
        <x:f>'Assumptions'!$D$135*(1+'Assumptions'!$D$80)^(((AK$7+AK$8)/2-46307)/365)</x:f>
        <x:v>38210.76094427414</x:v>
      </x:c>
      <x:c r="AL37" s="34" t="n">
        <x:f>'Assumptions'!$D$135*(1+'Assumptions'!$D$80)^(((AL$7+AL$8)/2-46307)/365)</x:f>
        <x:v>38974.97616315962</x:v>
      </x:c>
      <x:c r="AM37" s="34" t="n">
        <x:f>'Assumptions'!$D$135*(1+'Assumptions'!$D$80)^(((AM$7+AM$8)/2-46307)/365)</x:f>
        <x:v>39755.55411620801</x:v>
      </x:c>
      <x:c r="AN37" s="34" t="n">
        <x:f>'Assumptions'!$D$135*(1+'Assumptions'!$D$80)^(((AN$7+AN$8)/2-46307)/365)</x:f>
        <x:v>40551.76522675302</x:v>
      </x:c>
      <x:c r="AO37" s="34" t="n">
        <x:f>'Assumptions'!$D$135*(1+'Assumptions'!$D$80)^(((AO$7+AO$8)/2-46307)/365)</x:f>
        <x:v>41362.80053128808</x:v>
      </x:c>
      <x:c r="AP37" s="34" t="n">
        <x:f>'Assumptions'!$D$135*(1+'Assumptions'!$D$80)^(((AP$7+AP$8)/2-46307)/365)</x:f>
        <x:v>42190.056541913844</x:v>
      </x:c>
      <x:c r="AQ37" s="34" t="n">
        <x:f>'Assumptions'!$D$135*(1+'Assumptions'!$D$80)^(((AQ$7+AQ$8)/2-46307)/365)</x:f>
        <x:v>43035.02506316754</x:v>
      </x:c>
    </x:row>
    <x:row r="38" ht="21" customHeight="1">
      <x:c r="A38" s="2"/>
      <x:c r="B38" s="2"/>
      <x:c r="C38" s="2" t="str">
        <x:v>TCE cash revenue</x:v>
      </x:c>
      <x:c r="D38" s="2"/>
      <x:c r="E38" s="39" t="n">
        <x:f>E34*((1-E36)*E35+E36*E37)</x:f>
        <x:v>20019439.979651622</x:v>
      </x:c>
      <x:c r="F38" s="39" t="n">
        <x:f>F34*((1-F36)*F35+F36*F37)</x:f>
        <x:v>22625971.023890506</x:v>
      </x:c>
      <x:c r="G38" s="39" t="n">
        <x:f>G34*((1-G36)*G35+G36*G37)</x:f>
        <x:v>22989974.038637985</x:v>
      </x:c>
      <x:c r="H38" s="39" t="n">
        <x:f>H34*((1-H36)*H35+H36*H37)</x:f>
        <x:v>23358279.421088073</x:v>
      </x:c>
      <x:c r="I38" s="39" t="n">
        <x:f>I34*((1-I36)*I35+I36*I37)</x:f>
        <x:v>23475160.156104</x:v>
      </x:c>
      <x:c r="J38" s="39" t="n">
        <x:f>J34*((1-J36)*J35+J36*J37)</x:f>
        <x:v>23335551.12823825</x:v>
      </x:c>
      <x:c r="K38" s="39" t="n">
        <x:f>K34*((1-K36)*K35+K36*K37)</x:f>
        <x:v>23451045.79262238</x:v>
      </x:c>
      <x:c r="L38" s="39" t="n">
        <x:f>L34*((1-L36)*L35+L36*L37)</x:f>
        <x:v>23826737.66487028</x:v>
      </x:c>
      <x:c r="M38" s="39" t="n">
        <x:f>M34*((1-M36)*M35+M36*M37)</x:f>
        <x:v>23945962.48280732</x:v>
      </x:c>
      <x:c r="N38" s="39" t="n">
        <x:f>N34*((1-N36)*N35+N36*N37)</x:f>
        <x:v>23541337.4249962</x:v>
      </x:c>
      <x:c r="O38" s="39" t="n">
        <x:f>O34*((1-O36)*O35+O36*O37)</x:f>
        <x:v>23920066.70847483</x:v>
      </x:c>
      <x:c r="P38" s="39" t="n">
        <x:f>P34*((1-P36)*P35+P36*P37)</x:f>
        <x:v>24303272.418167684</x:v>
      </x:c>
      <x:c r="Q38" s="39" t="n">
        <x:f>Q34*((1-Q36)*Q35+Q36*Q37)</x:f>
        <x:v>97623356.4279114</x:v>
      </x:c>
      <x:c r="R38" s="39" t="n">
        <x:f>R34*((1-R36)*R35+R36*R37)</x:f>
        <x:v>99575823.55646965</x:v>
      </x:c>
      <x:c r="S38" s="39" t="n">
        <x:f>S34*((1-S36)*S35+S36*S37)</x:f>
        <x:v>101848369.50431386</x:v>
      </x:c>
      <x:c r="T38" s="39" t="n">
        <x:f>T34*((1-T36)*T35+T36*T37)</x:f>
        <x:v>103604307.60030487</x:v>
      </x:c>
      <x:c r="U38" s="39" t="n">
        <x:f>U34*((1-U36)*U35+U36*U37)</x:f>
        <x:v>105676393.75231098</x:v>
      </x:c>
      <x:c r="V38" s="39" t="n">
        <x:f>V34*((1-V36)*V35+V36*V37)</x:f>
        <x:v>107789921.6273572</x:v>
      </x:c>
      <x:c r="W38" s="39" t="n">
        <x:f>W34*((1-W36)*W35+W36*W37)</x:f>
        <x:v>110249931.90760137</x:v>
      </x:c>
      <x:c r="X38" s="39" t="n">
        <x:f>X34*((1-X36)*X35+X36*X37)</x:f>
        <x:v>112150718.89574036</x:v>
      </x:c>
      <x:c r="Y38" s="39" t="n">
        <x:f>Y34*((1-Y36)*Y35+Y36*Y37)</x:f>
        <x:v>114393733.2736552</x:v>
      </x:c>
      <x:c r="Z38" s="39" t="n">
        <x:f>Z34*((1-Z36)*Z35+Z36*Z37)</x:f>
        <x:v>108838898.94888185</x:v>
      </x:c>
      <x:c r="AA38" s="39" t="n">
        <x:f>AA34*((1-AA36)*AA35+AA36*AA37)</x:f>
        <x:v>77519608.99039824</x:v>
      </x:c>
      <x:c r="AB38" s="39" t="n">
        <x:f>AB34*((1-AB36)*AB35+AB36*AB37)</x:f>
        <x:v>44480853.93192905</x:v>
      </x:c>
      <x:c r="AC38" s="39" t="n">
        <x:f>AC34*((1-AC36)*AC35+AC36*AC37)</x:f>
        <x:v>28859781.16125837</x:v>
      </x:c>
      <x:c r="AD38" s="39" t="n">
        <x:f>AD34*((1-AD36)*AD35+AD36*AD37)</x:f>
        <x:v>16840903.646295436</x:v>
      </x:c>
      <x:c r="AE38" s="39" t="n">
        <x:f>AE34*((1-AE36)*AE35+AE36*AE37)</x:f>
        <x:v>17225251.23160785</x:v>
      </x:c>
      <x:c r="AF38" s="39" t="n">
        <x:f>AF34*((1-AF36)*AF35+AF36*AF37)</x:f>
        <x:v>17522226.774739303</x:v>
      </x:c>
      <x:c r="AG38" s="39" t="n">
        <x:f>AG34*((1-AG36)*AG35+AG36*AG37)</x:f>
        <x:v>17872671.310234085</x:v>
      </x:c>
      <x:c r="AH38" s="39" t="n">
        <x:f>AH34*((1-AH36)*AH35+AH36*AH37)</x:f>
        <x:v>13635134.391911736</x:v>
      </x:c>
      <x:c r="AI38" s="39" t="n">
        <x:f>AI34*((1-AI36)*AI35+AI36*AI37)</x:f>
        <x:v>0</x:v>
      </x:c>
      <x:c r="AJ38" s="39" t="n">
        <x:f>AJ34*((1-AJ36)*AJ35+AJ36*AJ37)</x:f>
        <x:v>0</x:v>
      </x:c>
      <x:c r="AK38" s="39" t="n">
        <x:f>AK34*((1-AK36)*AK35+AK36*AK37)</x:f>
        <x:v>0</x:v>
      </x:c>
      <x:c r="AL38" s="39" t="n">
        <x:f>AL34*((1-AL36)*AL35+AL36*AL37)</x:f>
        <x:v>0</x:v>
      </x:c>
      <x:c r="AM38" s="39" t="n">
        <x:f>AM34*((1-AM36)*AM35+AM36*AM37)</x:f>
        <x:v>0</x:v>
      </x:c>
      <x:c r="AN38" s="39" t="n">
        <x:f>AN34*((1-AN36)*AN35+AN36*AN37)</x:f>
        <x:v>0</x:v>
      </x:c>
      <x:c r="AO38" s="39" t="n">
        <x:f>AO34*((1-AO36)*AO35+AO36*AO37)</x:f>
        <x:v>0</x:v>
      </x:c>
      <x:c r="AP38" s="39" t="n">
        <x:f>AP34*((1-AP36)*AP35+AP36*AP37)</x:f>
        <x:v>0</x:v>
      </x:c>
      <x:c r="AQ38" s="39" t="n">
        <x:f>AQ34*((1-AQ36)*AQ35+AQ36*AQ37)</x:f>
        <x:v>0</x:v>
      </x:c>
    </x:row>
    <x:row r="39" ht="21" customHeight="1">
      <x:c r="A39" s="2"/>
      <x:c r="B39" s="2"/>
      <x:c r="C39" s="2" t="str">
        <x:v>Vessel operating cost</x:v>
      </x:c>
      <x:c r="D39" s="2"/>
      <x:c r="E39" s="37" t="n">
        <x:f>E33*'Assumptions'!$D$50*(1+'Assumptions'!$D$80)^(((E$7+E$8)/2-46307)/365)</x:f>
        <x:v>8177949.49983516</x:v>
      </x:c>
      <x:c r="F39" s="37" t="n">
        <x:f>F33*'Assumptions'!$D$50*(1+'Assumptions'!$D$80)^(((F$7+F$8)/2-46307)/365)</x:f>
        <x:v>9242718.507919528</x:v>
      </x:c>
      <x:c r="G39" s="37" t="n">
        <x:f>G33*'Assumptions'!$D$50*(1+'Assumptions'!$D$80)^(((G$7+G$8)/2-46307)/365)</x:f>
        <x:v>9391413.889779279</x:v>
      </x:c>
      <x:c r="H39" s="37" t="n">
        <x:f>H33*'Assumptions'!$D$50*(1+'Assumptions'!$D$80)^(((H$7+H$8)/2-46307)/365)</x:f>
        <x:v>9541866.790622447</x:v>
      </x:c>
      <x:c r="I39" s="37" t="n">
        <x:f>I33*'Assumptions'!$D$50*(1+'Assumptions'!$D$80)^(((I$7+I$8)/2-46307)/365)</x:f>
        <x:v>9589612.619148891</x:v>
      </x:c>
      <x:c r="J39" s="37" t="n">
        <x:f>J33*'Assumptions'!$D$50*(1+'Assumptions'!$D$80)^(((J$7+J$8)/2-46307)/365)</x:f>
        <x:v>9532582.273606373</x:v>
      </x:c>
      <x:c r="K39" s="37" t="n">
        <x:f>K33*'Assumptions'!$D$50*(1+'Assumptions'!$D$80)^(((K$7+K$8)/2-46307)/365)</x:f>
        <x:v>9579761.891707271</x:v>
      </x:c>
      <x:c r="L39" s="37" t="n">
        <x:f>L33*'Assumptions'!$D$50*(1+'Assumptions'!$D$80)^(((L$7+L$8)/2-46307)/365)</x:f>
        <x:v>9733232.17668351</x:v>
      </x:c>
      <x:c r="M39" s="37" t="n">
        <x:f>M33*'Assumptions'!$D$50*(1+'Assumptions'!$D$80)^(((M$7+M$8)/2-46307)/365)</x:f>
        <x:v>9781935.564051349</x:v>
      </x:c>
      <x:c r="N39" s="37" t="n">
        <x:f>N33*'Assumptions'!$D$50*(1+'Assumptions'!$D$80)^(((N$7+N$8)/2-46307)/365)</x:f>
        <x:v>9616646.060822956</x:v>
      </x:c>
      <x:c r="O39" s="37" t="n">
        <x:f>O33*'Assumptions'!$D$50*(1+'Assumptions'!$D$80)^(((O$7+O$8)/2-46307)/365)</x:f>
        <x:v>9771357.12954142</x:v>
      </x:c>
      <x:c r="P39" s="37" t="n">
        <x:f>P33*'Assumptions'!$D$50*(1+'Assumptions'!$D$80)^(((P$7+P$8)/2-46307)/365)</x:f>
        <x:v>9927896.820217181</x:v>
      </x:c>
      <x:c r="Q39" s="37" t="n">
        <x:f>Q33*'Assumptions'!$D$50*(1+'Assumptions'!$D$80)^(((Q$7+Q$8)/2-46307)/365)</x:f>
        <x:v>39879181.41982714</x:v>
      </x:c>
      <x:c r="R39" s="37" t="n">
        <x:f>R33*'Assumptions'!$D$50*(1+'Assumptions'!$D$80)^(((R$7+R$8)/2-46307)/365)</x:f>
        <x:v>40676765.04822369</x:v>
      </x:c>
      <x:c r="S39" s="37" t="n">
        <x:f>S33*'Assumptions'!$D$50*(1+'Assumptions'!$D$80)^(((S$7+S$8)/2-46307)/365)</x:f>
        <x:v>41605101.00649301</x:v>
      </x:c>
      <x:c r="T39" s="37" t="n">
        <x:f>T33*'Assumptions'!$D$50*(1+'Assumptions'!$D$80)^(((T$7+T$8)/2-46307)/365)</x:f>
        <x:v>42322402.44391819</x:v>
      </x:c>
      <x:c r="U39" s="37" t="n">
        <x:f>U33*'Assumptions'!$D$50*(1+'Assumptions'!$D$80)^(((U$7+U$8)/2-46307)/365)</x:f>
        <x:v>43168850.492796555</x:v>
      </x:c>
      <x:c r="V39" s="37" t="n">
        <x:f>V33*'Assumptions'!$D$50*(1+'Assumptions'!$D$80)^(((V$7+V$8)/2-46307)/365)</x:f>
        <x:v>44032227.50265249</x:v>
      </x:c>
      <x:c r="W39" s="37" t="n">
        <x:f>W33*'Assumptions'!$D$50*(1+'Assumptions'!$D$80)^(((W$7+W$8)/2-46307)/365)</x:f>
        <x:v>45037142.71813107</x:v>
      </x:c>
      <x:c r="X39" s="37" t="n">
        <x:f>X33*'Assumptions'!$D$50*(1+'Assumptions'!$D$80)^(((X$7+X$8)/2-46307)/365)</x:f>
        <x:v>45813614.98782215</x:v>
      </x:c>
      <x:c r="Y39" s="37" t="n">
        <x:f>Y33*'Assumptions'!$D$50*(1+'Assumptions'!$D$80)^(((Y$7+Y$8)/2-46307)/365)</x:f>
        <x:v>46729887.2875786</x:v>
      </x:c>
      <x:c r="Z39" s="37" t="n">
        <x:f>Z33*'Assumptions'!$D$50*(1+'Assumptions'!$D$80)^(((Z$7+Z$8)/2-46307)/365)</x:f>
        <x:v>44460735.17172917</x:v>
      </x:c>
      <x:c r="AA39" s="37" t="n">
        <x:f>AA33*'Assumptions'!$D$50*(1+'Assumptions'!$D$80)^(((AA$7+AA$8)/2-46307)/365)</x:f>
        <x:v>31666792.288636062</x:v>
      </x:c>
      <x:c r="AB39" s="37" t="n">
        <x:f>AB33*'Assumptions'!$D$50*(1+'Assumptions'!$D$80)^(((AB$7+AB$8)/2-46307)/365)</x:f>
        <x:v>18170447.20204956</x:v>
      </x:c>
      <x:c r="AC39" s="37" t="n">
        <x:f>AC33*'Assumptions'!$D$50*(1+'Assumptions'!$D$80)^(((AC$7+AC$8)/2-46307)/365)</x:f>
        <x:v>11789232.523634868</x:v>
      </x:c>
      <x:c r="AD39" s="37" t="n">
        <x:f>AD33*'Assumptions'!$D$50*(1+'Assumptions'!$D$80)^(((AD$7+AD$8)/2-46307)/365)</x:f>
        <x:v>6879516.094904798</x:v>
      </x:c>
      <x:c r="AE39" s="37" t="n">
        <x:f>AE33*'Assumptions'!$D$50*(1+'Assumptions'!$D$80)^(((AE$7+AE$8)/2-46307)/365)</x:f>
        <x:v>7036522.24224275</x:v>
      </x:c>
      <x:c r="AF39" s="37" t="n">
        <x:f>AF33*'Assumptions'!$D$50*(1+'Assumptions'!$D$80)^(((AF$7+AF$8)/2-46307)/365)</x:f>
        <x:v>7157836.874264609</x:v>
      </x:c>
      <x:c r="AG39" s="37" t="n">
        <x:f>AG33*'Assumptions'!$D$50*(1+'Assumptions'!$D$80)^(((AG$7+AG$8)/2-46307)/365)</x:f>
        <x:v>7300993.6117499005</x:v>
      </x:c>
      <x:c r="AH39" s="37" t="n">
        <x:f>AH33*'Assumptions'!$D$50*(1+'Assumptions'!$D$80)^(((AH$7+AH$8)/2-46307)/365)</x:f>
        <x:v>5569958.030487335</x:v>
      </x:c>
      <x:c r="AI39" s="37" t="n">
        <x:f>AI33*'Assumptions'!$D$50*(1+'Assumptions'!$D$80)^(((AI$7+AI$8)/2-46307)/365)</x:f>
        <x:v>0</x:v>
      </x:c>
      <x:c r="AJ39" s="37" t="n">
        <x:f>AJ33*'Assumptions'!$D$50*(1+'Assumptions'!$D$80)^(((AJ$7+AJ$8)/2-46307)/365)</x:f>
        <x:v>0</x:v>
      </x:c>
      <x:c r="AK39" s="37" t="n">
        <x:f>AK33*'Assumptions'!$D$50*(1+'Assumptions'!$D$80)^(((AK$7+AK$8)/2-46307)/365)</x:f>
        <x:v>0</x:v>
      </x:c>
      <x:c r="AL39" s="37" t="n">
        <x:f>AL33*'Assumptions'!$D$50*(1+'Assumptions'!$D$80)^(((AL$7+AL$8)/2-46307)/365)</x:f>
        <x:v>0</x:v>
      </x:c>
      <x:c r="AM39" s="37" t="n">
        <x:f>AM33*'Assumptions'!$D$50*(1+'Assumptions'!$D$80)^(((AM$7+AM$8)/2-46307)/365)</x:f>
        <x:v>0</x:v>
      </x:c>
      <x:c r="AN39" s="37" t="n">
        <x:f>AN33*'Assumptions'!$D$50*(1+'Assumptions'!$D$80)^(((AN$7+AN$8)/2-46307)/365)</x:f>
        <x:v>0</x:v>
      </x:c>
      <x:c r="AO39" s="37" t="n">
        <x:f>AO33*'Assumptions'!$D$50*(1+'Assumptions'!$D$80)^(((AO$7+AO$8)/2-46307)/365)</x:f>
        <x:v>0</x:v>
      </x:c>
      <x:c r="AP39" s="37" t="n">
        <x:f>AP33*'Assumptions'!$D$50*(1+'Assumptions'!$D$80)^(((AP$7+AP$8)/2-46307)/365)</x:f>
        <x:v>0</x:v>
      </x:c>
      <x:c r="AQ39" s="37" t="n">
        <x:f>AQ33*'Assumptions'!$D$50*(1+'Assumptions'!$D$80)^(((AQ$7+AQ$8)/2-46307)/365)</x:f>
        <x:v>0</x:v>
      </x:c>
    </x:row>
    <x:row r="40" ht="21" customHeight="1">
      <x:c r="A40" s="2"/>
      <x:c r="B40" s="2"/>
      <x:c r="C40" s="2" t="str">
        <x:v>Management fees</x:v>
      </x:c>
      <x:c r="D40" s="2"/>
      <x:c r="E40" s="37" t="n">
        <x:f>E33*'Assumptions'!$D$55*(1+'Assumptions'!$D$80)^(((E$7+E$8)/2-46307)/365)</x:f>
        <x:v>282620.3135972445</x:v>
      </x:c>
      <x:c r="F40" s="37" t="n">
        <x:f>F33*'Assumptions'!$D$55*(1+'Assumptions'!$D$80)^(((F$7+F$8)/2-46307)/365)</x:f>
        <x:v>319417.477847219</x:v>
      </x:c>
      <x:c r="G40" s="37" t="n">
        <x:f>G33*'Assumptions'!$D$55*(1+'Assumptions'!$D$80)^(((G$7+G$8)/2-46307)/365)</x:f>
        <x:v>324556.2153085486</x:v>
      </x:c>
      <x:c r="H40" s="37" t="n">
        <x:f>H33*'Assumptions'!$D$55*(1+'Assumptions'!$D$80)^(((H$7+H$8)/2-46307)/365)</x:f>
        <x:v>329755.69055827573</x:v>
      </x:c>
      <x:c r="I40" s="37" t="n">
        <x:f>I33*'Assumptions'!$D$55*(1+'Assumptions'!$D$80)^(((I$7+I$8)/2-46307)/365)</x:f>
        <x:v>331405.73022058664</x:v>
      </x:c>
      <x:c r="J40" s="37" t="n">
        <x:f>J33*'Assumptions'!$D$55*(1+'Assumptions'!$D$80)^(((J$7+J$8)/2-46307)/365)</x:f>
        <x:v>329434.82857316145</x:v>
      </x:c>
      <x:c r="K40" s="37" t="n">
        <x:f>K33*'Assumptions'!$D$55*(1+'Assumptions'!$D$80)^(((K$7+K$8)/2-46307)/365)</x:f>
        <x:v>331065.3006692954</x:v>
      </x:c>
      <x:c r="L40" s="37" t="n">
        <x:f>L33*'Assumptions'!$D$55*(1+'Assumptions'!$D$80)^(((L$7+L$8)/2-46307)/365)</x:f>
        <x:v>336369.0531647978</x:v>
      </x:c>
      <x:c r="M40" s="37" t="n">
        <x:f>M33*'Assumptions'!$D$55*(1+'Assumptions'!$D$80)^(((M$7+M$8)/2-46307)/365)</x:f>
        <x:v>338052.1849341275</x:v>
      </x:c>
      <x:c r="N40" s="37" t="n">
        <x:f>N33*'Assumptions'!$D$55*(1+'Assumptions'!$D$80)^(((N$7+N$8)/2-46307)/365)</x:f>
        <x:v>332339.97416079335</x:v>
      </x:c>
      <x:c r="O40" s="37" t="n">
        <x:f>O33*'Assumptions'!$D$55*(1+'Assumptions'!$D$80)^(((O$7+O$8)/2-46307)/365)</x:f>
        <x:v>337686.60668268136</x:v>
      </x:c>
      <x:c r="P40" s="37" t="n">
        <x:f>P33*'Assumptions'!$D$55*(1+'Assumptions'!$D$80)^(((P$7+P$8)/2-46307)/365)</x:f>
        <x:v>343096.4342280937</x:v>
      </x:c>
      <x:c r="Q40" s="37" t="n">
        <x:f>Q33*'Assumptions'!$D$55*(1+'Assumptions'!$D$80)^(((Q$7+Q$8)/2-46307)/365)</x:f>
        <x:v>1378177.5931852027</x:v>
      </x:c>
      <x:c r="R40" s="37" t="n">
        <x:f>R33*'Assumptions'!$D$55*(1+'Assumptions'!$D$80)^(((R$7+R$8)/2-46307)/365)</x:f>
        <x:v>1405741.145048907</x:v>
      </x:c>
      <x:c r="S40" s="37" t="n">
        <x:f>S33*'Assumptions'!$D$55*(1+'Assumptions'!$D$80)^(((S$7+S$8)/2-46307)/365)</x:f>
        <x:v>1437823.3436067437</x:v>
      </x:c>
      <x:c r="T40" s="37" t="n">
        <x:f>T33*'Assumptions'!$D$55*(1+'Assumptions'!$D$80)^(((T$7+T$8)/2-46307)/365)</x:f>
        <x:v>1462612.437400114</x:v>
      </x:c>
      <x:c r="U40" s="37" t="n">
        <x:f>U33*'Assumptions'!$D$55*(1+'Assumptions'!$D$80)^(((U$7+U$8)/2-46307)/365)</x:f>
        <x:v>1491864.6861481161</x:v>
      </x:c>
      <x:c r="V40" s="37" t="n">
        <x:f>V33*'Assumptions'!$D$55*(1+'Assumptions'!$D$80)^(((V$7+V$8)/2-46307)/365)</x:f>
        <x:v>1521701.9798710786</x:v>
      </x:c>
      <x:c r="W40" s="37" t="n">
        <x:f>W33*'Assumptions'!$D$55*(1+'Assumptions'!$D$80)^(((W$7+W$8)/2-46307)/365)</x:f>
        <x:v>1556430.667464824</x:v>
      </x:c>
      <x:c r="X40" s="37" t="n">
        <x:f>X33*'Assumptions'!$D$55*(1+'Assumptions'!$D$80)^(((X$7+X$8)/2-46307)/365)</x:f>
        <x:v>1583264.6356085597</x:v>
      </x:c>
      <x:c r="Y40" s="37" t="n">
        <x:f>Y33*'Assumptions'!$D$55*(1+'Assumptions'!$D$80)^(((Y$7+Y$8)/2-46307)/365)</x:f>
        <x:v>1614929.928320731</x:v>
      </x:c>
      <x:c r="Z40" s="37" t="n">
        <x:f>Z33*'Assumptions'!$D$55*(1+'Assumptions'!$D$80)^(((Z$7+Z$8)/2-46307)/365)</x:f>
        <x:v>1536510.700787699</x:v>
      </x:c>
      <x:c r="AA40" s="37" t="n">
        <x:f>AA33*'Assumptions'!$D$55*(1+'Assumptions'!$D$80)^(((AA$7+AA$8)/2-46307)/365)</x:f>
        <x:v>1094367.0864455109</x:v>
      </x:c>
      <x:c r="AB40" s="37" t="n">
        <x:f>AB33*'Assumptions'!$D$55*(1+'Assumptions'!$D$80)^(((AB$7+AB$8)/2-46307)/365)</x:f>
        <x:v>627949.2783061245</x:v>
      </x:c>
      <x:c r="AC40" s="37" t="n">
        <x:f>AC33*'Assumptions'!$D$55*(1+'Assumptions'!$D$80)^(((AC$7+AC$8)/2-46307)/365)</x:f>
        <x:v>407422.0063314991</x:v>
      </x:c>
      <x:c r="AD40" s="37" t="n">
        <x:f>AD33*'Assumptions'!$D$55*(1+'Assumptions'!$D$80)^(((AD$7+AD$8)/2-46307)/365)</x:f>
        <x:v>237747.98269156285</x:v>
      </x:c>
      <x:c r="AE40" s="37" t="n">
        <x:f>AE33*'Assumptions'!$D$55*(1+'Assumptions'!$D$80)^(((AE$7+AE$8)/2-46307)/365)</x:f>
        <x:v>243173.93043044797</x:v>
      </x:c>
      <x:c r="AF40" s="37" t="n">
        <x:f>AF33*'Assumptions'!$D$55*(1+'Assumptions'!$D$80)^(((AF$7+AF$8)/2-46307)/365)</x:f>
        <x:v>247366.42139002695</x:v>
      </x:c>
      <x:c r="AG40" s="37" t="n">
        <x:f>AG33*'Assumptions'!$D$55*(1+'Assumptions'!$D$80)^(((AG$7+AG$8)/2-46307)/365)</x:f>
        <x:v>252313.74981782745</x:v>
      </x:c>
      <x:c r="AH40" s="37" t="n">
        <x:f>AH33*'Assumptions'!$D$55*(1+'Assumptions'!$D$80)^(((AH$7+AH$8)/2-46307)/365)</x:f>
        <x:v>192491.19664184176</x:v>
      </x:c>
      <x:c r="AI40" s="37" t="n">
        <x:f>AI33*'Assumptions'!$D$55*(1+'Assumptions'!$D$80)^(((AI$7+AI$8)/2-46307)/365)</x:f>
        <x:v>0</x:v>
      </x:c>
      <x:c r="AJ40" s="37" t="n">
        <x:f>AJ33*'Assumptions'!$D$55*(1+'Assumptions'!$D$80)^(((AJ$7+AJ$8)/2-46307)/365)</x:f>
        <x:v>0</x:v>
      </x:c>
      <x:c r="AK40" s="37" t="n">
        <x:f>AK33*'Assumptions'!$D$55*(1+'Assumptions'!$D$80)^(((AK$7+AK$8)/2-46307)/365)</x:f>
        <x:v>0</x:v>
      </x:c>
      <x:c r="AL40" s="37" t="n">
        <x:f>AL33*'Assumptions'!$D$55*(1+'Assumptions'!$D$80)^(((AL$7+AL$8)/2-46307)/365)</x:f>
        <x:v>0</x:v>
      </x:c>
      <x:c r="AM40" s="37" t="n">
        <x:f>AM33*'Assumptions'!$D$55*(1+'Assumptions'!$D$80)^(((AM$7+AM$8)/2-46307)/365)</x:f>
        <x:v>0</x:v>
      </x:c>
      <x:c r="AN40" s="37" t="n">
        <x:f>AN33*'Assumptions'!$D$55*(1+'Assumptions'!$D$80)^(((AN$7+AN$8)/2-46307)/365)</x:f>
        <x:v>0</x:v>
      </x:c>
      <x:c r="AO40" s="37" t="n">
        <x:f>AO33*'Assumptions'!$D$55*(1+'Assumptions'!$D$80)^(((AO$7+AO$8)/2-46307)/365)</x:f>
        <x:v>0</x:v>
      </x:c>
      <x:c r="AP40" s="37" t="n">
        <x:f>AP33*'Assumptions'!$D$55*(1+'Assumptions'!$D$80)^(((AP$7+AP$8)/2-46307)/365)</x:f>
        <x:v>0</x:v>
      </x:c>
      <x:c r="AQ40" s="37" t="n">
        <x:f>AQ33*'Assumptions'!$D$55*(1+'Assumptions'!$D$80)^(((AQ$7+AQ$8)/2-46307)/365)</x:f>
        <x:v>0</x:v>
      </x:c>
    </x:row>
    <x:row r="41" ht="21" customHeight="1">
      <x:c r="A41" s="2"/>
      <x:c r="B41" s="2"/>
      <x:c r="C41" s="2" t="str">
        <x:v>Drydock cash budget</x:v>
      </x:c>
      <x:c r="D41" s="2"/>
      <x:c r="E41" s="37" t="n">
        <x:f>E33/365*'Assumptions'!$D$65*(1+'Assumptions'!$D$80)^(((E$7+E$8)/2-46307)/365)</x:f>
        <x:v>1976941.8613622463</x:v>
      </x:c>
      <x:c r="F41" s="37" t="n">
        <x:f>F33/365*'Assumptions'!$D$65*(1+'Assumptions'!$D$80)^(((F$7+F$8)/2-46307)/365)</x:f>
        <x:v>2234339.687651779</x:v>
      </x:c>
      <x:c r="G41" s="37" t="n">
        <x:f>G33/365*'Assumptions'!$D$65*(1+'Assumptions'!$D$80)^(((G$7+G$8)/2-46307)/365)</x:f>
        <x:v>2270285.388343097</x:v>
      </x:c>
      <x:c r="H41" s="37" t="n">
        <x:f>H33/365*'Assumptions'!$D$65*(1+'Assumptions'!$D$80)^(((H$7+H$8)/2-46307)/365)</x:f>
        <x:v>2306655.952608166</x:v>
      </x:c>
      <x:c r="I41" s="37" t="n">
        <x:f>I33/365*'Assumptions'!$D$65*(1+'Assumptions'!$D$80)^(((I$7+I$8)/2-46307)/365)</x:f>
        <x:v>2318198.054588773</x:v>
      </x:c>
      <x:c r="J41" s="37" t="n">
        <x:f>J33/365*'Assumptions'!$D$65*(1+'Assumptions'!$D$80)^(((J$7+J$8)/2-46307)/365)</x:f>
        <x:v>2304411.5085269236</x:v>
      </x:c>
      <x:c r="K41" s="37" t="n">
        <x:f>K33/365*'Assumptions'!$D$65*(1+'Assumptions'!$D$80)^(((K$7+K$8)/2-46307)/365)</x:f>
        <x:v>2315816.734498132</x:v>
      </x:c>
      <x:c r="L41" s="37" t="n">
        <x:f>L33/365*'Assumptions'!$D$65*(1+'Assumptions'!$D$80)^(((L$7+L$8)/2-46307)/365)</x:f>
        <x:v>2352916.7228082614</x:v>
      </x:c>
      <x:c r="M41" s="37" t="n">
        <x:f>M33/365*'Assumptions'!$D$65*(1+'Assumptions'!$D$80)^(((M$7+M$8)/2-46307)/365)</x:f>
        <x:v>2364690.305572445</x:v>
      </x:c>
      <x:c r="N41" s="37" t="n">
        <x:f>N33/365*'Assumptions'!$D$65*(1+'Assumptions'!$D$80)^(((N$7+N$8)/2-46307)/365)</x:f>
        <x:v>2324733.1331562344</x:v>
      </x:c>
      <x:c r="O41" s="37" t="n">
        <x:f>O33/365*'Assumptions'!$D$65*(1+'Assumptions'!$D$80)^(((O$7+O$8)/2-46307)/365)</x:f>
        <x:v>2362133.0691880947</x:v>
      </x:c>
      <x:c r="P41" s="37" t="n">
        <x:f>P33/365*'Assumptions'!$D$65*(1+'Assumptions'!$D$80)^(((P$7+P$8)/2-46307)/365)</x:f>
        <x:v>2399975.057264427</x:v>
      </x:c>
      <x:c r="Q41" s="37" t="n">
        <x:f>Q33/365*'Assumptions'!$D$65*(1+'Assumptions'!$D$80)^(((Q$7+Q$8)/2-46307)/365)</x:f>
        <x:v>9640414.525340969</x:v>
      </x:c>
      <x:c r="R41" s="37" t="n">
        <x:f>R33/365*'Assumptions'!$D$65*(1+'Assumptions'!$D$80)^(((R$7+R$8)/2-46307)/365)</x:f>
        <x:v>9833222.81584779</x:v>
      </x:c>
      <x:c r="S41" s="37" t="n">
        <x:f>S33/365*'Assumptions'!$D$65*(1+'Assumptions'!$D$80)^(((S$7+S$8)/2-46307)/365)</x:f>
        <x:v>10057639.244115958</x:v>
      </x:c>
      <x:c r="T41" s="37" t="n">
        <x:f>T33/365*'Assumptions'!$D$65*(1+'Assumptions'!$D$80)^(((T$7+T$8)/2-46307)/365)</x:f>
        <x:v>10231040.075080948</x:v>
      </x:c>
      <x:c r="U41" s="37" t="n">
        <x:f>U33/365*'Assumptions'!$D$65*(1+'Assumptions'!$D$80)^(((U$7+U$8)/2-46307)/365)</x:f>
        <x:v>10435660.876582567</x:v>
      </x:c>
      <x:c r="V41" s="37" t="n">
        <x:f>V33/365*'Assumptions'!$D$65*(1+'Assumptions'!$D$80)^(((V$7+V$8)/2-46307)/365)</x:f>
        <x:v>10644374.09411422</x:v>
      </x:c>
      <x:c r="W41" s="37" t="n">
        <x:f>W33/365*'Assumptions'!$D$65*(1+'Assumptions'!$D$80)^(((W$7+W$8)/2-46307)/365)</x:f>
        <x:v>10887302.832747238</x:v>
      </x:c>
      <x:c r="X41" s="37" t="n">
        <x:f>X33/365*'Assumptions'!$D$65*(1+'Assumptions'!$D$80)^(((X$7+X$8)/2-46307)/365)</x:f>
        <x:v>11075007.652172962</x:v>
      </x:c>
      <x:c r="Y41" s="37" t="n">
        <x:f>Y33/365*'Assumptions'!$D$65*(1+'Assumptions'!$D$80)^(((Y$7+Y$8)/2-46307)/365)</x:f>
        <x:v>11296507.805216422</x:v>
      </x:c>
      <x:c r="Z41" s="37" t="n">
        <x:f>Z33/365*'Assumptions'!$D$65*(1+'Assumptions'!$D$80)^(((Z$7+Z$8)/2-46307)/365)</x:f>
        <x:v>10747961.765929693</x:v>
      </x:c>
      <x:c r="AA41" s="37" t="n">
        <x:f>AA33/365*'Assumptions'!$D$65*(1+'Assumptions'!$D$80)^(((AA$7+AA$8)/2-46307)/365)</x:f>
        <x:v>7655147.209178742</x:v>
      </x:c>
      <x:c r="AB41" s="37" t="n">
        <x:f>AB33/365*'Assumptions'!$D$65*(1+'Assumptions'!$D$80)^(((AB$7+AB$8)/2-46307)/365)</x:f>
        <x:v>4392533.570197315</x:v>
      </x:c>
      <x:c r="AC41" s="37" t="n">
        <x:f>AC33/365*'Assumptions'!$D$65*(1+'Assumptions'!$D$80)^(((AC$7+AC$8)/2-46307)/365)</x:f>
        <x:v>2849935.340121241</x:v>
      </x:c>
      <x:c r="AD41" s="37" t="n">
        <x:f>AD33/365*'Assumptions'!$D$65*(1+'Assumptions'!$D$80)^(((AD$7+AD$8)/2-46307)/365)</x:f>
        <x:v>1663057.8795096208</x:v>
      </x:c>
      <x:c r="AE41" s="37" t="n">
        <x:f>AE33/365*'Assumptions'!$D$65*(1+'Assumptions'!$D$80)^(((AE$7+AE$8)/2-46307)/365)</x:f>
        <x:v>1701012.6290675465</x:v>
      </x:c>
      <x:c r="AF41" s="37" t="n">
        <x:f>AF33/365*'Assumptions'!$D$65*(1+'Assumptions'!$D$80)^(((AF$7+AF$8)/2-46307)/365)</x:f>
        <x:v>1730339.2927311708</x:v>
      </x:c>
      <x:c r="AG41" s="37" t="n">
        <x:f>AG33/365*'Assumptions'!$D$65*(1+'Assumptions'!$D$80)^(((AG$7+AG$8)/2-46307)/365)</x:f>
        <x:v>1764946.078585794</x:v>
      </x:c>
      <x:c r="AH41" s="37" t="n">
        <x:f>AH33/365*'Assumptions'!$D$65*(1+'Assumptions'!$D$80)^(((AH$7+AH$8)/2-46307)/365)</x:f>
        <x:v>1346484.616556165</x:v>
      </x:c>
      <x:c r="AI41" s="37" t="n">
        <x:f>AI33/365*'Assumptions'!$D$65*(1+'Assumptions'!$D$80)^(((AI$7+AI$8)/2-46307)/365)</x:f>
        <x:v>0</x:v>
      </x:c>
      <x:c r="AJ41" s="37" t="n">
        <x:f>AJ33/365*'Assumptions'!$D$65*(1+'Assumptions'!$D$80)^(((AJ$7+AJ$8)/2-46307)/365)</x:f>
        <x:v>0</x:v>
      </x:c>
      <x:c r="AK41" s="37" t="n">
        <x:f>AK33/365*'Assumptions'!$D$65*(1+'Assumptions'!$D$80)^(((AK$7+AK$8)/2-46307)/365)</x:f>
        <x:v>0</x:v>
      </x:c>
      <x:c r="AL41" s="37" t="n">
        <x:f>AL33/365*'Assumptions'!$D$65*(1+'Assumptions'!$D$80)^(((AL$7+AL$8)/2-46307)/365)</x:f>
        <x:v>0</x:v>
      </x:c>
      <x:c r="AM41" s="37" t="n">
        <x:f>AM33/365*'Assumptions'!$D$65*(1+'Assumptions'!$D$80)^(((AM$7+AM$8)/2-46307)/365)</x:f>
        <x:v>0</x:v>
      </x:c>
      <x:c r="AN41" s="37" t="n">
        <x:f>AN33/365*'Assumptions'!$D$65*(1+'Assumptions'!$D$80)^(((AN$7+AN$8)/2-46307)/365)</x:f>
        <x:v>0</x:v>
      </x:c>
      <x:c r="AO41" s="37" t="n">
        <x:f>AO33/365*'Assumptions'!$D$65*(1+'Assumptions'!$D$80)^(((AO$7+AO$8)/2-46307)/365)</x:f>
        <x:v>0</x:v>
      </x:c>
      <x:c r="AP41" s="37" t="n">
        <x:f>AP33/365*'Assumptions'!$D$65*(1+'Assumptions'!$D$80)^(((AP$7+AP$8)/2-46307)/365)</x:f>
        <x:v>0</x:v>
      </x:c>
      <x:c r="AQ41" s="37" t="n">
        <x:f>AQ33/365*'Assumptions'!$D$65*(1+'Assumptions'!$D$80)^(((AQ$7+AQ$8)/2-46307)/365)</x:f>
        <x:v>0</x:v>
      </x:c>
    </x:row>
    <x:row r="42" ht="21" customHeight="1">
      <x:c r="A42" s="2"/>
      <x:c r="B42" s="2"/>
      <x:c r="C42" s="2" t="str">
        <x:v>Other maintenance capex</x:v>
      </x:c>
      <x:c r="D42" s="2"/>
      <x:c r="E42" s="37" t="n">
        <x:f>E33/365*'Assumptions'!$D$70*(1+'Assumptions'!$D$80)^(((E$7+E$8)/2-46307)/365)</x:f>
        <x:v>329490.310227041</x:v>
      </x:c>
      <x:c r="F42" s="37" t="n">
        <x:f>F33/365*'Assumptions'!$D$70*(1+'Assumptions'!$D$80)^(((F$7+F$8)/2-46307)/365)</x:f>
        <x:v>372389.94794196327</x:v>
      </x:c>
      <x:c r="G42" s="37" t="n">
        <x:f>G33/365*'Assumptions'!$D$70*(1+'Assumptions'!$D$80)^(((G$7+G$8)/2-46307)/365)</x:f>
        <x:v>378380.89805718284</x:v>
      </x:c>
      <x:c r="H42" s="37" t="n">
        <x:f>H33/365*'Assumptions'!$D$70*(1+'Assumptions'!$D$80)^(((H$7+H$8)/2-46307)/365)</x:f>
        <x:v>384442.65876802773</x:v>
      </x:c>
      <x:c r="I42" s="37" t="n">
        <x:f>I33/365*'Assumptions'!$D$70*(1+'Assumptions'!$D$80)^(((I$7+I$8)/2-46307)/365)</x:f>
        <x:v>386366.3424314622</x:v>
      </x:c>
      <x:c r="J42" s="37" t="n">
        <x:f>J33/365*'Assumptions'!$D$70*(1+'Assumptions'!$D$80)^(((J$7+J$8)/2-46307)/365)</x:f>
        <x:v>384068.5847544872</x:v>
      </x:c>
      <x:c r="K42" s="37" t="n">
        <x:f>K33/365*'Assumptions'!$D$70*(1+'Assumptions'!$D$80)^(((K$7+K$8)/2-46307)/365)</x:f>
        <x:v>385969.4557496886</x:v>
      </x:c>
      <x:c r="L42" s="37" t="n">
        <x:f>L33/365*'Assumptions'!$D$70*(1+'Assumptions'!$D$80)^(((L$7+L$8)/2-46307)/365)</x:f>
        <x:v>392152.78713471035</x:v>
      </x:c>
      <x:c r="M42" s="37" t="n">
        <x:f>M33/365*'Assumptions'!$D$70*(1+'Assumptions'!$D$80)^(((M$7+M$8)/2-46307)/365)</x:f>
        <x:v>394115.0509287409</x:v>
      </x:c>
      <x:c r="N42" s="37" t="n">
        <x:f>N33/365*'Assumptions'!$D$70*(1+'Assumptions'!$D$80)^(((N$7+N$8)/2-46307)/365)</x:f>
        <x:v>387455.5221927058</x:v>
      </x:c>
      <x:c r="O42" s="37" t="n">
        <x:f>O33/365*'Assumptions'!$D$70*(1+'Assumptions'!$D$80)^(((O$7+O$8)/2-46307)/365)</x:f>
        <x:v>393688.84486468247</x:v>
      </x:c>
      <x:c r="P42" s="37" t="n">
        <x:f>P33/365*'Assumptions'!$D$70*(1+'Assumptions'!$D$80)^(((P$7+P$8)/2-46307)/365)</x:f>
        <x:v>399995.84287740453</x:v>
      </x:c>
      <x:c r="Q42" s="37" t="n">
        <x:f>Q33/365*'Assumptions'!$D$70*(1+'Assumptions'!$D$80)^(((Q$7+Q$8)/2-46307)/365)</x:f>
        <x:v>1606735.7542234948</x:v>
      </x:c>
      <x:c r="R42" s="37" t="n">
        <x:f>R33/365*'Assumptions'!$D$70*(1+'Assumptions'!$D$80)^(((R$7+R$8)/2-46307)/365)</x:f>
        <x:v>1638870.469307965</x:v>
      </x:c>
      <x:c r="S42" s="37" t="n">
        <x:f>S33/365*'Assumptions'!$D$70*(1+'Assumptions'!$D$80)^(((S$7+S$8)/2-46307)/365)</x:f>
        <x:v>1676273.2073526597</x:v>
      </x:c>
      <x:c r="T42" s="37" t="n">
        <x:f>T33/365*'Assumptions'!$D$70*(1+'Assumptions'!$D$80)^(((T$7+T$8)/2-46307)/365)</x:f>
        <x:v>1705173.3458468248</x:v>
      </x:c>
      <x:c r="U42" s="37" t="n">
        <x:f>U33/365*'Assumptions'!$D$70*(1+'Assumptions'!$D$80)^(((U$7+U$8)/2-46307)/365)</x:f>
        <x:v>1739276.8127637613</x:v>
      </x:c>
      <x:c r="V42" s="37" t="n">
        <x:f>V33/365*'Assumptions'!$D$70*(1+'Assumptions'!$D$80)^(((V$7+V$8)/2-46307)/365)</x:f>
        <x:v>1774062.3490190364</x:v>
      </x:c>
      <x:c r="W42" s="37" t="n">
        <x:f>W33/365*'Assumptions'!$D$70*(1+'Assumptions'!$D$80)^(((W$7+W$8)/2-46307)/365)</x:f>
        <x:v>1814550.4721245395</x:v>
      </x:c>
      <x:c r="X42" s="37" t="n">
        <x:f>X33/365*'Assumptions'!$D$70*(1+'Assumptions'!$D$80)^(((X$7+X$8)/2-46307)/365)</x:f>
        <x:v>1845834.6086954935</x:v>
      </x:c>
      <x:c r="Y42" s="37" t="n">
        <x:f>Y33/365*'Assumptions'!$D$70*(1+'Assumptions'!$D$80)^(((Y$7+Y$8)/2-46307)/365)</x:f>
        <x:v>1882751.3008694036</x:v>
      </x:c>
      <x:c r="Z42" s="37" t="n">
        <x:f>Z33/365*'Assumptions'!$D$70*(1+'Assumptions'!$D$80)^(((Z$7+Z$8)/2-46307)/365)</x:f>
        <x:v>1791326.9609882825</x:v>
      </x:c>
      <x:c r="AA42" s="37" t="n">
        <x:f>AA33/365*'Assumptions'!$D$70*(1+'Assumptions'!$D$80)^(((AA$7+AA$8)/2-46307)/365)</x:f>
        <x:v>1275857.868196457</x:v>
      </x:c>
      <x:c r="AB42" s="37" t="n">
        <x:f>AB33/365*'Assumptions'!$D$70*(1+'Assumptions'!$D$80)^(((AB$7+AB$8)/2-46307)/365)</x:f>
        <x:v>732088.9283662192</x:v>
      </x:c>
      <x:c r="AC42" s="37" t="n">
        <x:f>AC33/365*'Assumptions'!$D$70*(1+'Assumptions'!$D$80)^(((AC$7+AC$8)/2-46307)/365)</x:f>
        <x:v>474989.2233535401</x:v>
      </x:c>
      <x:c r="AD42" s="37" t="n">
        <x:f>AD33/365*'Assumptions'!$D$70*(1+'Assumptions'!$D$80)^(((AD$7+AD$8)/2-46307)/365)</x:f>
        <x:v>277176.31325160345</x:v>
      </x:c>
      <x:c r="AE42" s="37" t="n">
        <x:f>AE33/365*'Assumptions'!$D$70*(1+'Assumptions'!$D$80)^(((AE$7+AE$8)/2-46307)/365)</x:f>
        <x:v>283502.1048445911</x:v>
      </x:c>
      <x:c r="AF42" s="37" t="n">
        <x:f>AF33/365*'Assumptions'!$D$70*(1+'Assumptions'!$D$80)^(((AF$7+AF$8)/2-46307)/365)</x:f>
        <x:v>288389.8821218618</x:v>
      </x:c>
      <x:c r="AG42" s="37" t="n">
        <x:f>AG33/365*'Assumptions'!$D$70*(1+'Assumptions'!$D$80)^(((AG$7+AG$8)/2-46307)/365)</x:f>
        <x:v>294157.679764299</x:v>
      </x:c>
      <x:c r="AH42" s="37" t="n">
        <x:f>AH33/365*'Assumptions'!$D$70*(1+'Assumptions'!$D$80)^(((AH$7+AH$8)/2-46307)/365)</x:f>
        <x:v>224414.10275936083</x:v>
      </x:c>
      <x:c r="AI42" s="37" t="n">
        <x:f>AI33/365*'Assumptions'!$D$70*(1+'Assumptions'!$D$80)^(((AI$7+AI$8)/2-46307)/365)</x:f>
        <x:v>0</x:v>
      </x:c>
      <x:c r="AJ42" s="37" t="n">
        <x:f>AJ33/365*'Assumptions'!$D$70*(1+'Assumptions'!$D$80)^(((AJ$7+AJ$8)/2-46307)/365)</x:f>
        <x:v>0</x:v>
      </x:c>
      <x:c r="AK42" s="37" t="n">
        <x:f>AK33/365*'Assumptions'!$D$70*(1+'Assumptions'!$D$80)^(((AK$7+AK$8)/2-46307)/365)</x:f>
        <x:v>0</x:v>
      </x:c>
      <x:c r="AL42" s="37" t="n">
        <x:f>AL33/365*'Assumptions'!$D$70*(1+'Assumptions'!$D$80)^(((AL$7+AL$8)/2-46307)/365)</x:f>
        <x:v>0</x:v>
      </x:c>
      <x:c r="AM42" s="37" t="n">
        <x:f>AM33/365*'Assumptions'!$D$70*(1+'Assumptions'!$D$80)^(((AM$7+AM$8)/2-46307)/365)</x:f>
        <x:v>0</x:v>
      </x:c>
      <x:c r="AN42" s="37" t="n">
        <x:f>AN33/365*'Assumptions'!$D$70*(1+'Assumptions'!$D$80)^(((AN$7+AN$8)/2-46307)/365)</x:f>
        <x:v>0</x:v>
      </x:c>
      <x:c r="AO42" s="37" t="n">
        <x:f>AO33/365*'Assumptions'!$D$70*(1+'Assumptions'!$D$80)^(((AO$7+AO$8)/2-46307)/365)</x:f>
        <x:v>0</x:v>
      </x:c>
      <x:c r="AP42" s="37" t="n">
        <x:f>AP33/365*'Assumptions'!$D$70*(1+'Assumptions'!$D$80)^(((AP$7+AP$8)/2-46307)/365)</x:f>
        <x:v>0</x:v>
      </x:c>
      <x:c r="AQ42" s="37" t="n">
        <x:f>AQ33/365*'Assumptions'!$D$70*(1+'Assumptions'!$D$80)^(((AQ$7+AQ$8)/2-46307)/365)</x:f>
        <x:v>0</x:v>
      </x:c>
    </x:row>
    <x:row r="43" ht="25" customHeight="1">
      <x:c r="A43" s="2"/>
      <x:c r="B43" s="2"/>
      <x:c r="C43" s="30" t="str">
        <x:v>Supramax</x:v>
      </x:c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</x:row>
    <x:row r="44" ht="21" customHeight="1">
      <x:c r="A44" s="2"/>
      <x:c r="B44" s="2"/>
      <x:c r="C44" s="2" t="str">
        <x:v>Owned days</x:v>
      </x:c>
      <x:c r="D44" s="2"/>
      <x:c r="E44" s="5" t="n">
        <x:f>SUMIFS('Days'!E$10:E$53,'Days'!$D$10:$D$53,$C43)</x:f>
        <x:v>720</x:v>
      </x:c>
      <x:c r="F44" s="5" t="n">
        <x:f>SUMIFS('Days'!F$10:F$53,'Days'!$D$10:$D$53,$C43)</x:f>
        <x:v>810</x:v>
      </x:c>
      <x:c r="G44" s="5" t="n">
        <x:f>SUMIFS('Days'!G$10:G$53,'Days'!$D$10:$D$53,$C43)</x:f>
        <x:v>819</x:v>
      </x:c>
      <x:c r="H44" s="5" t="n">
        <x:f>SUMIFS('Days'!H$10:H$53,'Days'!$D$10:$D$53,$C43)</x:f>
        <x:v>828</x:v>
      </x:c>
      <x:c r="I44" s="5" t="n">
        <x:f>SUMIFS('Days'!I$10:I$53,'Days'!$D$10:$D$53,$C43)</x:f>
        <x:v>828</x:v>
      </x:c>
      <x:c r="J44" s="5" t="n">
        <x:f>SUMIFS('Days'!J$10:J$53,'Days'!$D$10:$D$53,$C43)</x:f>
        <x:v>819</x:v>
      </x:c>
      <x:c r="K44" s="5" t="n">
        <x:f>SUMIFS('Days'!K$10:K$53,'Days'!$D$10:$D$53,$C43)</x:f>
        <x:v>819</x:v>
      </x:c>
      <x:c r="L44" s="5" t="n">
        <x:f>SUMIFS('Days'!L$10:L$53,'Days'!$D$10:$D$53,$C43)</x:f>
        <x:v>828</x:v>
      </x:c>
      <x:c r="M44" s="5" t="n">
        <x:f>SUMIFS('Days'!M$10:M$53,'Days'!$D$10:$D$53,$C43)</x:f>
        <x:v>828</x:v>
      </x:c>
      <x:c r="N44" s="5" t="n">
        <x:f>SUMIFS('Days'!N$10:N$53,'Days'!$D$10:$D$53,$C43)</x:f>
        <x:v>810</x:v>
      </x:c>
      <x:c r="O44" s="5" t="n">
        <x:f>SUMIFS('Days'!O$10:O$53,'Days'!$D$10:$D$53,$C43)</x:f>
        <x:v>819</x:v>
      </x:c>
      <x:c r="P44" s="5" t="n">
        <x:f>SUMIFS('Days'!P$10:P$53,'Days'!$D$10:$D$53,$C43)</x:f>
        <x:v>828</x:v>
      </x:c>
      <x:c r="Q44" s="5" t="n">
        <x:f>SUMIFS('Days'!Q$10:Q$53,'Days'!$D$10:$D$53,$C43)</x:f>
        <x:v>3285</x:v>
      </x:c>
      <x:c r="R44" s="5" t="n">
        <x:f>SUMIFS('Days'!R$10:R$53,'Days'!$D$10:$D$53,$C43)</x:f>
        <x:v>3285</x:v>
      </x:c>
      <x:c r="S44" s="5" t="n">
        <x:f>SUMIFS('Days'!S$10:S$53,'Days'!$D$10:$D$53,$C43)</x:f>
        <x:v>3202</x:v>
      </x:c>
      <x:c r="T44" s="5" t="n">
        <x:f>SUMIFS('Days'!T$10:T$53,'Days'!$D$10:$D$53,$C43)</x:f>
        <x:v>2920</x:v>
      </x:c>
      <x:c r="U44" s="5" t="n">
        <x:f>SUMIFS('Days'!U$10:U$53,'Days'!$D$10:$D$53,$C43)</x:f>
        <x:v>2644</x:v>
      </x:c>
      <x:c r="V44" s="5" t="n">
        <x:f>SUMIFS('Days'!V$10:V$53,'Days'!$D$10:$D$53,$C43)</x:f>
        <x:v>1457</x:v>
      </x:c>
      <x:c r="W44" s="5" t="n">
        <x:f>SUMIFS('Days'!W$10:W$53,'Days'!$D$10:$D$53,$C43)</x:f>
        <x:v>274</x:v>
      </x:c>
      <x:c r="X44" s="5" t="n">
        <x:f>SUMIFS('Days'!X$10:X$53,'Days'!$D$10:$D$53,$C43)</x:f>
        <x:v>0</x:v>
      </x:c>
      <x:c r="Y44" s="5" t="n">
        <x:f>SUMIFS('Days'!Y$10:Y$53,'Days'!$D$10:$D$53,$C43)</x:f>
        <x:v>0</x:v>
      </x:c>
      <x:c r="Z44" s="5" t="n">
        <x:f>SUMIFS('Days'!Z$10:Z$53,'Days'!$D$10:$D$53,$C43)</x:f>
        <x:v>0</x:v>
      </x:c>
      <x:c r="AA44" s="5" t="n">
        <x:f>SUMIFS('Days'!AA$10:AA$53,'Days'!$D$10:$D$53,$C43)</x:f>
        <x:v>0</x:v>
      </x:c>
      <x:c r="AB44" s="5" t="n">
        <x:f>SUMIFS('Days'!AB$10:AB$53,'Days'!$D$10:$D$53,$C43)</x:f>
        <x:v>0</x:v>
      </x:c>
      <x:c r="AC44" s="5" t="n">
        <x:f>SUMIFS('Days'!AC$10:AC$53,'Days'!$D$10:$D$53,$C43)</x:f>
        <x:v>0</x:v>
      </x:c>
      <x:c r="AD44" s="5" t="n">
        <x:f>SUMIFS('Days'!AD$10:AD$53,'Days'!$D$10:$D$53,$C43)</x:f>
        <x:v>0</x:v>
      </x:c>
      <x:c r="AE44" s="5" t="n">
        <x:f>SUMIFS('Days'!AE$10:AE$53,'Days'!$D$10:$D$53,$C43)</x:f>
        <x:v>0</x:v>
      </x:c>
      <x:c r="AF44" s="5" t="n">
        <x:f>SUMIFS('Days'!AF$10:AF$53,'Days'!$D$10:$D$53,$C43)</x:f>
        <x:v>0</x:v>
      </x:c>
      <x:c r="AG44" s="5" t="n">
        <x:f>SUMIFS('Days'!AG$10:AG$53,'Days'!$D$10:$D$53,$C43)</x:f>
        <x:v>0</x:v>
      </x:c>
      <x:c r="AH44" s="5" t="n">
        <x:f>SUMIFS('Days'!AH$10:AH$53,'Days'!$D$10:$D$53,$C43)</x:f>
        <x:v>0</x:v>
      </x:c>
      <x:c r="AI44" s="5" t="n">
        <x:f>SUMIFS('Days'!AI$10:AI$53,'Days'!$D$10:$D$53,$C43)</x:f>
        <x:v>0</x:v>
      </x:c>
      <x:c r="AJ44" s="5" t="n">
        <x:f>SUMIFS('Days'!AJ$10:AJ$53,'Days'!$D$10:$D$53,$C43)</x:f>
        <x:v>0</x:v>
      </x:c>
      <x:c r="AK44" s="5" t="n">
        <x:f>SUMIFS('Days'!AK$10:AK$53,'Days'!$D$10:$D$53,$C43)</x:f>
        <x:v>0</x:v>
      </x:c>
      <x:c r="AL44" s="5" t="n">
        <x:f>SUMIFS('Days'!AL$10:AL$53,'Days'!$D$10:$D$53,$C43)</x:f>
        <x:v>0</x:v>
      </x:c>
      <x:c r="AM44" s="5" t="n">
        <x:f>SUMIFS('Days'!AM$10:AM$53,'Days'!$D$10:$D$53,$C43)</x:f>
        <x:v>0</x:v>
      </x:c>
      <x:c r="AN44" s="5" t="n">
        <x:f>SUMIFS('Days'!AN$10:AN$53,'Days'!$D$10:$D$53,$C43)</x:f>
        <x:v>0</x:v>
      </x:c>
      <x:c r="AO44" s="5" t="n">
        <x:f>SUMIFS('Days'!AO$10:AO$53,'Days'!$D$10:$D$53,$C43)</x:f>
        <x:v>0</x:v>
      </x:c>
      <x:c r="AP44" s="5" t="n">
        <x:f>SUMIFS('Days'!AP$10:AP$53,'Days'!$D$10:$D$53,$C43)</x:f>
        <x:v>0</x:v>
      </x:c>
      <x:c r="AQ44" s="5" t="n">
        <x:f>SUMIFS('Days'!AQ$10:AQ$53,'Days'!$D$10:$D$53,$C43)</x:f>
        <x:v>0</x:v>
      </x:c>
    </x:row>
    <x:row r="45" ht="21" customHeight="1">
      <x:c r="A45" s="2"/>
      <x:c r="B45" s="2"/>
      <x:c r="C45" s="2" t="str">
        <x:v>Available days</x:v>
      </x:c>
      <x:c r="D45" s="2"/>
      <x:c r="E45" s="5" t="n">
        <x:f>E44*(1-'Assumptions'!$D$45)</x:f>
        <x:v>694.8</x:v>
      </x:c>
      <x:c r="F45" s="5" t="n">
        <x:f>F44*(1-'Assumptions'!$D$45)</x:f>
        <x:v>781.65</x:v>
      </x:c>
      <x:c r="G45" s="5" t="n">
        <x:f>G44*(1-'Assumptions'!$D$45)</x:f>
        <x:v>790.3349999999999</x:v>
      </x:c>
      <x:c r="H45" s="5" t="n">
        <x:f>H44*(1-'Assumptions'!$D$45)</x:f>
        <x:v>799.02</x:v>
      </x:c>
      <x:c r="I45" s="5" t="n">
        <x:f>I44*(1-'Assumptions'!$D$45)</x:f>
        <x:v>799.02</x:v>
      </x:c>
      <x:c r="J45" s="5" t="n">
        <x:f>J44*(1-'Assumptions'!$D$45)</x:f>
        <x:v>790.3349999999999</x:v>
      </x:c>
      <x:c r="K45" s="5" t="n">
        <x:f>K44*(1-'Assumptions'!$D$45)</x:f>
        <x:v>790.3349999999999</x:v>
      </x:c>
      <x:c r="L45" s="5" t="n">
        <x:f>L44*(1-'Assumptions'!$D$45)</x:f>
        <x:v>799.02</x:v>
      </x:c>
      <x:c r="M45" s="5" t="n">
        <x:f>M44*(1-'Assumptions'!$D$45)</x:f>
        <x:v>799.02</x:v>
      </x:c>
      <x:c r="N45" s="5" t="n">
        <x:f>N44*(1-'Assumptions'!$D$45)</x:f>
        <x:v>781.65</x:v>
      </x:c>
      <x:c r="O45" s="5" t="n">
        <x:f>O44*(1-'Assumptions'!$D$45)</x:f>
        <x:v>790.3349999999999</x:v>
      </x:c>
      <x:c r="P45" s="5" t="n">
        <x:f>P44*(1-'Assumptions'!$D$45)</x:f>
        <x:v>799.02</x:v>
      </x:c>
      <x:c r="Q45" s="5" t="n">
        <x:f>Q44*(1-'Assumptions'!$D$45)</x:f>
        <x:v>3170.025</x:v>
      </x:c>
      <x:c r="R45" s="5" t="n">
        <x:f>R44*(1-'Assumptions'!$D$45)</x:f>
        <x:v>3170.025</x:v>
      </x:c>
      <x:c r="S45" s="5" t="n">
        <x:f>S44*(1-'Assumptions'!$D$45)</x:f>
        <x:v>3089.93</x:v>
      </x:c>
      <x:c r="T45" s="5" t="n">
        <x:f>T44*(1-'Assumptions'!$D$45)</x:f>
        <x:v>2817.7999999999997</x:v>
      </x:c>
      <x:c r="U45" s="5" t="n">
        <x:f>U44*(1-'Assumptions'!$D$45)</x:f>
        <x:v>2551.46</x:v>
      </x:c>
      <x:c r="V45" s="5" t="n">
        <x:f>V44*(1-'Assumptions'!$D$45)</x:f>
        <x:v>1406.0049999999999</x:v>
      </x:c>
      <x:c r="W45" s="5" t="n">
        <x:f>W44*(1-'Assumptions'!$D$45)</x:f>
        <x:v>264.40999999999997</x:v>
      </x:c>
      <x:c r="X45" s="5" t="n">
        <x:f>X44*(1-'Assumptions'!$D$45)</x:f>
        <x:v>0</x:v>
      </x:c>
      <x:c r="Y45" s="5" t="n">
        <x:f>Y44*(1-'Assumptions'!$D$45)</x:f>
        <x:v>0</x:v>
      </x:c>
      <x:c r="Z45" s="5" t="n">
        <x:f>Z44*(1-'Assumptions'!$D$45)</x:f>
        <x:v>0</x:v>
      </x:c>
      <x:c r="AA45" s="5" t="n">
        <x:f>AA44*(1-'Assumptions'!$D$45)</x:f>
        <x:v>0</x:v>
      </x:c>
      <x:c r="AB45" s="5" t="n">
        <x:f>AB44*(1-'Assumptions'!$D$45)</x:f>
        <x:v>0</x:v>
      </x:c>
      <x:c r="AC45" s="5" t="n">
        <x:f>AC44*(1-'Assumptions'!$D$45)</x:f>
        <x:v>0</x:v>
      </x:c>
      <x:c r="AD45" s="5" t="n">
        <x:f>AD44*(1-'Assumptions'!$D$45)</x:f>
        <x:v>0</x:v>
      </x:c>
      <x:c r="AE45" s="5" t="n">
        <x:f>AE44*(1-'Assumptions'!$D$45)</x:f>
        <x:v>0</x:v>
      </x:c>
      <x:c r="AF45" s="5" t="n">
        <x:f>AF44*(1-'Assumptions'!$D$45)</x:f>
        <x:v>0</x:v>
      </x:c>
      <x:c r="AG45" s="5" t="n">
        <x:f>AG44*(1-'Assumptions'!$D$45)</x:f>
        <x:v>0</x:v>
      </x:c>
      <x:c r="AH45" s="5" t="n">
        <x:f>AH44*(1-'Assumptions'!$D$45)</x:f>
        <x:v>0</x:v>
      </x:c>
      <x:c r="AI45" s="5" t="n">
        <x:f>AI44*(1-'Assumptions'!$D$45)</x:f>
        <x:v>0</x:v>
      </x:c>
      <x:c r="AJ45" s="5" t="n">
        <x:f>AJ44*(1-'Assumptions'!$D$45)</x:f>
        <x:v>0</x:v>
      </x:c>
      <x:c r="AK45" s="5" t="n">
        <x:f>AK44*(1-'Assumptions'!$D$45)</x:f>
        <x:v>0</x:v>
      </x:c>
      <x:c r="AL45" s="5" t="n">
        <x:f>AL44*(1-'Assumptions'!$D$45)</x:f>
        <x:v>0</x:v>
      </x:c>
      <x:c r="AM45" s="5" t="n">
        <x:f>AM44*(1-'Assumptions'!$D$45)</x:f>
        <x:v>0</x:v>
      </x:c>
      <x:c r="AN45" s="5" t="n">
        <x:f>AN44*(1-'Assumptions'!$D$45)</x:f>
        <x:v>0</x:v>
      </x:c>
      <x:c r="AO45" s="5" t="n">
        <x:f>AO44*(1-'Assumptions'!$D$45)</x:f>
        <x:v>0</x:v>
      </x:c>
      <x:c r="AP45" s="5" t="n">
        <x:f>AP44*(1-'Assumptions'!$D$45)</x:f>
        <x:v>0</x:v>
      </x:c>
      <x:c r="AQ45" s="5" t="n">
        <x:f>AQ44*(1-'Assumptions'!$D$45)</x:f>
        <x:v>0</x:v>
      </x:c>
    </x:row>
    <x:row r="46" ht="21" customHeight="1">
      <x:c r="A46" s="2"/>
      <x:c r="B46" s="2"/>
      <x:c r="C46" s="2" t="str">
        <x:v>Open TCE (USD/day)</x:v>
      </x:c>
      <x:c r="D46" s="2"/>
      <x:c r="E46" s="34" t="n">
        <x:f>'Assumptions'!$D$25*'Assumptions'!$D$6*(1+'Assumptions'!$D$80)^(((E$7+E$8)/2-46307)/365)</x:f>
        <x:v>14531.895557305124</x:v>
      </x:c>
      <x:c r="F46" s="34" t="n">
        <x:f>'Assumptions'!$D$25*'Assumptions'!$D$6*(1+'Assumptions'!$D$80)^(((F$7+F$8)/2-46307)/365)</x:f>
        <x:v>14599.065181354374</x:v>
      </x:c>
      <x:c r="G46" s="34" t="n">
        <x:f>'Assumptions'!$D$25*'Assumptions'!$D$6*(1+'Assumptions'!$D$80)^(((G$7+G$8)/2-46307)/365)</x:f>
        <x:v>14670.922366063298</x:v>
      </x:c>
      <x:c r="H46" s="34" t="n">
        <x:f>'Assumptions'!$D$25*'Assumptions'!$D$6*(1+'Assumptions'!$D$80)^(((H$7+H$8)/2-46307)/365)</x:f>
        <x:v>14743.933127027438</x:v>
      </x:c>
      <x:c r="I46" s="34" t="n">
        <x:f>'Assumptions'!$D$25*'Assumptions'!$D$6*(1+'Assumptions'!$D$80)^(((I$7+I$8)/2-46307)/365)</x:f>
        <x:v>14817.709183467488</x:v>
      </x:c>
      <x:c r="J46" s="34" t="n">
        <x:f>'Assumptions'!$D$25*'Assumptions'!$D$6*(1+'Assumptions'!$D$80)^(((J$7+J$8)/2-46307)/365)</x:f>
        <x:v>14891.450438191383</x:v>
      </x:c>
      <x:c r="K46" s="34" t="n">
        <x:f>'Assumptions'!$D$25*'Assumptions'!$D$6*(1+'Assumptions'!$D$80)^(((K$7+K$8)/2-46307)/365)</x:f>
        <x:v>14965.152707364301</x:v>
      </x:c>
      <x:c r="L46" s="34" t="n">
        <x:f>'Assumptions'!$D$25*'Assumptions'!$D$6*(1+'Assumptions'!$D$80)^(((L$7+L$8)/2-46307)/365)</x:f>
        <x:v>15039.627723988799</x:v>
      </x:c>
      <x:c r="M46" s="34" t="n">
        <x:f>'Assumptions'!$D$25*'Assumptions'!$D$6*(1+'Assumptions'!$D$80)^(((M$7+M$8)/2-46307)/365)</x:f>
        <x:v>15114.883384350442</x:v>
      </x:c>
      <x:c r="N46" s="34" t="n">
        <x:f>'Assumptions'!$D$25*'Assumptions'!$D$6*(1+'Assumptions'!$D$80)^(((N$7+N$8)/2-46307)/365)</x:f>
        <x:v>15189.69149040663</x:v>
      </x:c>
      <x:c r="O46" s="34" t="n">
        <x:f>'Assumptions'!$D$25*'Assumptions'!$D$6*(1+'Assumptions'!$D$80)^(((O$7+O$8)/2-46307)/365)</x:f>
        <x:v>15264.455761511588</x:v>
      </x:c>
      <x:c r="P46" s="34" t="n">
        <x:f>'Assumptions'!$D$25*'Assumptions'!$D$6*(1+'Assumptions'!$D$80)^(((P$7+P$8)/2-46307)/365)</x:f>
        <x:v>15340.420278468577</x:v>
      </x:c>
      <x:c r="Q46" s="34" t="n">
        <x:f>'Assumptions'!$D$25*'Assumptions'!$D$6*(1+'Assumptions'!$D$80)^(((Q$7+Q$8)/2-46307)/365)</x:f>
        <x:v>15531.778957493783</x:v>
      </x:c>
      <x:c r="R46" s="34" t="n">
        <x:f>'Assumptions'!$D$25*'Assumptions'!$D$6*(1+'Assumptions'!$D$80)^(((R$7+R$8)/2-46307)/365)</x:f>
        <x:v>15842.414536643662</x:v>
      </x:c>
      <x:c r="S46" s="34" t="n">
        <x:f>'Assumptions'!$D$25*'Assumptions'!$D$6*(1+'Assumptions'!$D$80)^(((S$7+S$8)/2-46307)/365)</x:f>
        <x:v>16159.701183814119</x:v>
      </x:c>
      <x:c r="T46" s="34" t="n">
        <x:f>'Assumptions'!$D$25*'Assumptions'!$D$6*(1+'Assumptions'!$D$80)^(((T$7+T$8)/2-46307)/365)</x:f>
        <x:v>16483.342343185974</x:v>
      </x:c>
      <x:c r="U46" s="34" t="n">
        <x:f>'Assumptions'!$D$25*'Assumptions'!$D$6*(1+'Assumptions'!$D$80)^(((U$7+U$8)/2-46307)/365)</x:f>
        <x:v>16813.009190049692</x:v>
      </x:c>
      <x:c r="V46" s="34" t="n">
        <x:f>'Assumptions'!$D$25*'Assumptions'!$D$6*(1+'Assumptions'!$D$80)^(((V$7+V$8)/2-46307)/365)</x:f>
        <x:v>17149.269373850686</x:v>
      </x:c>
      <x:c r="W46" s="34" t="n">
        <x:f>'Assumptions'!$D$25*'Assumptions'!$D$6*(1+'Assumptions'!$D$80)^(((W$7+W$8)/2-46307)/365)</x:f>
        <x:v>17492.729278176914</x:v>
      </x:c>
      <x:c r="X46" s="34" t="n">
        <x:f>'Assumptions'!$D$25*'Assumptions'!$D$6*(1+'Assumptions'!$D$80)^(((X$7+X$8)/2-46307)/365)</x:f>
        <x:v>17843.06788405644</x:v>
      </x:c>
      <x:c r="Y46" s="34" t="n">
        <x:f>'Assumptions'!$D$25*'Assumptions'!$D$6*(1+'Assumptions'!$D$80)^(((Y$7+Y$8)/2-46307)/365)</x:f>
        <x:v>18199.92924173757</x:v>
      </x:c>
      <x:c r="Z46" s="34" t="n">
        <x:f>'Assumptions'!$D$25*'Assumptions'!$D$6*(1+'Assumptions'!$D$80)^(((Z$7+Z$8)/2-46307)/365)</x:f>
        <x:v>18563.927826572322</x:v>
      </x:c>
      <x:c r="AA46" s="34" t="n">
        <x:f>'Assumptions'!$D$25*'Assumptions'!$D$6*(1+'Assumptions'!$D$80)^(((AA$7+AA$8)/2-46307)/365)</x:f>
        <x:v>18935.720043269062</x:v>
      </x:c>
      <x:c r="AB46" s="34" t="n">
        <x:f>'Assumptions'!$D$25*'Assumptions'!$D$6*(1+'Assumptions'!$D$80)^(((AB$7+AB$8)/2-46307)/365)</x:f>
        <x:v>19314.958391715925</x:v>
      </x:c>
      <x:c r="AC46" s="34" t="n">
        <x:f>'Assumptions'!$D$25*'Assumptions'!$D$6*(1+'Assumptions'!$D$80)^(((AC$7+AC$8)/2-46307)/365)</x:f>
        <x:v>19701.257559550246</x:v>
      </x:c>
      <x:c r="AD46" s="34" t="n">
        <x:f>'Assumptions'!$D$25*'Assumptions'!$D$6*(1+'Assumptions'!$D$80)^(((AD$7+AD$8)/2-46307)/365)</x:f>
        <x:v>20095.282710741252</x:v>
      </x:c>
      <x:c r="AE46" s="34" t="n">
        <x:f>'Assumptions'!$D$25*'Assumptions'!$D$6*(1+'Assumptions'!$D$80)^(((AE$7+AE$8)/2-46307)/365)</x:f>
        <x:v>20497.744397404345</x:v>
      </x:c>
      <x:c r="AF46" s="34" t="n">
        <x:f>'Assumptions'!$D$25*'Assumptions'!$D$6*(1+'Assumptions'!$D$80)^(((AF$7+AF$8)/2-46307)/365)</x:f>
        <x:v>20908.266453834978</x:v>
      </x:c>
      <x:c r="AG46" s="34" t="n">
        <x:f>'Assumptions'!$D$25*'Assumptions'!$D$6*(1+'Assumptions'!$D$80)^(((AG$7+AG$8)/2-46307)/365)</x:f>
        <x:v>21326.431782911677</x:v>
      </x:c>
      <x:c r="AH46" s="34" t="n">
        <x:f>'Assumptions'!$D$25*'Assumptions'!$D$6*(1+'Assumptions'!$D$80)^(((AH$7+AH$8)/2-46307)/365)</x:f>
        <x:v>21752.96041856991</x:v>
      </x:c>
      <x:c r="AI46" s="34" t="n">
        <x:f>'Assumptions'!$D$25*'Assumptions'!$D$6*(1+'Assumptions'!$D$80)^(((AI$7+AI$8)/2-46307)/365)</x:f>
        <x:v>22188.621526999785</x:v>
      </x:c>
      <x:c r="AJ46" s="34" t="n">
        <x:f>'Assumptions'!$D$25*'Assumptions'!$D$6*(1+'Assumptions'!$D$80)^(((AJ$7+AJ$8)/2-46307)/365)</x:f>
        <x:v>22633.00791225388</x:v>
      </x:c>
      <x:c r="AK46" s="34" t="n">
        <x:f>'Assumptions'!$D$25*'Assumptions'!$D$6*(1+'Assumptions'!$D$80)^(((AK$7+AK$8)/2-46307)/365)</x:f>
        <x:v>23085.668070498956</x:v>
      </x:c>
      <x:c r="AL46" s="34" t="n">
        <x:f>'Assumptions'!$D$25*'Assumptions'!$D$6*(1+'Assumptions'!$D$80)^(((AL$7+AL$8)/2-46307)/365)</x:f>
        <x:v>23547.381431908936</x:v>
      </x:c>
      <x:c r="AM46" s="34" t="n">
        <x:f>'Assumptions'!$D$25*'Assumptions'!$D$6*(1+'Assumptions'!$D$80)^(((AM$7+AM$8)/2-46307)/365)</x:f>
        <x:v>24018.980611875675</x:v>
      </x:c>
      <x:c r="AN46" s="34" t="n">
        <x:f>'Assumptions'!$D$25*'Assumptions'!$D$6*(1+'Assumptions'!$D$80)^(((AN$7+AN$8)/2-46307)/365)</x:f>
        <x:v>24500.024824496613</x:v>
      </x:c>
      <x:c r="AO46" s="34" t="n">
        <x:f>'Assumptions'!$D$25*'Assumptions'!$D$6*(1+'Assumptions'!$D$80)^(((AO$7+AO$8)/2-46307)/365)</x:f>
        <x:v>24990.025320986548</x:v>
      </x:c>
      <x:c r="AP46" s="34" t="n">
        <x:f>'Assumptions'!$D$25*'Assumptions'!$D$6*(1+'Assumptions'!$D$80)^(((AP$7+AP$8)/2-46307)/365)</x:f>
        <x:v>25489.82582740628</x:v>
      </x:c>
      <x:c r="AQ46" s="34" t="n">
        <x:f>'Assumptions'!$D$25*'Assumptions'!$D$6*(1+'Assumptions'!$D$80)^(((AQ$7+AQ$8)/2-46307)/365)</x:f>
        <x:v>26000.327642330387</x:v>
      </x:c>
    </x:row>
    <x:row r="47" ht="21" customHeight="1">
      <x:c r="A47" s="2"/>
      <x:c r="B47" s="2"/>
      <x:c r="C47" s="2" t="str">
        <x:v>Fixed share</x:v>
      </x:c>
      <x:c r="D47" s="2"/>
      <x:c r="E47" s="43" t="n">
        <x:f>'Assumptions'!$D$130</x:f>
        <x:v>0.1</x:v>
      </x:c>
      <x:c r="F47" s="43" t="n">
        <x:f>'Assumptions'!$D$130</x:f>
        <x:v>0.1</x:v>
      </x:c>
      <x:c r="G47" s="43" t="n">
        <x:f>'Assumptions'!$D$130</x:f>
        <x:v>0.1</x:v>
      </x:c>
      <x:c r="H47" s="43" t="n">
        <x:f>'Assumptions'!$D$130</x:f>
        <x:v>0.1</x:v>
      </x:c>
      <x:c r="I47" s="43" t="n">
        <x:f>'Assumptions'!$D$130</x:f>
        <x:v>0.1</x:v>
      </x:c>
      <x:c r="J47" s="43" t="n">
        <x:f>'Assumptions'!$D$130</x:f>
        <x:v>0.1</x:v>
      </x:c>
      <x:c r="K47" s="43" t="n">
        <x:f>'Assumptions'!$D$130</x:f>
        <x:v>0.1</x:v>
      </x:c>
      <x:c r="L47" s="43" t="n">
        <x:f>'Assumptions'!$D$130</x:f>
        <x:v>0.1</x:v>
      </x:c>
      <x:c r="M47" s="43" t="n">
        <x:f>'Assumptions'!$D$130</x:f>
        <x:v>0.1</x:v>
      </x:c>
      <x:c r="N47" s="43" t="n">
        <x:f>'Assumptions'!$D$130</x:f>
        <x:v>0.1</x:v>
      </x:c>
      <x:c r="O47" s="43" t="n">
        <x:f>'Assumptions'!$D$130</x:f>
        <x:v>0.1</x:v>
      </x:c>
      <x:c r="P47" s="43" t="n">
        <x:f>'Assumptions'!$D$130</x:f>
        <x:v>0.1</x:v>
      </x:c>
      <x:c r="Q47" s="43" t="n">
        <x:f>'Assumptions'!$D$130</x:f>
        <x:v>0.1</x:v>
      </x:c>
      <x:c r="R47" s="43" t="n">
        <x:f>'Assumptions'!$D$130</x:f>
        <x:v>0.1</x:v>
      </x:c>
      <x:c r="S47" s="43" t="n">
        <x:f>'Assumptions'!$D$130</x:f>
        <x:v>0.1</x:v>
      </x:c>
      <x:c r="T47" s="43" t="n">
        <x:f>'Assumptions'!$D$130</x:f>
        <x:v>0.1</x:v>
      </x:c>
      <x:c r="U47" s="43" t="n">
        <x:f>'Assumptions'!$D$130</x:f>
        <x:v>0.1</x:v>
      </x:c>
      <x:c r="V47" s="43" t="n">
        <x:f>'Assumptions'!$D$130</x:f>
        <x:v>0.1</x:v>
      </x:c>
      <x:c r="W47" s="43" t="n">
        <x:f>'Assumptions'!$D$130</x:f>
        <x:v>0.1</x:v>
      </x:c>
      <x:c r="X47" s="43" t="n">
        <x:f>'Assumptions'!$D$130</x:f>
        <x:v>0.1</x:v>
      </x:c>
      <x:c r="Y47" s="43" t="n">
        <x:f>'Assumptions'!$D$130</x:f>
        <x:v>0.1</x:v>
      </x:c>
      <x:c r="Z47" s="43" t="n">
        <x:f>'Assumptions'!$D$130</x:f>
        <x:v>0.1</x:v>
      </x:c>
      <x:c r="AA47" s="43" t="n">
        <x:f>'Assumptions'!$D$130</x:f>
        <x:v>0.1</x:v>
      </x:c>
      <x:c r="AB47" s="43" t="n">
        <x:f>'Assumptions'!$D$130</x:f>
        <x:v>0.1</x:v>
      </x:c>
      <x:c r="AC47" s="43" t="n">
        <x:f>'Assumptions'!$D$130</x:f>
        <x:v>0.1</x:v>
      </x:c>
      <x:c r="AD47" s="43" t="n">
        <x:f>'Assumptions'!$D$130</x:f>
        <x:v>0.1</x:v>
      </x:c>
      <x:c r="AE47" s="43" t="n">
        <x:f>'Assumptions'!$D$130</x:f>
        <x:v>0.1</x:v>
      </x:c>
      <x:c r="AF47" s="43" t="n">
        <x:f>'Assumptions'!$D$130</x:f>
        <x:v>0.1</x:v>
      </x:c>
      <x:c r="AG47" s="43" t="n">
        <x:f>'Assumptions'!$D$130</x:f>
        <x:v>0.1</x:v>
      </x:c>
      <x:c r="AH47" s="43" t="n">
        <x:f>'Assumptions'!$D$130</x:f>
        <x:v>0.1</x:v>
      </x:c>
      <x:c r="AI47" s="43" t="n">
        <x:f>'Assumptions'!$D$130</x:f>
        <x:v>0.1</x:v>
      </x:c>
      <x:c r="AJ47" s="43" t="n">
        <x:f>'Assumptions'!$D$130</x:f>
        <x:v>0.1</x:v>
      </x:c>
      <x:c r="AK47" s="43" t="n">
        <x:f>'Assumptions'!$D$130</x:f>
        <x:v>0.1</x:v>
      </x:c>
      <x:c r="AL47" s="43" t="n">
        <x:f>'Assumptions'!$D$130</x:f>
        <x:v>0.1</x:v>
      </x:c>
      <x:c r="AM47" s="43" t="n">
        <x:f>'Assumptions'!$D$130</x:f>
        <x:v>0.1</x:v>
      </x:c>
      <x:c r="AN47" s="43" t="n">
        <x:f>'Assumptions'!$D$130</x:f>
        <x:v>0.1</x:v>
      </x:c>
      <x:c r="AO47" s="43" t="n">
        <x:f>'Assumptions'!$D$130</x:f>
        <x:v>0.1</x:v>
      </x:c>
      <x:c r="AP47" s="43" t="n">
        <x:f>'Assumptions'!$D$130</x:f>
        <x:v>0.1</x:v>
      </x:c>
      <x:c r="AQ47" s="43" t="n">
        <x:f>'Assumptions'!$D$130</x:f>
        <x:v>0.1</x:v>
      </x:c>
    </x:row>
    <x:row r="48" ht="21" customHeight="1">
      <x:c r="A48" s="2"/>
      <x:c r="B48" s="2"/>
      <x:c r="C48" s="2" t="str">
        <x:v>Fixed TCE (USD/day)</x:v>
      </x:c>
      <x:c r="D48" s="2"/>
      <x:c r="E48" s="34" t="n">
        <x:f>'Assumptions'!$D$135*(1+'Assumptions'!$D$80)^(((E$7+E$8)/2-46307)/365)</x:f>
        <x:v>24052.792646574</x:v>
      </x:c>
      <x:c r="F48" s="34" t="n">
        <x:f>'Assumptions'!$D$135*(1+'Assumptions'!$D$80)^(((F$7+F$8)/2-46307)/365)</x:f>
        <x:v>24163.96995534517</x:v>
      </x:c>
      <x:c r="G48" s="34" t="n">
        <x:f>'Assumptions'!$D$135*(1+'Assumptions'!$D$80)^(((G$7+G$8)/2-46307)/365)</x:f>
        <x:v>24282.905985208217</x:v>
      </x:c>
      <x:c r="H48" s="34" t="n">
        <x:f>'Assumptions'!$D$135*(1+'Assumptions'!$D$80)^(((H$7+H$8)/2-46307)/365)</x:f>
        <x:v>24403.751382666105</x:v>
      </x:c>
      <x:c r="I48" s="34" t="n">
        <x:f>'Assumptions'!$D$135*(1+'Assumptions'!$D$80)^(((I$7+I$8)/2-46307)/365)</x:f>
        <x:v>24525.86347608412</x:v>
      </x:c>
      <x:c r="J48" s="34" t="n">
        <x:f>'Assumptions'!$D$135*(1+'Assumptions'!$D$80)^(((J$7+J$8)/2-46307)/365)</x:f>
        <x:v>24647.9179666616</x:v>
      </x:c>
      <x:c r="K48" s="34" t="n">
        <x:f>'Assumptions'!$D$135*(1+'Assumptions'!$D$80)^(((K$7+K$8)/2-46307)/365)</x:f>
        <x:v>24769.907929430567</x:v>
      </x:c>
      <x:c r="L48" s="34" t="n">
        <x:f>'Assumptions'!$D$135*(1+'Assumptions'!$D$80)^(((L$7+L$8)/2-46307)/365)</x:f>
        <x:v>24893.17692246422</x:v>
      </x:c>
      <x:c r="M48" s="34" t="n">
        <x:f>'Assumptions'!$D$135*(1+'Assumptions'!$D$80)^(((M$7+M$8)/2-46307)/365)</x:f>
        <x:v>25017.738015476592</x:v>
      </x:c>
      <x:c r="N48" s="34" t="n">
        <x:f>'Assumptions'!$D$135*(1+'Assumptions'!$D$80)^(((N$7+N$8)/2-46307)/365)</x:f>
        <x:v>25141.558328948908</x:v>
      </x:c>
      <x:c r="O48" s="34" t="n">
        <x:f>'Assumptions'!$D$135*(1+'Assumptions'!$D$80)^(((O$7+O$8)/2-46307)/365)</x:f>
        <x:v>25265.30608801918</x:v>
      </x:c>
      <x:c r="P48" s="34" t="n">
        <x:f>'Assumptions'!$D$135*(1+'Assumptions'!$D$80)^(((P$7+P$8)/2-46307)/365)</x:f>
        <x:v>25391.040460913504</x:v>
      </x:c>
      <x:c r="Q48" s="34" t="n">
        <x:f>'Assumptions'!$D$135*(1+'Assumptions'!$D$80)^(((Q$7+Q$8)/2-46307)/365)</x:f>
        <x:v>25707.772067575916</x:v>
      </x:c>
      <x:c r="R48" s="34" t="n">
        <x:f>'Assumptions'!$D$135*(1+'Assumptions'!$D$80)^(((R$7+R$8)/2-46307)/365)</x:f>
        <x:v>26221.92750892744</x:v>
      </x:c>
      <x:c r="S48" s="34" t="n">
        <x:f>'Assumptions'!$D$135*(1+'Assumptions'!$D$80)^(((S$7+S$8)/2-46307)/365)</x:f>
        <x:v>26747.091614588884</x:v>
      </x:c>
      <x:c r="T48" s="34" t="n">
        <x:f>'Assumptions'!$D$135*(1+'Assumptions'!$D$80)^(((T$7+T$8)/2-46307)/365)</x:f>
        <x:v>27282.773533549196</x:v>
      </x:c>
      <x:c r="U48" s="34" t="n">
        <x:f>'Assumptions'!$D$135*(1+'Assumptions'!$D$80)^(((U$7+U$8)/2-46307)/365)</x:f>
        <x:v>27828.42900422018</x:v>
      </x:c>
      <x:c r="V48" s="34" t="n">
        <x:f>'Assumptions'!$D$135*(1+'Assumptions'!$D$80)^(((V$7+V$8)/2-46307)/365)</x:f>
        <x:v>28384.997584304583</x:v>
      </x:c>
      <x:c r="W48" s="34" t="n">
        <x:f>'Assumptions'!$D$135*(1+'Assumptions'!$D$80)^(((W$7+W$8)/2-46307)/365)</x:f>
        <x:v>28953.482943189374</x:v>
      </x:c>
      <x:c r="X48" s="34" t="n">
        <x:f>'Assumptions'!$D$135*(1+'Assumptions'!$D$80)^(((X$7+X$8)/2-46307)/365)</x:f>
        <x:v>29533.3537391279</x:v>
      </x:c>
      <x:c r="Y48" s="34" t="n">
        <x:f>'Assumptions'!$D$135*(1+'Assumptions'!$D$80)^(((Y$7+Y$8)/2-46307)/365)</x:f>
        <x:v>30124.020813910458</x:v>
      </x:c>
      <x:c r="Z48" s="34" t="n">
        <x:f>'Assumptions'!$D$135*(1+'Assumptions'!$D$80)^(((Z$7+Z$8)/2-46307)/365)</x:f>
        <x:v>30726.501230188667</x:v>
      </x:c>
      <x:c r="AA48" s="34" t="n">
        <x:f>'Assumptions'!$D$135*(1+'Assumptions'!$D$80)^(((AA$7+AA$8)/2-46307)/365)</x:f>
        <x:v>31341.881450928107</x:v>
      </x:c>
      <x:c r="AB48" s="34" t="n">
        <x:f>'Assumptions'!$D$135*(1+'Assumptions'!$D$80)^(((AB$7+AB$8)/2-46307)/365)</x:f>
        <x:v>31969.58630352981</x:v>
      </x:c>
      <x:c r="AC48" s="34" t="n">
        <x:f>'Assumptions'!$D$135*(1+'Assumptions'!$D$80)^(((AC$7+AC$8)/2-46307)/365)</x:f>
        <x:v>32608.978029600406</x:v>
      </x:c>
      <x:c r="AD48" s="34" t="n">
        <x:f>'Assumptions'!$D$135*(1+'Assumptions'!$D$80)^(((AD$7+AD$8)/2-46307)/365)</x:f>
        <x:v>33261.157590192415</x:v>
      </x:c>
      <x:c r="AE48" s="34" t="n">
        <x:f>'Assumptions'!$D$135*(1+'Assumptions'!$D$80)^(((AE$7+AE$8)/2-46307)/365)</x:f>
        <x:v>33927.30107156582</x:v>
      </x:c>
      <x:c r="AF48" s="34" t="n">
        <x:f>'Assumptions'!$D$135*(1+'Assumptions'!$D$80)^(((AF$7+AF$8)/2-46307)/365)</x:f>
        <x:v>34606.78585462341</x:v>
      </x:c>
      <x:c r="AG48" s="34" t="n">
        <x:f>'Assumptions'!$D$135*(1+'Assumptions'!$D$80)^(((AG$7+AG$8)/2-46307)/365)</x:f>
        <x:v>35298.92157171588</x:v>
      </x:c>
      <x:c r="AH48" s="34" t="n">
        <x:f>'Assumptions'!$D$135*(1+'Assumptions'!$D$80)^(((AH$7+AH$8)/2-46307)/365)</x:f>
        <x:v>36004.9000031502</x:v>
      </x:c>
      <x:c r="AI48" s="34" t="n">
        <x:f>'Assumptions'!$D$135*(1+'Assumptions'!$D$80)^(((AI$7+AI$8)/2-46307)/365)</x:f>
        <x:v>36725.99425158585</x:v>
      </x:c>
      <x:c r="AJ48" s="34" t="n">
        <x:f>'Assumptions'!$D$135*(1+'Assumptions'!$D$80)^(((AJ$7+AJ$8)/2-46307)/365)</x:f>
        <x:v>37461.53033752366</x:v>
      </x:c>
      <x:c r="AK48" s="34" t="n">
        <x:f>'Assumptions'!$D$135*(1+'Assumptions'!$D$80)^(((AK$7+AK$8)/2-46307)/365)</x:f>
        <x:v>38210.76094427414</x:v>
      </x:c>
      <x:c r="AL48" s="34" t="n">
        <x:f>'Assumptions'!$D$135*(1+'Assumptions'!$D$80)^(((AL$7+AL$8)/2-46307)/365)</x:f>
        <x:v>38974.97616315962</x:v>
      </x:c>
      <x:c r="AM48" s="34" t="n">
        <x:f>'Assumptions'!$D$135*(1+'Assumptions'!$D$80)^(((AM$7+AM$8)/2-46307)/365)</x:f>
        <x:v>39755.55411620801</x:v>
      </x:c>
      <x:c r="AN48" s="34" t="n">
        <x:f>'Assumptions'!$D$135*(1+'Assumptions'!$D$80)^(((AN$7+AN$8)/2-46307)/365)</x:f>
        <x:v>40551.76522675302</x:v>
      </x:c>
      <x:c r="AO48" s="34" t="n">
        <x:f>'Assumptions'!$D$135*(1+'Assumptions'!$D$80)^(((AO$7+AO$8)/2-46307)/365)</x:f>
        <x:v>41362.80053128808</x:v>
      </x:c>
      <x:c r="AP48" s="34" t="n">
        <x:f>'Assumptions'!$D$135*(1+'Assumptions'!$D$80)^(((AP$7+AP$8)/2-46307)/365)</x:f>
        <x:v>42190.056541913844</x:v>
      </x:c>
      <x:c r="AQ48" s="34" t="n">
        <x:f>'Assumptions'!$D$135*(1+'Assumptions'!$D$80)^(((AQ$7+AQ$8)/2-46307)/365)</x:f>
        <x:v>43035.02506316754</x:v>
      </x:c>
    </x:row>
    <x:row r="49" ht="21" customHeight="1">
      <x:c r="A49" s="2"/>
      <x:c r="B49" s="2"/>
      <x:c r="C49" s="2" t="str">
        <x:v>TCE cash revenue</x:v>
      </x:c>
      <x:c r="D49" s="2"/>
      <x:c r="E49" s="39" t="n">
        <x:f>E45*((1-E47)*E46+E47*E48)</x:f>
        <x:v>10758272.962978002</x:v>
      </x:c>
      <x:c r="F49" s="39" t="n">
        <x:f>F45*((1-F47)*F46+F47*F48)</x:f>
        <x:v>12159000.080664637</x:v>
      </x:c>
      <x:c r="G49" s="39" t="n">
        <x:f>G45*((1-G47)*G46+G47*G48)</x:f>
        <x:v>12354612.135546325</x:v>
      </x:c>
      <x:c r="H49" s="39" t="n">
        <x:f>H45*((1-H47)*H46+H47*H48)</x:f>
        <x:v>12552536.245419504</x:v>
      </x:c>
      <x:c r="I49" s="39" t="n">
        <x:f>I45*((1-I47)*I46+I47*I48)</x:f>
        <x:v>12615346.936062846</x:v>
      </x:c>
      <x:c r="J49" s="39" t="n">
        <x:f>J45*((1-J47)*J46+J47*J48)</x:f>
        <x:v>12540322.258479336</x:v>
      </x:c>
      <x:c r="K49" s="39" t="n">
        <x:f>K45*((1-K47)*K46+K47*K48)</x:f>
        <x:v>12602388.086817939</x:v>
      </x:c>
      <x:c r="L49" s="39" t="n">
        <x:f>L45*((1-L47)*L46+L47*L48)</x:f>
        <x:v>12804281.632078113</x:v>
      </x:c>
      <x:c r="M49" s="39" t="n">
        <x:f>M45*((1-M47)*M46+M47*M48)</x:f>
        <x:v>12868352.012499932</x:v>
      </x:c>
      <x:c r="N49" s="39" t="n">
        <x:f>N45*((1-N47)*N46+N47*N48)</x:f>
        <x:v>12650910.024911</x:v>
      </x:c>
      <x:c r="O49" s="39" t="n">
        <x:f>O45*((1-O47)*O46+O47*O48)</x:f>
        <x:v>12854435.848554298</x:v>
      </x:c>
      <x:c r="P49" s="39" t="n">
        <x:f>P45*((1-P47)*P46+P47*P48)</x:f>
        <x:v>13060367.264719676</x:v>
      </x:c>
      <x:c r="Q49" s="39" t="n">
        <x:f>Q45*((1-Q47)*Q46+Q47*Q48)</x:f>
        <x:v>52461942.84560805</x:v>
      </x:c>
      <x:c r="R49" s="39" t="n">
        <x:f>R45*((1-R47)*R46+R47*R48)</x:f>
        <x:v>53511181.70252022</x:v>
      </x:c>
      <x:c r="S49" s="39" t="n">
        <x:f>S45*((1-S47)*S46+S47*S48)</x:f>
        <x:v>53203775.01027914</x:v>
      </x:c>
      <x:c r="T49" s="39" t="n">
        <x:f>T45*((1-T47)*T46+T47*T48)</x:f>
        <x:v>49489825.77544998</x:v>
      </x:c>
      <x:c r="U49" s="39" t="n">
        <x:f>U45*((1-U47)*U46+U47*U48)</x:f>
        <x:v>45708260.73195053</x:v>
      </x:c>
      <x:c r="V49" s="39" t="n">
        <x:f>V45*((1-V47)*V46+V47*V48)</x:f>
        <x:v>25691707.49023485</x:v>
      </x:c>
      <x:c r="W49" s="39" t="n">
        <x:f>W45*((1-W47)*W46+W47*W48)</x:f>
        <x:v>4928286.336099352</x:v>
      </x:c>
      <x:c r="X49" s="39" t="n">
        <x:f>X45*((1-X47)*X46+X47*X48)</x:f>
        <x:v>0</x:v>
      </x:c>
      <x:c r="Y49" s="39" t="n">
        <x:f>Y45*((1-Y47)*Y46+Y47*Y48)</x:f>
        <x:v>0</x:v>
      </x:c>
      <x:c r="Z49" s="39" t="n">
        <x:f>Z45*((1-Z47)*Z46+Z47*Z48)</x:f>
        <x:v>0</x:v>
      </x:c>
      <x:c r="AA49" s="39" t="n">
        <x:f>AA45*((1-AA47)*AA46+AA47*AA48)</x:f>
        <x:v>0</x:v>
      </x:c>
      <x:c r="AB49" s="39" t="n">
        <x:f>AB45*((1-AB47)*AB46+AB47*AB48)</x:f>
        <x:v>0</x:v>
      </x:c>
      <x:c r="AC49" s="39" t="n">
        <x:f>AC45*((1-AC47)*AC46+AC47*AC48)</x:f>
        <x:v>0</x:v>
      </x:c>
      <x:c r="AD49" s="39" t="n">
        <x:f>AD45*((1-AD47)*AD46+AD47*AD48)</x:f>
        <x:v>0</x:v>
      </x:c>
      <x:c r="AE49" s="39" t="n">
        <x:f>AE45*((1-AE47)*AE46+AE47*AE48)</x:f>
        <x:v>0</x:v>
      </x:c>
      <x:c r="AF49" s="39" t="n">
        <x:f>AF45*((1-AF47)*AF46+AF47*AF48)</x:f>
        <x:v>0</x:v>
      </x:c>
      <x:c r="AG49" s="39" t="n">
        <x:f>AG45*((1-AG47)*AG46+AG47*AG48)</x:f>
        <x:v>0</x:v>
      </x:c>
      <x:c r="AH49" s="39" t="n">
        <x:f>AH45*((1-AH47)*AH46+AH47*AH48)</x:f>
        <x:v>0</x:v>
      </x:c>
      <x:c r="AI49" s="39" t="n">
        <x:f>AI45*((1-AI47)*AI46+AI47*AI48)</x:f>
        <x:v>0</x:v>
      </x:c>
      <x:c r="AJ49" s="39" t="n">
        <x:f>AJ45*((1-AJ47)*AJ46+AJ47*AJ48)</x:f>
        <x:v>0</x:v>
      </x:c>
      <x:c r="AK49" s="39" t="n">
        <x:f>AK45*((1-AK47)*AK46+AK47*AK48)</x:f>
        <x:v>0</x:v>
      </x:c>
      <x:c r="AL49" s="39" t="n">
        <x:f>AL45*((1-AL47)*AL46+AL47*AL48)</x:f>
        <x:v>0</x:v>
      </x:c>
      <x:c r="AM49" s="39" t="n">
        <x:f>AM45*((1-AM47)*AM46+AM47*AM48)</x:f>
        <x:v>0</x:v>
      </x:c>
      <x:c r="AN49" s="39" t="n">
        <x:f>AN45*((1-AN47)*AN46+AN47*AN48)</x:f>
        <x:v>0</x:v>
      </x:c>
      <x:c r="AO49" s="39" t="n">
        <x:f>AO45*((1-AO47)*AO46+AO47*AO48)</x:f>
        <x:v>0</x:v>
      </x:c>
      <x:c r="AP49" s="39" t="n">
        <x:f>AP45*((1-AP47)*AP46+AP47*AP48)</x:f>
        <x:v>0</x:v>
      </x:c>
      <x:c r="AQ49" s="39" t="n">
        <x:f>AQ45*((1-AQ47)*AQ46+AQ47*AQ48)</x:f>
        <x:v>0</x:v>
      </x:c>
    </x:row>
    <x:row r="50" ht="21" customHeight="1">
      <x:c r="A50" s="2"/>
      <x:c r="B50" s="2"/>
      <x:c r="C50" s="2" t="str">
        <x:v>Vessel operating cost</x:v>
      </x:c>
      <x:c r="D50" s="2"/>
      <x:c r="E50" s="37" t="n">
        <x:f>E44*'Assumptions'!$D$50*(1+'Assumptions'!$D$80)^(((E$7+E$8)/2-46307)/365)</x:f>
        <x:v>4906769.699901096</x:v>
      </x:c>
      <x:c r="F50" s="37" t="n">
        <x:f>F44*'Assumptions'!$D$50*(1+'Assumptions'!$D$80)^(((F$7+F$8)/2-46307)/365)</x:f>
        <x:v>5545631.104751716</x:v>
      </x:c>
      <x:c r="G50" s="37" t="n">
        <x:f>G44*'Assumptions'!$D$50*(1+'Assumptions'!$D$80)^(((G$7+G$8)/2-46307)/365)</x:f>
        <x:v>5634848.333867567</x:v>
      </x:c>
      <x:c r="H50" s="37" t="n">
        <x:f>H44*'Assumptions'!$D$50*(1+'Assumptions'!$D$80)^(((H$7+H$8)/2-46307)/365)</x:f>
        <x:v>5725120.074373468</x:v>
      </x:c>
      <x:c r="I50" s="37" t="n">
        <x:f>I44*'Assumptions'!$D$50*(1+'Assumptions'!$D$80)^(((I$7+I$8)/2-46307)/365)</x:f>
        <x:v>5753767.571489334</x:v>
      </x:c>
      <x:c r="J50" s="37" t="n">
        <x:f>J44*'Assumptions'!$D$50*(1+'Assumptions'!$D$80)^(((J$7+J$8)/2-46307)/365)</x:f>
        <x:v>5719549.364163824</x:v>
      </x:c>
      <x:c r="K50" s="37" t="n">
        <x:f>K44*'Assumptions'!$D$50*(1+'Assumptions'!$D$80)^(((K$7+K$8)/2-46307)/365)</x:f>
        <x:v>5747857.135024363</x:v>
      </x:c>
      <x:c r="L50" s="37" t="n">
        <x:f>L44*'Assumptions'!$D$50*(1+'Assumptions'!$D$80)^(((L$7+L$8)/2-46307)/365)</x:f>
        <x:v>5839939.306010106</x:v>
      </x:c>
      <x:c r="M50" s="37" t="n">
        <x:f>M44*'Assumptions'!$D$50*(1+'Assumptions'!$D$80)^(((M$7+M$8)/2-46307)/365)</x:f>
        <x:v>5869161.338430809</x:v>
      </x:c>
      <x:c r="N50" s="37" t="n">
        <x:f>N44*'Assumptions'!$D$50*(1+'Assumptions'!$D$80)^(((N$7+N$8)/2-46307)/365)</x:f>
        <x:v>5769987.636493774</x:v>
      </x:c>
      <x:c r="O50" s="37" t="n">
        <x:f>O44*'Assumptions'!$D$50*(1+'Assumptions'!$D$80)^(((O$7+O$8)/2-46307)/365)</x:f>
        <x:v>5862814.277724851</x:v>
      </x:c>
      <x:c r="P50" s="37" t="n">
        <x:f>P44*'Assumptions'!$D$50*(1+'Assumptions'!$D$80)^(((P$7+P$8)/2-46307)/365)</x:f>
        <x:v>5956738.092130308</x:v>
      </x:c>
      <x:c r="Q50" s="37" t="n">
        <x:f>Q44*'Assumptions'!$D$50*(1+'Assumptions'!$D$80)^(((Q$7+Q$8)/2-46307)/365)</x:f>
        <x:v>23927508.851896286</x:v>
      </x:c>
      <x:c r="R50" s="37" t="n">
        <x:f>R44*'Assumptions'!$D$50*(1+'Assumptions'!$D$80)^(((R$7+R$8)/2-46307)/365)</x:f>
        <x:v>24406059.028934214</x:v>
      </x:c>
      <x:c r="S50" s="37" t="n">
        <x:f>S44*'Assumptions'!$D$50*(1+'Assumptions'!$D$80)^(((S$7+S$8)/2-46307)/365)</x:f>
        <x:v>24265853.082475524</x:v>
      </x:c>
      <x:c r="T50" s="37" t="n">
        <x:f>T44*'Assumptions'!$D$50*(1+'Assumptions'!$D$80)^(((T$7+T$8)/2-46307)/365)</x:f>
        <x:v>22571947.970089704</x:v>
      </x:c>
      <x:c r="U50" s="37" t="n">
        <x:f>U44*'Assumptions'!$D$50*(1+'Assumptions'!$D$80)^(((U$7+U$8)/2-46307)/365)</x:f>
        <x:v>20847203.781361476</x:v>
      </x:c>
      <x:c r="V50" s="37" t="n">
        <x:f>V44*'Assumptions'!$D$50*(1+'Assumptions'!$D$80)^(((V$7+V$8)/2-46307)/365)</x:f>
        <x:v>11717800.086094003</x:v>
      </x:c>
      <x:c r="W50" s="37" t="n">
        <x:f>W44*'Assumptions'!$D$50*(1+'Assumptions'!$D$80)^(((W$7+W$8)/2-46307)/365)</x:f>
        <x:v>2247755.392489602</x:v>
      </x:c>
      <x:c r="X50" s="37" t="n">
        <x:f>X44*'Assumptions'!$D$50*(1+'Assumptions'!$D$80)^(((X$7+X$8)/2-46307)/365)</x:f>
        <x:v>0</x:v>
      </x:c>
      <x:c r="Y50" s="37" t="n">
        <x:f>Y44*'Assumptions'!$D$50*(1+'Assumptions'!$D$80)^(((Y$7+Y$8)/2-46307)/365)</x:f>
        <x:v>0</x:v>
      </x:c>
      <x:c r="Z50" s="37" t="n">
        <x:f>Z44*'Assumptions'!$D$50*(1+'Assumptions'!$D$80)^(((Z$7+Z$8)/2-46307)/365)</x:f>
        <x:v>0</x:v>
      </x:c>
      <x:c r="AA50" s="37" t="n">
        <x:f>AA44*'Assumptions'!$D$50*(1+'Assumptions'!$D$80)^(((AA$7+AA$8)/2-46307)/365)</x:f>
        <x:v>0</x:v>
      </x:c>
      <x:c r="AB50" s="37" t="n">
        <x:f>AB44*'Assumptions'!$D$50*(1+'Assumptions'!$D$80)^(((AB$7+AB$8)/2-46307)/365)</x:f>
        <x:v>0</x:v>
      </x:c>
      <x:c r="AC50" s="37" t="n">
        <x:f>AC44*'Assumptions'!$D$50*(1+'Assumptions'!$D$80)^(((AC$7+AC$8)/2-46307)/365)</x:f>
        <x:v>0</x:v>
      </x:c>
      <x:c r="AD50" s="37" t="n">
        <x:f>AD44*'Assumptions'!$D$50*(1+'Assumptions'!$D$80)^(((AD$7+AD$8)/2-46307)/365)</x:f>
        <x:v>0</x:v>
      </x:c>
      <x:c r="AE50" s="37" t="n">
        <x:f>AE44*'Assumptions'!$D$50*(1+'Assumptions'!$D$80)^(((AE$7+AE$8)/2-46307)/365)</x:f>
        <x:v>0</x:v>
      </x:c>
      <x:c r="AF50" s="37" t="n">
        <x:f>AF44*'Assumptions'!$D$50*(1+'Assumptions'!$D$80)^(((AF$7+AF$8)/2-46307)/365)</x:f>
        <x:v>0</x:v>
      </x:c>
      <x:c r="AG50" s="37" t="n">
        <x:f>AG44*'Assumptions'!$D$50*(1+'Assumptions'!$D$80)^(((AG$7+AG$8)/2-46307)/365)</x:f>
        <x:v>0</x:v>
      </x:c>
      <x:c r="AH50" s="37" t="n">
        <x:f>AH44*'Assumptions'!$D$50*(1+'Assumptions'!$D$80)^(((AH$7+AH$8)/2-46307)/365)</x:f>
        <x:v>0</x:v>
      </x:c>
      <x:c r="AI50" s="37" t="n">
        <x:f>AI44*'Assumptions'!$D$50*(1+'Assumptions'!$D$80)^(((AI$7+AI$8)/2-46307)/365)</x:f>
        <x:v>0</x:v>
      </x:c>
      <x:c r="AJ50" s="37" t="n">
        <x:f>AJ44*'Assumptions'!$D$50*(1+'Assumptions'!$D$80)^(((AJ$7+AJ$8)/2-46307)/365)</x:f>
        <x:v>0</x:v>
      </x:c>
      <x:c r="AK50" s="37" t="n">
        <x:f>AK44*'Assumptions'!$D$50*(1+'Assumptions'!$D$80)^(((AK$7+AK$8)/2-46307)/365)</x:f>
        <x:v>0</x:v>
      </x:c>
      <x:c r="AL50" s="37" t="n">
        <x:f>AL44*'Assumptions'!$D$50*(1+'Assumptions'!$D$80)^(((AL$7+AL$8)/2-46307)/365)</x:f>
        <x:v>0</x:v>
      </x:c>
      <x:c r="AM50" s="37" t="n">
        <x:f>AM44*'Assumptions'!$D$50*(1+'Assumptions'!$D$80)^(((AM$7+AM$8)/2-46307)/365)</x:f>
        <x:v>0</x:v>
      </x:c>
      <x:c r="AN50" s="37" t="n">
        <x:f>AN44*'Assumptions'!$D$50*(1+'Assumptions'!$D$80)^(((AN$7+AN$8)/2-46307)/365)</x:f>
        <x:v>0</x:v>
      </x:c>
      <x:c r="AO50" s="37" t="n">
        <x:f>AO44*'Assumptions'!$D$50*(1+'Assumptions'!$D$80)^(((AO$7+AO$8)/2-46307)/365)</x:f>
        <x:v>0</x:v>
      </x:c>
      <x:c r="AP50" s="37" t="n">
        <x:f>AP44*'Assumptions'!$D$50*(1+'Assumptions'!$D$80)^(((AP$7+AP$8)/2-46307)/365)</x:f>
        <x:v>0</x:v>
      </x:c>
      <x:c r="AQ50" s="37" t="n">
        <x:f>AQ44*'Assumptions'!$D$50*(1+'Assumptions'!$D$80)^(((AQ$7+AQ$8)/2-46307)/365)</x:f>
        <x:v>0</x:v>
      </x:c>
    </x:row>
    <x:row r="51" ht="21" customHeight="1">
      <x:c r="A51" s="2"/>
      <x:c r="B51" s="2"/>
      <x:c r="C51" s="2" t="str">
        <x:v>Management fees</x:v>
      </x:c>
      <x:c r="D51" s="2"/>
      <x:c r="E51" s="37" t="n">
        <x:f>E44*'Assumptions'!$D$55*(1+'Assumptions'!$D$80)^(((E$7+E$8)/2-46307)/365)</x:f>
        <x:v>169572.1881583467</x:v>
      </x:c>
      <x:c r="F51" s="37" t="n">
        <x:f>F44*'Assumptions'!$D$55*(1+'Assumptions'!$D$80)^(((F$7+F$8)/2-46307)/365)</x:f>
        <x:v>191650.4867083314</x:v>
      </x:c>
      <x:c r="G51" s="37" t="n">
        <x:f>G44*'Assumptions'!$D$55*(1+'Assumptions'!$D$80)^(((G$7+G$8)/2-46307)/365)</x:f>
        <x:v>194733.72918512917</x:v>
      </x:c>
      <x:c r="H51" s="37" t="n">
        <x:f>H44*'Assumptions'!$D$55*(1+'Assumptions'!$D$80)^(((H$7+H$8)/2-46307)/365)</x:f>
        <x:v>197853.41433496543</x:v>
      </x:c>
      <x:c r="I51" s="37" t="n">
        <x:f>I44*'Assumptions'!$D$55*(1+'Assumptions'!$D$80)^(((I$7+I$8)/2-46307)/365)</x:f>
        <x:v>198843.438132352</x:v>
      </x:c>
      <x:c r="J51" s="37" t="n">
        <x:f>J44*'Assumptions'!$D$55*(1+'Assumptions'!$D$80)^(((J$7+J$8)/2-46307)/365)</x:f>
        <x:v>197660.89714389684</x:v>
      </x:c>
      <x:c r="K51" s="37" t="n">
        <x:f>K44*'Assumptions'!$D$55*(1+'Assumptions'!$D$80)^(((K$7+K$8)/2-46307)/365)</x:f>
        <x:v>198639.18040157727</x:v>
      </x:c>
      <x:c r="L51" s="37" t="n">
        <x:f>L44*'Assumptions'!$D$55*(1+'Assumptions'!$D$80)^(((L$7+L$8)/2-46307)/365)</x:f>
        <x:v>201821.43189887865</x:v>
      </x:c>
      <x:c r="M51" s="37" t="n">
        <x:f>M44*'Assumptions'!$D$55*(1+'Assumptions'!$D$80)^(((M$7+M$8)/2-46307)/365)</x:f>
        <x:v>202831.3109604765</x:v>
      </x:c>
      <x:c r="N51" s="37" t="n">
        <x:f>N44*'Assumptions'!$D$55*(1+'Assumptions'!$D$80)^(((N$7+N$8)/2-46307)/365)</x:f>
        <x:v>199403.984496476</x:v>
      </x:c>
      <x:c r="O51" s="37" t="n">
        <x:f>O44*'Assumptions'!$D$55*(1+'Assumptions'!$D$80)^(((O$7+O$8)/2-46307)/365)</x:f>
        <x:v>202611.96400960884</x:v>
      </x:c>
      <x:c r="P51" s="37" t="n">
        <x:f>P44*'Assumptions'!$D$55*(1+'Assumptions'!$D$80)^(((P$7+P$8)/2-46307)/365)</x:f>
        <x:v>205857.86053685623</x:v>
      </x:c>
      <x:c r="Q51" s="37" t="n">
        <x:f>Q44*'Assumptions'!$D$55*(1+'Assumptions'!$D$80)^(((Q$7+Q$8)/2-46307)/365)</x:f>
        <x:v>826906.5559111215</x:v>
      </x:c>
      <x:c r="R51" s="37" t="n">
        <x:f>R44*'Assumptions'!$D$55*(1+'Assumptions'!$D$80)^(((R$7+R$8)/2-46307)/365)</x:f>
        <x:v>843444.6870293441</x:v>
      </x:c>
      <x:c r="S51" s="37" t="n">
        <x:f>S44*'Assumptions'!$D$55*(1+'Assumptions'!$D$80)^(((S$7+S$8)/2-46307)/365)</x:f>
        <x:v>838599.3344679042</x:v>
      </x:c>
      <x:c r="T51" s="37" t="n">
        <x:f>T44*'Assumptions'!$D$55*(1+'Assumptions'!$D$80)^(((T$7+T$8)/2-46307)/365)</x:f>
        <x:v>780059.9666133941</x:v>
      </x:c>
      <x:c r="U51" s="37" t="n">
        <x:f>U44*'Assumptions'!$D$55*(1+'Assumptions'!$D$80)^(((U$7+U$8)/2-46307)/365)</x:f>
        <x:v>720454.8365617569</x:v>
      </x:c>
      <x:c r="V51" s="37" t="n">
        <x:f>V44*'Assumptions'!$D$55*(1+'Assumptions'!$D$80)^(((V$7+V$8)/2-46307)/365)</x:f>
        <x:v>404953.38532824867</x:v>
      </x:c>
      <x:c r="W51" s="37" t="n">
        <x:f>W44*'Assumptions'!$D$55*(1+'Assumptions'!$D$80)^(((W$7+W$8)/2-46307)/365)</x:f>
        <x:v>77679.78194633183</x:v>
      </x:c>
      <x:c r="X51" s="37" t="n">
        <x:f>X44*'Assumptions'!$D$55*(1+'Assumptions'!$D$80)^(((X$7+X$8)/2-46307)/365)</x:f>
        <x:v>0</x:v>
      </x:c>
      <x:c r="Y51" s="37" t="n">
        <x:f>Y44*'Assumptions'!$D$55*(1+'Assumptions'!$D$80)^(((Y$7+Y$8)/2-46307)/365)</x:f>
        <x:v>0</x:v>
      </x:c>
      <x:c r="Z51" s="37" t="n">
        <x:f>Z44*'Assumptions'!$D$55*(1+'Assumptions'!$D$80)^(((Z$7+Z$8)/2-46307)/365)</x:f>
        <x:v>0</x:v>
      </x:c>
      <x:c r="AA51" s="37" t="n">
        <x:f>AA44*'Assumptions'!$D$55*(1+'Assumptions'!$D$80)^(((AA$7+AA$8)/2-46307)/365)</x:f>
        <x:v>0</x:v>
      </x:c>
      <x:c r="AB51" s="37" t="n">
        <x:f>AB44*'Assumptions'!$D$55*(1+'Assumptions'!$D$80)^(((AB$7+AB$8)/2-46307)/365)</x:f>
        <x:v>0</x:v>
      </x:c>
      <x:c r="AC51" s="37" t="n">
        <x:f>AC44*'Assumptions'!$D$55*(1+'Assumptions'!$D$80)^(((AC$7+AC$8)/2-46307)/365)</x:f>
        <x:v>0</x:v>
      </x:c>
      <x:c r="AD51" s="37" t="n">
        <x:f>AD44*'Assumptions'!$D$55*(1+'Assumptions'!$D$80)^(((AD$7+AD$8)/2-46307)/365)</x:f>
        <x:v>0</x:v>
      </x:c>
      <x:c r="AE51" s="37" t="n">
        <x:f>AE44*'Assumptions'!$D$55*(1+'Assumptions'!$D$80)^(((AE$7+AE$8)/2-46307)/365)</x:f>
        <x:v>0</x:v>
      </x:c>
      <x:c r="AF51" s="37" t="n">
        <x:f>AF44*'Assumptions'!$D$55*(1+'Assumptions'!$D$80)^(((AF$7+AF$8)/2-46307)/365)</x:f>
        <x:v>0</x:v>
      </x:c>
      <x:c r="AG51" s="37" t="n">
        <x:f>AG44*'Assumptions'!$D$55*(1+'Assumptions'!$D$80)^(((AG$7+AG$8)/2-46307)/365)</x:f>
        <x:v>0</x:v>
      </x:c>
      <x:c r="AH51" s="37" t="n">
        <x:f>AH44*'Assumptions'!$D$55*(1+'Assumptions'!$D$80)^(((AH$7+AH$8)/2-46307)/365)</x:f>
        <x:v>0</x:v>
      </x:c>
      <x:c r="AI51" s="37" t="n">
        <x:f>AI44*'Assumptions'!$D$55*(1+'Assumptions'!$D$80)^(((AI$7+AI$8)/2-46307)/365)</x:f>
        <x:v>0</x:v>
      </x:c>
      <x:c r="AJ51" s="37" t="n">
        <x:f>AJ44*'Assumptions'!$D$55*(1+'Assumptions'!$D$80)^(((AJ$7+AJ$8)/2-46307)/365)</x:f>
        <x:v>0</x:v>
      </x:c>
      <x:c r="AK51" s="37" t="n">
        <x:f>AK44*'Assumptions'!$D$55*(1+'Assumptions'!$D$80)^(((AK$7+AK$8)/2-46307)/365)</x:f>
        <x:v>0</x:v>
      </x:c>
      <x:c r="AL51" s="37" t="n">
        <x:f>AL44*'Assumptions'!$D$55*(1+'Assumptions'!$D$80)^(((AL$7+AL$8)/2-46307)/365)</x:f>
        <x:v>0</x:v>
      </x:c>
      <x:c r="AM51" s="37" t="n">
        <x:f>AM44*'Assumptions'!$D$55*(1+'Assumptions'!$D$80)^(((AM$7+AM$8)/2-46307)/365)</x:f>
        <x:v>0</x:v>
      </x:c>
      <x:c r="AN51" s="37" t="n">
        <x:f>AN44*'Assumptions'!$D$55*(1+'Assumptions'!$D$80)^(((AN$7+AN$8)/2-46307)/365)</x:f>
        <x:v>0</x:v>
      </x:c>
      <x:c r="AO51" s="37" t="n">
        <x:f>AO44*'Assumptions'!$D$55*(1+'Assumptions'!$D$80)^(((AO$7+AO$8)/2-46307)/365)</x:f>
        <x:v>0</x:v>
      </x:c>
      <x:c r="AP51" s="37" t="n">
        <x:f>AP44*'Assumptions'!$D$55*(1+'Assumptions'!$D$80)^(((AP$7+AP$8)/2-46307)/365)</x:f>
        <x:v>0</x:v>
      </x:c>
      <x:c r="AQ51" s="37" t="n">
        <x:f>AQ44*'Assumptions'!$D$55*(1+'Assumptions'!$D$80)^(((AQ$7+AQ$8)/2-46307)/365)</x:f>
        <x:v>0</x:v>
      </x:c>
    </x:row>
    <x:row r="52" ht="21" customHeight="1">
      <x:c r="A52" s="2"/>
      <x:c r="B52" s="2"/>
      <x:c r="C52" s="2" t="str">
        <x:v>Drydock cash budget</x:v>
      </x:c>
      <x:c r="D52" s="2"/>
      <x:c r="E52" s="37" t="n">
        <x:f>E44/365*'Assumptions'!$D$65*(1+'Assumptions'!$D$80)^(((E$7+E$8)/2-46307)/365)</x:f>
        <x:v>1186165.1168173477</x:v>
      </x:c>
      <x:c r="F52" s="37" t="n">
        <x:f>F44/365*'Assumptions'!$D$65*(1+'Assumptions'!$D$80)^(((F$7+F$8)/2-46307)/365)</x:f>
        <x:v>1340603.8125910675</x:v>
      </x:c>
      <x:c r="G52" s="37" t="n">
        <x:f>G44/365*'Assumptions'!$D$65*(1+'Assumptions'!$D$80)^(((G$7+G$8)/2-46307)/365)</x:f>
        <x:v>1362171.2330058583</x:v>
      </x:c>
      <x:c r="H52" s="37" t="n">
        <x:f>H44/365*'Assumptions'!$D$65*(1+'Assumptions'!$D$80)^(((H$7+H$8)/2-46307)/365)</x:f>
        <x:v>1383993.5715648998</x:v>
      </x:c>
      <x:c r="I52" s="37" t="n">
        <x:f>I44/365*'Assumptions'!$D$65*(1+'Assumptions'!$D$80)^(((I$7+I$8)/2-46307)/365)</x:f>
        <x:v>1390918.8327532639</x:v>
      </x:c>
      <x:c r="J52" s="37" t="n">
        <x:f>J44/365*'Assumptions'!$D$65*(1+'Assumptions'!$D$80)^(((J$7+J$8)/2-46307)/365)</x:f>
        <x:v>1382646.905116154</x:v>
      </x:c>
      <x:c r="K52" s="37" t="n">
        <x:f>K44/365*'Assumptions'!$D$65*(1+'Assumptions'!$D$80)^(((K$7+K$8)/2-46307)/365)</x:f>
        <x:v>1389490.0406988792</x:v>
      </x:c>
      <x:c r="L52" s="37" t="n">
        <x:f>L44/365*'Assumptions'!$D$65*(1+'Assumptions'!$D$80)^(((L$7+L$8)/2-46307)/365)</x:f>
        <x:v>1411750.0336849573</x:v>
      </x:c>
      <x:c r="M52" s="37" t="n">
        <x:f>M44/365*'Assumptions'!$D$65*(1+'Assumptions'!$D$80)^(((M$7+M$8)/2-46307)/365)</x:f>
        <x:v>1418814.1833434673</x:v>
      </x:c>
      <x:c r="N52" s="37" t="n">
        <x:f>N44/365*'Assumptions'!$D$65*(1+'Assumptions'!$D$80)^(((N$7+N$8)/2-46307)/365)</x:f>
        <x:v>1394839.8798937406</x:v>
      </x:c>
      <x:c r="O52" s="37" t="n">
        <x:f>O44/365*'Assumptions'!$D$65*(1+'Assumptions'!$D$80)^(((O$7+O$8)/2-46307)/365)</x:f>
        <x:v>1417279.841512857</x:v>
      </x:c>
      <x:c r="P52" s="37" t="n">
        <x:f>P44/365*'Assumptions'!$D$65*(1+'Assumptions'!$D$80)^(((P$7+P$8)/2-46307)/365)</x:f>
        <x:v>1439985.0343586565</x:v>
      </x:c>
      <x:c r="Q52" s="37" t="n">
        <x:f>Q44/365*'Assumptions'!$D$65*(1+'Assumptions'!$D$80)^(((Q$7+Q$8)/2-46307)/365)</x:f>
        <x:v>5784248.715204582</x:v>
      </x:c>
      <x:c r="R52" s="37" t="n">
        <x:f>R44/365*'Assumptions'!$D$65*(1+'Assumptions'!$D$80)^(((R$7+R$8)/2-46307)/365)</x:f>
        <x:v>5899933.689508674</x:v>
      </x:c>
      <x:c r="S52" s="37" t="n">
        <x:f>S44/365*'Assumptions'!$D$65*(1+'Assumptions'!$D$80)^(((S$7+S$8)/2-46307)/365)</x:f>
        <x:v>5866040.229446137</x:v>
      </x:c>
      <x:c r="T52" s="37" t="n">
        <x:f>T44/365*'Assumptions'!$D$65*(1+'Assumptions'!$D$80)^(((T$7+T$8)/2-46307)/365)</x:f>
        <x:v>5456554.706709839</x:v>
      </x:c>
      <x:c r="U52" s="37" t="n">
        <x:f>U44/365*'Assumptions'!$D$65*(1+'Assumptions'!$D$80)^(((U$7+U$8)/2-46307)/365)</x:f>
        <x:v>5039614.129257408</x:v>
      </x:c>
      <x:c r="V52" s="37" t="n">
        <x:f>V44/365*'Assumptions'!$D$65*(1+'Assumptions'!$D$80)^(((V$7+V$8)/2-46307)/365)</x:f>
        <x:v>2832667.224680259</x:v>
      </x:c>
      <x:c r="W52" s="37" t="n">
        <x:f>W44/365*'Assumptions'!$D$65*(1+'Assumptions'!$D$80)^(((W$7+W$8)/2-46307)/365)</x:f>
        <x:v>543373.5840023211</x:v>
      </x:c>
      <x:c r="X52" s="37" t="n">
        <x:f>X44/365*'Assumptions'!$D$65*(1+'Assumptions'!$D$80)^(((X$7+X$8)/2-46307)/365)</x:f>
        <x:v>0</x:v>
      </x:c>
      <x:c r="Y52" s="37" t="n">
        <x:f>Y44/365*'Assumptions'!$D$65*(1+'Assumptions'!$D$80)^(((Y$7+Y$8)/2-46307)/365)</x:f>
        <x:v>0</x:v>
      </x:c>
      <x:c r="Z52" s="37" t="n">
        <x:f>Z44/365*'Assumptions'!$D$65*(1+'Assumptions'!$D$80)^(((Z$7+Z$8)/2-46307)/365)</x:f>
        <x:v>0</x:v>
      </x:c>
      <x:c r="AA52" s="37" t="n">
        <x:f>AA44/365*'Assumptions'!$D$65*(1+'Assumptions'!$D$80)^(((AA$7+AA$8)/2-46307)/365)</x:f>
        <x:v>0</x:v>
      </x:c>
      <x:c r="AB52" s="37" t="n">
        <x:f>AB44/365*'Assumptions'!$D$65*(1+'Assumptions'!$D$80)^(((AB$7+AB$8)/2-46307)/365)</x:f>
        <x:v>0</x:v>
      </x:c>
      <x:c r="AC52" s="37" t="n">
        <x:f>AC44/365*'Assumptions'!$D$65*(1+'Assumptions'!$D$80)^(((AC$7+AC$8)/2-46307)/365)</x:f>
        <x:v>0</x:v>
      </x:c>
      <x:c r="AD52" s="37" t="n">
        <x:f>AD44/365*'Assumptions'!$D$65*(1+'Assumptions'!$D$80)^(((AD$7+AD$8)/2-46307)/365)</x:f>
        <x:v>0</x:v>
      </x:c>
      <x:c r="AE52" s="37" t="n">
        <x:f>AE44/365*'Assumptions'!$D$65*(1+'Assumptions'!$D$80)^(((AE$7+AE$8)/2-46307)/365)</x:f>
        <x:v>0</x:v>
      </x:c>
      <x:c r="AF52" s="37" t="n">
        <x:f>AF44/365*'Assumptions'!$D$65*(1+'Assumptions'!$D$80)^(((AF$7+AF$8)/2-46307)/365)</x:f>
        <x:v>0</x:v>
      </x:c>
      <x:c r="AG52" s="37" t="n">
        <x:f>AG44/365*'Assumptions'!$D$65*(1+'Assumptions'!$D$80)^(((AG$7+AG$8)/2-46307)/365)</x:f>
        <x:v>0</x:v>
      </x:c>
      <x:c r="AH52" s="37" t="n">
        <x:f>AH44/365*'Assumptions'!$D$65*(1+'Assumptions'!$D$80)^(((AH$7+AH$8)/2-46307)/365)</x:f>
        <x:v>0</x:v>
      </x:c>
      <x:c r="AI52" s="37" t="n">
        <x:f>AI44/365*'Assumptions'!$D$65*(1+'Assumptions'!$D$80)^(((AI$7+AI$8)/2-46307)/365)</x:f>
        <x:v>0</x:v>
      </x:c>
      <x:c r="AJ52" s="37" t="n">
        <x:f>AJ44/365*'Assumptions'!$D$65*(1+'Assumptions'!$D$80)^(((AJ$7+AJ$8)/2-46307)/365)</x:f>
        <x:v>0</x:v>
      </x:c>
      <x:c r="AK52" s="37" t="n">
        <x:f>AK44/365*'Assumptions'!$D$65*(1+'Assumptions'!$D$80)^(((AK$7+AK$8)/2-46307)/365)</x:f>
        <x:v>0</x:v>
      </x:c>
      <x:c r="AL52" s="37" t="n">
        <x:f>AL44/365*'Assumptions'!$D$65*(1+'Assumptions'!$D$80)^(((AL$7+AL$8)/2-46307)/365)</x:f>
        <x:v>0</x:v>
      </x:c>
      <x:c r="AM52" s="37" t="n">
        <x:f>AM44/365*'Assumptions'!$D$65*(1+'Assumptions'!$D$80)^(((AM$7+AM$8)/2-46307)/365)</x:f>
        <x:v>0</x:v>
      </x:c>
      <x:c r="AN52" s="37" t="n">
        <x:f>AN44/365*'Assumptions'!$D$65*(1+'Assumptions'!$D$80)^(((AN$7+AN$8)/2-46307)/365)</x:f>
        <x:v>0</x:v>
      </x:c>
      <x:c r="AO52" s="37" t="n">
        <x:f>AO44/365*'Assumptions'!$D$65*(1+'Assumptions'!$D$80)^(((AO$7+AO$8)/2-46307)/365)</x:f>
        <x:v>0</x:v>
      </x:c>
      <x:c r="AP52" s="37" t="n">
        <x:f>AP44/365*'Assumptions'!$D$65*(1+'Assumptions'!$D$80)^(((AP$7+AP$8)/2-46307)/365)</x:f>
        <x:v>0</x:v>
      </x:c>
      <x:c r="AQ52" s="37" t="n">
        <x:f>AQ44/365*'Assumptions'!$D$65*(1+'Assumptions'!$D$80)^(((AQ$7+AQ$8)/2-46307)/365)</x:f>
        <x:v>0</x:v>
      </x:c>
    </x:row>
    <x:row r="53" ht="21" customHeight="1">
      <x:c r="A53" s="2"/>
      <x:c r="B53" s="2"/>
      <x:c r="C53" s="2" t="str">
        <x:v>Other maintenance capex</x:v>
      </x:c>
      <x:c r="D53" s="2"/>
      <x:c r="E53" s="37" t="n">
        <x:f>E44/365*'Assumptions'!$D$70*(1+'Assumptions'!$D$80)^(((E$7+E$8)/2-46307)/365)</x:f>
        <x:v>197694.18613622463</x:v>
      </x:c>
      <x:c r="F53" s="37" t="n">
        <x:f>F44/365*'Assumptions'!$D$70*(1+'Assumptions'!$D$80)^(((F$7+F$8)/2-46307)/365)</x:f>
        <x:v>223433.96876517794</x:v>
      </x:c>
      <x:c r="G53" s="37" t="n">
        <x:f>G44/365*'Assumptions'!$D$70*(1+'Assumptions'!$D$80)^(((G$7+G$8)/2-46307)/365)</x:f>
        <x:v>227028.53883430973</x:v>
      </x:c>
      <x:c r="H53" s="37" t="n">
        <x:f>H44/365*'Assumptions'!$D$70*(1+'Assumptions'!$D$80)^(((H$7+H$8)/2-46307)/365)</x:f>
        <x:v>230665.59526081663</x:v>
      </x:c>
      <x:c r="I53" s="37" t="n">
        <x:f>I44/365*'Assumptions'!$D$70*(1+'Assumptions'!$D$80)^(((I$7+I$8)/2-46307)/365)</x:f>
        <x:v>231819.8054588773</x:v>
      </x:c>
      <x:c r="J53" s="37" t="n">
        <x:f>J44/365*'Assumptions'!$D$70*(1+'Assumptions'!$D$80)^(((J$7+J$8)/2-46307)/365)</x:f>
        <x:v>230441.15085269234</x:v>
      </x:c>
      <x:c r="K53" s="37" t="n">
        <x:f>K44/365*'Assumptions'!$D$70*(1+'Assumptions'!$D$80)^(((K$7+K$8)/2-46307)/365)</x:f>
        <x:v>231581.67344981318</x:v>
      </x:c>
      <x:c r="L53" s="37" t="n">
        <x:f>L44/365*'Assumptions'!$D$70*(1+'Assumptions'!$D$80)^(((L$7+L$8)/2-46307)/365)</x:f>
        <x:v>235291.6722808262</x:v>
      </x:c>
      <x:c r="M53" s="37" t="n">
        <x:f>M44/365*'Assumptions'!$D$70*(1+'Assumptions'!$D$80)^(((M$7+M$8)/2-46307)/365)</x:f>
        <x:v>236469.03055724452</x:v>
      </x:c>
      <x:c r="N53" s="37" t="n">
        <x:f>N44/365*'Assumptions'!$D$70*(1+'Assumptions'!$D$80)^(((N$7+N$8)/2-46307)/365)</x:f>
        <x:v>232473.31331562347</x:v>
      </x:c>
      <x:c r="O53" s="37" t="n">
        <x:f>O44/365*'Assumptions'!$D$70*(1+'Assumptions'!$D$80)^(((O$7+O$8)/2-46307)/365)</x:f>
        <x:v>236213.30691880948</x:v>
      </x:c>
      <x:c r="P53" s="37" t="n">
        <x:f>P44/365*'Assumptions'!$D$70*(1+'Assumptions'!$D$80)^(((P$7+P$8)/2-46307)/365)</x:f>
        <x:v>239997.50572644273</x:v>
      </x:c>
      <x:c r="Q53" s="37" t="n">
        <x:f>Q44/365*'Assumptions'!$D$70*(1+'Assumptions'!$D$80)^(((Q$7+Q$8)/2-46307)/365)</x:f>
        <x:v>964041.4525340969</x:v>
      </x:c>
      <x:c r="R53" s="37" t="n">
        <x:f>R44/365*'Assumptions'!$D$70*(1+'Assumptions'!$D$80)^(((R$7+R$8)/2-46307)/365)</x:f>
        <x:v>983322.281584779</x:v>
      </x:c>
      <x:c r="S53" s="37" t="n">
        <x:f>S44/365*'Assumptions'!$D$70*(1+'Assumptions'!$D$80)^(((S$7+S$8)/2-46307)/365)</x:f>
        <x:v>977673.3715743562</x:v>
      </x:c>
      <x:c r="T53" s="37" t="n">
        <x:f>T44/365*'Assumptions'!$D$70*(1+'Assumptions'!$D$80)^(((T$7+T$8)/2-46307)/365)</x:f>
        <x:v>909425.7844516399</x:v>
      </x:c>
      <x:c r="U53" s="37" t="n">
        <x:f>U44/365*'Assumptions'!$D$70*(1+'Assumptions'!$D$80)^(((U$7+U$8)/2-46307)/365)</x:f>
        <x:v>839935.688209568</x:v>
      </x:c>
      <x:c r="V53" s="37" t="n">
        <x:f>V44/365*'Assumptions'!$D$70*(1+'Assumptions'!$D$80)^(((V$7+V$8)/2-46307)/365)</x:f>
        <x:v>472111.2041133765</x:v>
      </x:c>
      <x:c r="W53" s="37" t="n">
        <x:f>W44/365*'Assumptions'!$D$70*(1+'Assumptions'!$D$80)^(((W$7+W$8)/2-46307)/365)</x:f>
        <x:v>90562.26400038687</x:v>
      </x:c>
      <x:c r="X53" s="37" t="n">
        <x:f>X44/365*'Assumptions'!$D$70*(1+'Assumptions'!$D$80)^(((X$7+X$8)/2-46307)/365)</x:f>
        <x:v>0</x:v>
      </x:c>
      <x:c r="Y53" s="37" t="n">
        <x:f>Y44/365*'Assumptions'!$D$70*(1+'Assumptions'!$D$80)^(((Y$7+Y$8)/2-46307)/365)</x:f>
        <x:v>0</x:v>
      </x:c>
      <x:c r="Z53" s="37" t="n">
        <x:f>Z44/365*'Assumptions'!$D$70*(1+'Assumptions'!$D$80)^(((Z$7+Z$8)/2-46307)/365)</x:f>
        <x:v>0</x:v>
      </x:c>
      <x:c r="AA53" s="37" t="n">
        <x:f>AA44/365*'Assumptions'!$D$70*(1+'Assumptions'!$D$80)^(((AA$7+AA$8)/2-46307)/365)</x:f>
        <x:v>0</x:v>
      </x:c>
      <x:c r="AB53" s="37" t="n">
        <x:f>AB44/365*'Assumptions'!$D$70*(1+'Assumptions'!$D$80)^(((AB$7+AB$8)/2-46307)/365)</x:f>
        <x:v>0</x:v>
      </x:c>
      <x:c r="AC53" s="37" t="n">
        <x:f>AC44/365*'Assumptions'!$D$70*(1+'Assumptions'!$D$80)^(((AC$7+AC$8)/2-46307)/365)</x:f>
        <x:v>0</x:v>
      </x:c>
      <x:c r="AD53" s="37" t="n">
        <x:f>AD44/365*'Assumptions'!$D$70*(1+'Assumptions'!$D$80)^(((AD$7+AD$8)/2-46307)/365)</x:f>
        <x:v>0</x:v>
      </x:c>
      <x:c r="AE53" s="37" t="n">
        <x:f>AE44/365*'Assumptions'!$D$70*(1+'Assumptions'!$D$80)^(((AE$7+AE$8)/2-46307)/365)</x:f>
        <x:v>0</x:v>
      </x:c>
      <x:c r="AF53" s="37" t="n">
        <x:f>AF44/365*'Assumptions'!$D$70*(1+'Assumptions'!$D$80)^(((AF$7+AF$8)/2-46307)/365)</x:f>
        <x:v>0</x:v>
      </x:c>
      <x:c r="AG53" s="37" t="n">
        <x:f>AG44/365*'Assumptions'!$D$70*(1+'Assumptions'!$D$80)^(((AG$7+AG$8)/2-46307)/365)</x:f>
        <x:v>0</x:v>
      </x:c>
      <x:c r="AH53" s="37" t="n">
        <x:f>AH44/365*'Assumptions'!$D$70*(1+'Assumptions'!$D$80)^(((AH$7+AH$8)/2-46307)/365)</x:f>
        <x:v>0</x:v>
      </x:c>
      <x:c r="AI53" s="37" t="n">
        <x:f>AI44/365*'Assumptions'!$D$70*(1+'Assumptions'!$D$80)^(((AI$7+AI$8)/2-46307)/365)</x:f>
        <x:v>0</x:v>
      </x:c>
      <x:c r="AJ53" s="37" t="n">
        <x:f>AJ44/365*'Assumptions'!$D$70*(1+'Assumptions'!$D$80)^(((AJ$7+AJ$8)/2-46307)/365)</x:f>
        <x:v>0</x:v>
      </x:c>
      <x:c r="AK53" s="37" t="n">
        <x:f>AK44/365*'Assumptions'!$D$70*(1+'Assumptions'!$D$80)^(((AK$7+AK$8)/2-46307)/365)</x:f>
        <x:v>0</x:v>
      </x:c>
      <x:c r="AL53" s="37" t="n">
        <x:f>AL44/365*'Assumptions'!$D$70*(1+'Assumptions'!$D$80)^(((AL$7+AL$8)/2-46307)/365)</x:f>
        <x:v>0</x:v>
      </x:c>
      <x:c r="AM53" s="37" t="n">
        <x:f>AM44/365*'Assumptions'!$D$70*(1+'Assumptions'!$D$80)^(((AM$7+AM$8)/2-46307)/365)</x:f>
        <x:v>0</x:v>
      </x:c>
      <x:c r="AN53" s="37" t="n">
        <x:f>AN44/365*'Assumptions'!$D$70*(1+'Assumptions'!$D$80)^(((AN$7+AN$8)/2-46307)/365)</x:f>
        <x:v>0</x:v>
      </x:c>
      <x:c r="AO53" s="37" t="n">
        <x:f>AO44/365*'Assumptions'!$D$70*(1+'Assumptions'!$D$80)^(((AO$7+AO$8)/2-46307)/365)</x:f>
        <x:v>0</x:v>
      </x:c>
      <x:c r="AP53" s="37" t="n">
        <x:f>AP44/365*'Assumptions'!$D$70*(1+'Assumptions'!$D$80)^(((AP$7+AP$8)/2-46307)/365)</x:f>
        <x:v>0</x:v>
      </x:c>
      <x:c r="AQ53" s="37" t="n">
        <x:f>AQ44/365*'Assumptions'!$D$70*(1+'Assumptions'!$D$80)^(((AQ$7+AQ$8)/2-46307)/365)</x:f>
        <x:v>0</x:v>
      </x:c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</x:row>
    <x:row r="78" ht="25" customHeight="1">
      <x:c r="A78" s="2"/>
      <x:c r="B78" s="2"/>
      <x:c r="C78" s="30" t="str">
        <x:v>Unlevered cash flow (USD millions)</x:v>
      </x:c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30"/>
      <x:c r="AI78" s="30"/>
      <x:c r="AJ78" s="30"/>
      <x:c r="AK78" s="30"/>
      <x:c r="AL78" s="30"/>
      <x:c r="AM78" s="30"/>
      <x:c r="AN78" s="30"/>
      <x:c r="AO78" s="30"/>
      <x:c r="AP78" s="30"/>
      <x:c r="AQ78" s="30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</x:row>
    <x:row r="80" ht="21" customHeight="1">
      <x:c r="A80" s="2"/>
      <x:c r="B80" s="2"/>
      <x:c r="C80" s="2" t="str">
        <x:v>Owned days</x:v>
      </x:c>
      <x:c r="D80" s="2"/>
      <x:c r="E80" s="45" t="n">
        <x:f>SUM(E11,E22,E33,E44)</x:f>
        <x:v>3520</x:v>
      </x:c>
      <x:c r="F80" s="45" t="n">
        <x:f>SUM(F11,F22,F33,F44)</x:f>
        <x:v>3960</x:v>
      </x:c>
      <x:c r="G80" s="45" t="n">
        <x:f>SUM(G11,G22,G33,G44)</x:f>
        <x:v>4004</x:v>
      </x:c>
      <x:c r="H80" s="45" t="n">
        <x:f>SUM(H11,H22,H33,H44)</x:f>
        <x:v>4048</x:v>
      </x:c>
      <x:c r="I80" s="45" t="n">
        <x:f>SUM(I11,I22,I33,I44)</x:f>
        <x:v>4048</x:v>
      </x:c>
      <x:c r="J80" s="45" t="n">
        <x:f>SUM(J11,J22,J33,J44)</x:f>
        <x:v>4004</x:v>
      </x:c>
      <x:c r="K80" s="45" t="n">
        <x:f>SUM(K11,K22,K33,K44)</x:f>
        <x:v>4004</x:v>
      </x:c>
      <x:c r="L80" s="45" t="n">
        <x:f>SUM(L11,L22,L33,L44)</x:f>
        <x:v>4048</x:v>
      </x:c>
      <x:c r="M80" s="45" t="n">
        <x:f>SUM(M11,M22,M33,M44)</x:f>
        <x:v>4048</x:v>
      </x:c>
      <x:c r="N80" s="45" t="n">
        <x:f>SUM(N11,N22,N33,N44)</x:f>
        <x:v>3960</x:v>
      </x:c>
      <x:c r="O80" s="45" t="n">
        <x:f>SUM(O11,O22,O33,O44)</x:f>
        <x:v>4004</x:v>
      </x:c>
      <x:c r="P80" s="45" t="n">
        <x:f>SUM(P11,P22,P33,P44)</x:f>
        <x:v>4048</x:v>
      </x:c>
      <x:c r="Q80" s="45" t="n">
        <x:f>SUM(Q11,Q22,Q33,Q44)</x:f>
        <x:v>16060</x:v>
      </x:c>
      <x:c r="R80" s="45" t="n">
        <x:f>SUM(R11,R22,R33,R44)</x:f>
        <x:v>16060</x:v>
      </x:c>
      <x:c r="S80" s="45" t="n">
        <x:f>SUM(S11,S22,S33,S44)</x:f>
        <x:v>15644</x:v>
      </x:c>
      <x:c r="T80" s="45" t="n">
        <x:f>SUM(T11,T22,T33,T44)</x:f>
        <x:v>14143</x:v>
      </x:c>
      <x:c r="U80" s="45" t="n">
        <x:f>SUM(U11,U22,U33,U44)</x:f>
        <x:v>13594</x:v>
      </x:c>
      <x:c r="V80" s="45" t="n">
        <x:f>SUM(V11,V22,V33,V44)</x:f>
        <x:v>12223</x:v>
      </x:c>
      <x:c r="W80" s="45" t="n">
        <x:f>SUM(W11,W22,W33,W44)</x:f>
        <x:v>10430</x:v>
      </x:c>
      <x:c r="X80" s="45" t="n">
        <x:f>SUM(X11,X22,X33,X44)</x:f>
        <x:v>9763</x:v>
      </x:c>
      <x:c r="Y80" s="45" t="n">
        <x:f>SUM(Y11,Y22,Y33,Y44)</x:f>
        <x:v>9490</x:v>
      </x:c>
      <x:c r="Z80" s="45" t="n">
        <x:f>SUM(Z11,Z22,Z33,Z44)</x:f>
        <x:v>9122</x:v>
      </x:c>
      <x:c r="AA80" s="45" t="n">
        <x:f>SUM(AA11,AA22,AA33,AA44)</x:f>
        <x:v>7408</x:v>
      </x:c>
      <x:c r="AB80" s="45" t="n">
        <x:f>SUM(AB11,AB22,AB33,AB44)</x:f>
        <x:v>4831</x:v>
      </x:c>
      <x:c r="AC80" s="45" t="n">
        <x:f>SUM(AC11,AC22,AC33,AC44)</x:f>
        <x:v>2736</x:v>
      </x:c>
      <x:c r="AD80" s="45" t="n">
        <x:f>SUM(AD11,AD22,AD33,AD44)</x:f>
        <x:v>2190</x:v>
      </x:c>
      <x:c r="AE80" s="45" t="n">
        <x:f>SUM(AE11,AE22,AE33,AE44)</x:f>
        <x:v>2104</x:v>
      </x:c>
      <x:c r="AF80" s="45" t="n">
        <x:f>SUM(AF11,AF22,AF33,AF44)</x:f>
        <x:v>1549</x:v>
      </x:c>
      <x:c r="AG80" s="45" t="n">
        <x:f>SUM(AG11,AG22,AG33,AG44)</x:f>
        <x:v>730</x:v>
      </x:c>
      <x:c r="AH80" s="45" t="n">
        <x:f>SUM(AH11,AH22,AH33,AH44)</x:f>
        <x:v>546</x:v>
      </x:c>
      <x:c r="AI80" s="45" t="n">
        <x:f>SUM(AI11,AI22,AI33,AI44)</x:f>
        <x:v>0</x:v>
      </x:c>
      <x:c r="AJ80" s="45" t="n">
        <x:f>SUM(AJ11,AJ22,AJ33,AJ44)</x:f>
        <x:v>0</x:v>
      </x:c>
      <x:c r="AK80" s="45" t="n">
        <x:f>SUM(AK11,AK22,AK33,AK44)</x:f>
        <x:v>0</x:v>
      </x:c>
      <x:c r="AL80" s="45" t="n">
        <x:f>SUM(AL11,AL22,AL33,AL44)</x:f>
        <x:v>0</x:v>
      </x:c>
      <x:c r="AM80" s="45" t="n">
        <x:f>SUM(AM11,AM22,AM33,AM44)</x:f>
        <x:v>0</x:v>
      </x:c>
      <x:c r="AN80" s="45" t="n">
        <x:f>SUM(AN11,AN22,AN33,AN44)</x:f>
        <x:v>0</x:v>
      </x:c>
      <x:c r="AO80" s="45" t="n">
        <x:f>SUM(AO11,AO22,AO33,AO44)</x:f>
        <x:v>0</x:v>
      </x:c>
      <x:c r="AP80" s="45" t="n">
        <x:f>SUM(AP11,AP22,AP33,AP44)</x:f>
        <x:v>0</x:v>
      </x:c>
      <x:c r="AQ80" s="45" t="n">
        <x:f>SUM(AQ11,AQ22,AQ33,AQ44)</x:f>
        <x:v>0</x:v>
      </x:c>
    </x:row>
    <x:row r="81" ht="21" customHeight="1">
      <x:c r="A81" s="2"/>
      <x:c r="B81" s="2"/>
      <x:c r="C81" s="2" t="str">
        <x:v>Available days</x:v>
      </x:c>
      <x:c r="D81" s="2"/>
      <x:c r="E81" s="45" t="n">
        <x:f>SUM(E12,E23,E34,E45)</x:f>
        <x:v>3396.8</x:v>
      </x:c>
      <x:c r="F81" s="45" t="n">
        <x:f>SUM(F12,F23,F34,F45)</x:f>
        <x:v>3821.4</x:v>
      </x:c>
      <x:c r="G81" s="45" t="n">
        <x:f>SUM(G12,G23,G34,G45)</x:f>
        <x:v>3863.8599999999997</x:v>
      </x:c>
      <x:c r="H81" s="45" t="n">
        <x:f>SUM(H12,H23,H34,H45)</x:f>
        <x:v>3906.32</x:v>
      </x:c>
      <x:c r="I81" s="45" t="n">
        <x:f>SUM(I12,I23,I34,I45)</x:f>
        <x:v>3906.32</x:v>
      </x:c>
      <x:c r="J81" s="45" t="n">
        <x:f>SUM(J12,J23,J34,J45)</x:f>
        <x:v>3863.8599999999997</x:v>
      </x:c>
      <x:c r="K81" s="45" t="n">
        <x:f>SUM(K12,K23,K34,K45)</x:f>
        <x:v>3863.8599999999997</x:v>
      </x:c>
      <x:c r="L81" s="45" t="n">
        <x:f>SUM(L12,L23,L34,L45)</x:f>
        <x:v>3906.32</x:v>
      </x:c>
      <x:c r="M81" s="45" t="n">
        <x:f>SUM(M12,M23,M34,M45)</x:f>
        <x:v>3906.32</x:v>
      </x:c>
      <x:c r="N81" s="45" t="n">
        <x:f>SUM(N12,N23,N34,N45)</x:f>
        <x:v>3821.4</x:v>
      </x:c>
      <x:c r="O81" s="45" t="n">
        <x:f>SUM(O12,O23,O34,O45)</x:f>
        <x:v>3863.8599999999997</x:v>
      </x:c>
      <x:c r="P81" s="45" t="n">
        <x:f>SUM(P12,P23,P34,P45)</x:f>
        <x:v>3906.32</x:v>
      </x:c>
      <x:c r="Q81" s="45" t="n">
        <x:f>SUM(Q12,Q23,Q34,Q45)</x:f>
        <x:v>15497.9</x:v>
      </x:c>
      <x:c r="R81" s="45" t="n">
        <x:f>SUM(R12,R23,R34,R45)</x:f>
        <x:v>15497.9</x:v>
      </x:c>
      <x:c r="S81" s="45" t="n">
        <x:f>SUM(S12,S23,S34,S45)</x:f>
        <x:v>15096.46</x:v>
      </x:c>
      <x:c r="T81" s="45" t="n">
        <x:f>SUM(T12,T23,T34,T45)</x:f>
        <x:v>13647.994999999999</x:v>
      </x:c>
      <x:c r="U81" s="45" t="n">
        <x:f>SUM(U12,U23,U34,U45)</x:f>
        <x:v>13118.21</x:v>
      </x:c>
      <x:c r="V81" s="45" t="n">
        <x:f>SUM(V12,V23,V34,V45)</x:f>
        <x:v>11795.194999999998</x:v>
      </x:c>
      <x:c r="W81" s="45" t="n">
        <x:f>SUM(W12,W23,W34,W45)</x:f>
        <x:v>10064.949999999999</x:v>
      </x:c>
      <x:c r="X81" s="45" t="n">
        <x:f>SUM(X12,X23,X34,X45)</x:f>
        <x:v>9421.295</x:v>
      </x:c>
      <x:c r="Y81" s="45" t="n">
        <x:f>SUM(Y12,Y23,Y34,Y45)</x:f>
        <x:v>9157.85</x:v>
      </x:c>
      <x:c r="Z81" s="45" t="n">
        <x:f>SUM(Z12,Z23,Z34,Z45)</x:f>
        <x:v>8802.73</x:v>
      </x:c>
      <x:c r="AA81" s="45" t="n">
        <x:f>SUM(AA12,AA23,AA34,AA45)</x:f>
        <x:v>7148.72</x:v>
      </x:c>
      <x:c r="AB81" s="45" t="n">
        <x:f>SUM(AB12,AB23,AB34,AB45)</x:f>
        <x:v>4661.915</x:v>
      </x:c>
      <x:c r="AC81" s="45" t="n">
        <x:f>SUM(AC12,AC23,AC34,AC45)</x:f>
        <x:v>2640.24</x:v>
      </x:c>
      <x:c r="AD81" s="45" t="n">
        <x:f>SUM(AD12,AD23,AD34,AD45)</x:f>
        <x:v>2113.35</x:v>
      </x:c>
      <x:c r="AE81" s="45" t="n">
        <x:f>SUM(AE12,AE23,AE34,AE45)</x:f>
        <x:v>2030.3600000000001</x:v>
      </x:c>
      <x:c r="AF81" s="45" t="n">
        <x:f>SUM(AF12,AF23,AF34,AF45)</x:f>
        <x:v>1494.7849999999999</x:v>
      </x:c>
      <x:c r="AG81" s="45" t="n">
        <x:f>SUM(AG12,AG23,AG34,AG45)</x:f>
        <x:v>704.4499999999999</x:v>
      </x:c>
      <x:c r="AH81" s="45" t="n">
        <x:f>SUM(AH12,AH23,AH34,AH45)</x:f>
        <x:v>526.89</x:v>
      </x:c>
      <x:c r="AI81" s="45" t="n">
        <x:f>SUM(AI12,AI23,AI34,AI45)</x:f>
        <x:v>0</x:v>
      </x:c>
      <x:c r="AJ81" s="45" t="n">
        <x:f>SUM(AJ12,AJ23,AJ34,AJ45)</x:f>
        <x:v>0</x:v>
      </x:c>
      <x:c r="AK81" s="45" t="n">
        <x:f>SUM(AK12,AK23,AK34,AK45)</x:f>
        <x:v>0</x:v>
      </x:c>
      <x:c r="AL81" s="45" t="n">
        <x:f>SUM(AL12,AL23,AL34,AL45)</x:f>
        <x:v>0</x:v>
      </x:c>
      <x:c r="AM81" s="45" t="n">
        <x:f>SUM(AM12,AM23,AM34,AM45)</x:f>
        <x:v>0</x:v>
      </x:c>
      <x:c r="AN81" s="45" t="n">
        <x:f>SUM(AN12,AN23,AN34,AN45)</x:f>
        <x:v>0</x:v>
      </x:c>
      <x:c r="AO81" s="45" t="n">
        <x:f>SUM(AO12,AO23,AO34,AO45)</x:f>
        <x:v>0</x:v>
      </x:c>
      <x:c r="AP81" s="45" t="n">
        <x:f>SUM(AP12,AP23,AP34,AP45)</x:f>
        <x:v>0</x:v>
      </x:c>
      <x:c r="AQ81" s="45" t="n">
        <x:f>SUM(AQ12,AQ23,AQ34,AQ45)</x:f>
        <x:v>0</x:v>
      </x:c>
    </x:row>
    <x:row r="82" ht="21" customHeight="1">
      <x:c r="A82" s="2"/>
      <x:c r="B82" s="2"/>
      <x:c r="C82" s="2" t="str">
        <x:v>TCE cash revenue</x:v>
      </x:c>
      <x:c r="D82" s="2"/>
      <x:c r="E82" s="39" t="n">
        <x:f>SUM(E16,E27,E38,E49)</x:f>
        <x:v>68193756.1277872</x:v>
      </x:c>
      <x:c r="F82" s="39" t="n">
        <x:f>SUM(F16,F27,F38,F49)</x:f>
        <x:v>77072583.03558296</x:v>
      </x:c>
      <x:c r="G82" s="39" t="n">
        <x:f>SUM(G16,G27,G38,G49)</x:f>
        <x:v>78312514.46436916</x:v>
      </x:c>
      <x:c r="H82" s="39" t="n">
        <x:f>SUM(H16,H27,H38,H49)</x:f>
        <x:v>79567101.37873249</x:v>
      </x:c>
      <x:c r="I82" s="39" t="n">
        <x:f>SUM(I16,I27,I38,I49)</x:f>
        <x:v>79965241.20421281</x:v>
      </x:c>
      <x:c r="J82" s="39" t="n">
        <x:f>SUM(J16,J27,J38,J49)</x:f>
        <x:v>79489680.24900171</x:v>
      </x:c>
      <x:c r="K82" s="39" t="n">
        <x:f>SUM(K16,K27,K38,K49)</x:f>
        <x:v>79883098.59562266</x:v>
      </x:c>
      <x:c r="L82" s="39" t="n">
        <x:f>SUM(L16,L27,L38,L49)</x:f>
        <x:v>81162846.67755231</x:v>
      </x:c>
      <x:c r="M82" s="39" t="n">
        <x:f>SUM(M16,M27,M38,M49)</x:f>
        <x:v>81568971.33273959</x:v>
      </x:c>
      <x:c r="N82" s="39" t="n">
        <x:f>SUM(N16,N27,N38,N49)</x:f>
        <x:v>80190665.91842183</x:v>
      </x:c>
      <x:c r="O82" s="39" t="n">
        <x:f>SUM(O16,O27,O38,O49)</x:f>
        <x:v>81480760.56753512</x:v>
      </x:c>
      <x:c r="P82" s="39" t="n">
        <x:f>SUM(P16,P27,P38,P49)</x:f>
        <x:v>82786103.61110337</x:v>
      </x:c>
      <x:c r="Q82" s="39" t="n">
        <x:f>SUM(Q16,Q27,Q38,Q49)</x:f>
        <x:v>332541937.6060333</x:v>
      </x:c>
      <x:c r="R82" s="39" t="n">
        <x:f>SUM(R16,R27,R38,R49)</x:f>
        <x:v>339192776.35815406</x:v>
      </x:c>
      <x:c r="S82" s="39" t="n">
        <x:f>SUM(S16,S27,S38,S49)</x:f>
        <x:v>335906843.88065666</x:v>
      </x:c>
      <x:c r="T82" s="39" t="n">
        <x:f>SUM(T16,T27,T38,T49)</x:f>
        <x:v>305868218.50329435</x:v>
      </x:c>
      <x:c r="U82" s="39" t="n">
        <x:f>SUM(U16,U27,U38,U49)</x:f>
        <x:v>299882960.835335</x:v>
      </x:c>
      <x:c r="V82" s="39" t="n">
        <x:f>SUM(V16,V27,V38,V49)</x:f>
        <x:v>279909861.4246179</x:v>
      </x:c>
      <x:c r="W82" s="39" t="n">
        <x:f>SUM(W16,W27,W38,W49)</x:f>
        <x:v>247080688.45327583</x:v>
      </x:c>
      <x:c r="X82" s="39" t="n">
        <x:f>SUM(X16,X27,X38,X49)</x:f>
        <x:v>235917731.82806712</x:v>
      </x:c>
      <x:c r="Y82" s="39" t="n">
        <x:f>SUM(Y16,Y27,Y38,Y49)</x:f>
        <x:v>232700063.80130786</x:v>
      </x:c>
      <x:c r="Z82" s="39" t="n">
        <x:f>SUM(Z16,Z27,Z38,Z49)</x:f>
        <x:v>229511356.08708757</x:v>
      </x:c>
      <x:c r="AA82" s="39" t="n">
        <x:f>SUM(AA16,AA27,AA38,AA49)</x:f>
        <x:v>195381020.59260574</x:v>
      </x:c>
      <x:c r="AB82" s="39" t="n">
        <x:f>SUM(AB16,AB27,AB38,AB49)</x:f>
        <x:v>133323015.52400337</x:v>
      </x:c>
      <x:c r="AC82" s="39" t="n">
        <x:f>SUM(AC16,AC27,AC38,AC49)</x:f>
        <x:v>76525424.90013377</x:v>
      </x:c>
      <x:c r="AD82" s="39" t="n">
        <x:f>SUM(AD16,AD27,AD38,AD49)</x:f>
        <x:v>65459860.25994836</x:v>
      </x:c>
      <x:c r="AE82" s="39" t="n">
        <x:f>SUM(AE16,AE27,AE38,AE49)</x:f>
        <x:v>63941736.82415952</x:v>
      </x:c>
      <x:c r="AF82" s="39" t="n">
        <x:f>SUM(AF16,AF27,AF38,AF49)</x:f>
        <x:v>46240728.578073785</x:v>
      </x:c>
      <x:c r="AG82" s="39" t="n">
        <x:f>SUM(AG16,AG27,AG38,AG49)</x:f>
        <x:v>17872671.310234085</x:v>
      </x:c>
      <x:c r="AH82" s="39" t="n">
        <x:f>SUM(AH16,AH27,AH38,AH49)</x:f>
        <x:v>13635134.391911736</x:v>
      </x:c>
      <x:c r="AI82" s="39" t="n">
        <x:f>SUM(AI16,AI27,AI38,AI49)</x:f>
        <x:v>0</x:v>
      </x:c>
      <x:c r="AJ82" s="39" t="n">
        <x:f>SUM(AJ16,AJ27,AJ38,AJ49)</x:f>
        <x:v>0</x:v>
      </x:c>
      <x:c r="AK82" s="39" t="n">
        <x:f>SUM(AK16,AK27,AK38,AK49)</x:f>
        <x:v>0</x:v>
      </x:c>
      <x:c r="AL82" s="39" t="n">
        <x:f>SUM(AL16,AL27,AL38,AL49)</x:f>
        <x:v>0</x:v>
      </x:c>
      <x:c r="AM82" s="39" t="n">
        <x:f>SUM(AM16,AM27,AM38,AM49)</x:f>
        <x:v>0</x:v>
      </x:c>
      <x:c r="AN82" s="39" t="n">
        <x:f>SUM(AN16,AN27,AN38,AN49)</x:f>
        <x:v>0</x:v>
      </x:c>
      <x:c r="AO82" s="39" t="n">
        <x:f>SUM(AO16,AO27,AO38,AO49)</x:f>
        <x:v>0</x:v>
      </x:c>
      <x:c r="AP82" s="39" t="n">
        <x:f>SUM(AP16,AP27,AP38,AP49)</x:f>
        <x:v>0</x:v>
      </x:c>
      <x:c r="AQ82" s="39" t="n">
        <x:f>SUM(AQ16,AQ27,AQ38,AQ49)</x:f>
        <x:v>0</x:v>
      </x:c>
    </x:row>
    <x:row r="83" ht="21" customHeight="1">
      <x:c r="A83" s="2"/>
      <x:c r="B83" s="2"/>
      <x:c r="C83" s="2" t="str">
        <x:v>Vessel operating cost</x:v>
      </x:c>
      <x:c r="D83" s="2"/>
      <x:c r="E83" s="39" t="n">
        <x:f>SUM(E17,E28,E39,E50)</x:f>
        <x:v>23988651.866183136</x:v>
      </x:c>
      <x:c r="F83" s="39" t="n">
        <x:f>SUM(F17,F28,F39,F50)</x:f>
        <x:v>27111974.28989728</x:v>
      </x:c>
      <x:c r="G83" s="39" t="n">
        <x:f>SUM(G17,G28,G39,G50)</x:f>
        <x:v>27548147.41001921</x:v>
      </x:c>
      <x:c r="H83" s="39" t="n">
        <x:f>SUM(H17,H28,H39,H50)</x:f>
        <x:v>27989475.919159178</x:v>
      </x:c>
      <x:c r="I83" s="39" t="n">
        <x:f>SUM(I17,I28,I39,I50)</x:f>
        <x:v>28129530.349503413</x:v>
      </x:c>
      <x:c r="J83" s="39" t="n">
        <x:f>SUM(J17,J28,J39,J50)</x:f>
        <x:v>27962241.335912026</x:v>
      </x:c>
      <x:c r="K83" s="39" t="n">
        <x:f>SUM(K17,K28,K39,K50)</x:f>
        <x:v>28100634.882341333</x:v>
      </x:c>
      <x:c r="L83" s="39" t="n">
        <x:f>SUM(L17,L28,L39,L50)</x:f>
        <x:v>28550814.384938292</x:v>
      </x:c>
      <x:c r="M83" s="39" t="n">
        <x:f>SUM(M17,M28,M39,M50)</x:f>
        <x:v>28693677.65455062</x:v>
      </x:c>
      <x:c r="N83" s="39" t="n">
        <x:f>SUM(N17,N28,N39,N50)</x:f>
        <x:v>28208828.445080675</x:v>
      </x:c>
      <x:c r="O83" s="39" t="n">
        <x:f>SUM(O17,O28,O39,O50)</x:f>
        <x:v>28662647.579988163</x:v>
      </x:c>
      <x:c r="P83" s="39" t="n">
        <x:f>SUM(P17,P28,P39,P50)</x:f>
        <x:v>29121830.672637064</x:v>
      </x:c>
      <x:c r="Q83" s="39" t="n">
        <x:f>SUM(Q17,Q28,Q39,Q50)</x:f>
        <x:v>116978932.16482627</x:v>
      </x:c>
      <x:c r="R83" s="39" t="n">
        <x:f>SUM(R17,R28,R39,R50)</x:f>
        <x:v>119318510.80812281</x:v>
      </x:c>
      <x:c r="S83" s="39" t="n">
        <x:f>SUM(S17,S28,S39,S50)</x:f>
        <x:v>118555592.01194476</x:v>
      </x:c>
      <x:c r="T83" s="39" t="n">
        <x:f>SUM(T17,T28,T39,T50)</x:f>
        <x:v>109327075.39074612</x:v>
      </x:c>
      <x:c r="U83" s="39" t="n">
        <x:f>SUM(U17,U28,U39,U50)</x:f>
        <x:v>107184904.76695459</x:v>
      </x:c>
      <x:c r="V83" s="39" t="n">
        <x:f>SUM(V17,V28,V39,V50)</x:f>
        <x:v>98302450.55067056</x:v>
      </x:c>
      <x:c r="W83" s="39" t="n">
        <x:f>SUM(W17,W28,W39,W50)</x:f>
        <x:v>85562367.67761512</x:v>
      </x:c>
      <x:c r="X83" s="39" t="n">
        <x:f>SUM(X17,X28,X39,X50)</x:f>
        <x:v>81694670.89061327</x:v>
      </x:c>
      <x:c r="Y83" s="39" t="n">
        <x:f>SUM(Y17,Y28,Y39,Y50)</x:f>
        <x:v>80998471.29846957</x:v>
      </x:c>
      <x:c r="Z83" s="39" t="n">
        <x:f>SUM(Z17,Z28,Z39,Z50)</x:f>
        <x:v>79414690.86283797</x:v>
      </x:c>
      <x:c r="AA83" s="39" t="n">
        <x:f>SUM(AA17,AA28,AA39,AA50)</x:f>
        <x:v>65784519.7067347</x:v>
      </x:c>
      <x:c r="AB83" s="39" t="n">
        <x:f>SUM(AB17,AB28,AB39,AB50)</x:f>
        <x:v>43759436.905833215</x:v>
      </x:c>
      <x:c r="AC83" s="39" t="n">
        <x:f>SUM(AC17,AC28,AC39,AC50)</x:f>
        <x:v>25278479.76854624</x:v>
      </x:c>
      <x:c r="AD83" s="39" t="n">
        <x:f>SUM(AD17,AD28,AD39,AD50)</x:f>
        <x:v>20638548.284714393</x:v>
      </x:c>
      <x:c r="AE83" s="39" t="n">
        <x:f>SUM(AE17,AE28,AE39,AE50)</x:f>
        <x:v>20225195.0787961</x:v>
      </x:c>
      <x:c r="AF83" s="39" t="n">
        <x:f>SUM(AF17,AF28,AF39,AF50)</x:f>
        <x:v>15188341.531829972</x:v>
      </x:c>
      <x:c r="AG83" s="39" t="n">
        <x:f>SUM(AG17,AG28,AG39,AG50)</x:f>
        <x:v>7300993.6117499005</x:v>
      </x:c>
      <x:c r="AH83" s="39" t="n">
        <x:f>SUM(AH17,AH28,AH39,AH50)</x:f>
        <x:v>5569958.030487335</x:v>
      </x:c>
      <x:c r="AI83" s="39" t="n">
        <x:f>SUM(AI17,AI28,AI39,AI50)</x:f>
        <x:v>0</x:v>
      </x:c>
      <x:c r="AJ83" s="39" t="n">
        <x:f>SUM(AJ17,AJ28,AJ39,AJ50)</x:f>
        <x:v>0</x:v>
      </x:c>
      <x:c r="AK83" s="39" t="n">
        <x:f>SUM(AK17,AK28,AK39,AK50)</x:f>
        <x:v>0</x:v>
      </x:c>
      <x:c r="AL83" s="39" t="n">
        <x:f>SUM(AL17,AL28,AL39,AL50)</x:f>
        <x:v>0</x:v>
      </x:c>
      <x:c r="AM83" s="39" t="n">
        <x:f>SUM(AM17,AM28,AM39,AM50)</x:f>
        <x:v>0</x:v>
      </x:c>
      <x:c r="AN83" s="39" t="n">
        <x:f>SUM(AN17,AN28,AN39,AN50)</x:f>
        <x:v>0</x:v>
      </x:c>
      <x:c r="AO83" s="39" t="n">
        <x:f>SUM(AO17,AO28,AO39,AO50)</x:f>
        <x:v>0</x:v>
      </x:c>
      <x:c r="AP83" s="39" t="n">
        <x:f>SUM(AP17,AP28,AP39,AP50)</x:f>
        <x:v>0</x:v>
      </x:c>
      <x:c r="AQ83" s="39" t="n">
        <x:f>SUM(AQ17,AQ28,AQ39,AQ50)</x:f>
        <x:v>0</x:v>
      </x:c>
    </x:row>
    <x:row r="84" ht="21" customHeight="1">
      <x:c r="A84" s="2"/>
      <x:c r="B84" s="2"/>
      <x:c r="C84" s="2" t="str">
        <x:v>Management fees</x:v>
      </x:c>
      <x:c r="D84" s="2"/>
      <x:c r="E84" s="39" t="n">
        <x:f>SUM(E18,E29,E40,E51)</x:f>
        <x:v>829019.5865519171</x:v>
      </x:c>
      <x:c r="F84" s="39" t="n">
        <x:f>SUM(F18,F29,F40,F51)</x:f>
        <x:v>936957.9350185089</x:v>
      </x:c>
      <x:c r="G84" s="39" t="n">
        <x:f>SUM(G18,G29,G40,G51)</x:f>
        <x:v>952031.5649050759</x:v>
      </x:c>
      <x:c r="H84" s="39" t="n">
        <x:f>SUM(H18,H29,H40,H51)</x:f>
        <x:v>967283.3589709421</x:v>
      </x:c>
      <x:c r="I84" s="39" t="n">
        <x:f>SUM(I18,I29,I40,I51)</x:f>
        <x:v>972123.4753137208</x:v>
      </x:c>
      <x:c r="J84" s="39" t="n">
        <x:f>SUM(J18,J29,J40,J51)</x:f>
        <x:v>966342.1638146068</x:v>
      </x:c>
      <x:c r="K84" s="39" t="n">
        <x:f>SUM(K18,K29,K40,K51)</x:f>
        <x:v>971124.8819632666</x:v>
      </x:c>
      <x:c r="L84" s="39" t="n">
        <x:f>SUM(L18,L29,L40,L51)</x:f>
        <x:v>986682.5559500735</x:v>
      </x:c>
      <x:c r="M84" s="39" t="n">
        <x:f>SUM(M18,M29,M40,M51)</x:f>
        <x:v>991619.7424734407</x:v>
      </x:c>
      <x:c r="N84" s="39" t="n">
        <x:f>SUM(N18,N29,N40,N51)</x:f>
        <x:v>974863.9242049939</x:v>
      </x:c>
      <x:c r="O84" s="39" t="n">
        <x:f>SUM(O18,O29,O40,O51)</x:f>
        <x:v>990547.3796025321</x:v>
      </x:c>
      <x:c r="P84" s="39" t="n">
        <x:f>SUM(P18,P29,P40,P51)</x:f>
        <x:v>1006416.2070690749</x:v>
      </x:c>
      <x:c r="Q84" s="39" t="n">
        <x:f>SUM(Q18,Q29,Q40,Q51)</x:f>
        <x:v>4042654.273343261</x:v>
      </x:c>
      <x:c r="R84" s="39" t="n">
        <x:f>SUM(R18,R29,R40,R51)</x:f>
        <x:v>4123507.358810127</x:v>
      </x:c>
      <x:c r="S84" s="39" t="n">
        <x:f>SUM(S18,S29,S40,S51)</x:f>
        <x:v>4097141.7827657377</x:v>
      </x:c>
      <x:c r="T84" s="39" t="n">
        <x:f>SUM(T18,T29,T40,T51)</x:f>
        <x:v>3778215.105415491</x:v>
      </x:c>
      <x:c r="U84" s="39" t="n">
        <x:f>SUM(U18,U29,U40,U51)</x:f>
        <x:v>3704184.208857989</x:v>
      </x:c>
      <x:c r="V84" s="39" t="n">
        <x:f>SUM(V18,V29,V40,V51)</x:f>
        <x:v>3397217.0410893504</x:v>
      </x:c>
      <x:c r="W84" s="39" t="n">
        <x:f>SUM(W18,W29,W40,W51)</x:f>
        <x:v>2956934.7653293465</x:v>
      </x:c>
      <x:c r="X84" s="39" t="n">
        <x:f>SUM(X18,X29,X40,X51)</x:f>
        <x:v>2823271.7146020764</x:v>
      </x:c>
      <x:c r="Y84" s="39" t="n">
        <x:f>SUM(Y18,Y29,Y40,Y51)</x:f>
        <x:v>2799211.875755934</x:v>
      </x:c>
      <x:c r="Z84" s="39" t="n">
        <x:f>SUM(Z18,Z29,Z40,Z51)</x:f>
        <x:v>2744478.287171606</x:v>
      </x:c>
      <x:c r="AA84" s="39" t="n">
        <x:f>SUM(AA18,AA29,AA40,AA51)</x:f>
        <x:v>2273435.607512155</x:v>
      </x:c>
      <x:c r="AB84" s="39" t="n">
        <x:f>SUM(AB18,AB29,AB40,AB51)</x:f>
        <x:v>1512274.6577751182</x:v>
      </x:c>
      <x:c r="AC84" s="39" t="n">
        <x:f>SUM(AC18,AC29,AC40,AC51)</x:f>
        <x:v>873594.521412995</x:v>
      </x:c>
      <x:c r="AD84" s="39" t="n">
        <x:f>SUM(AD18,AD29,AD40,AD51)</x:f>
        <x:v>713243.9480746886</x:v>
      </x:c>
      <x:c r="AE84" s="39" t="n">
        <x:f>SUM(AE18,AE29,AE40,AE51)</x:f>
        <x:v>698958.9475760418</x:v>
      </x:c>
      <x:c r="AF84" s="39" t="n">
        <x:f>SUM(AF18,AF29,AF40,AF51)</x:f>
        <x:v>524891.2147029476</x:v>
      </x:c>
      <x:c r="AG84" s="39" t="n">
        <x:f>SUM(AG18,AG29,AG40,AG51)</x:f>
        <x:v>252313.74981782745</x:v>
      </x:c>
      <x:c r="AH84" s="39" t="n">
        <x:f>SUM(AH18,AH29,AH40,AH51)</x:f>
        <x:v>192491.19664184176</x:v>
      </x:c>
      <x:c r="AI84" s="39" t="n">
        <x:f>SUM(AI18,AI29,AI40,AI51)</x:f>
        <x:v>0</x:v>
      </x:c>
      <x:c r="AJ84" s="39" t="n">
        <x:f>SUM(AJ18,AJ29,AJ40,AJ51)</x:f>
        <x:v>0</x:v>
      </x:c>
      <x:c r="AK84" s="39" t="n">
        <x:f>SUM(AK18,AK29,AK40,AK51)</x:f>
        <x:v>0</x:v>
      </x:c>
      <x:c r="AL84" s="39" t="n">
        <x:f>SUM(AL18,AL29,AL40,AL51)</x:f>
        <x:v>0</x:v>
      </x:c>
      <x:c r="AM84" s="39" t="n">
        <x:f>SUM(AM18,AM29,AM40,AM51)</x:f>
        <x:v>0</x:v>
      </x:c>
      <x:c r="AN84" s="39" t="n">
        <x:f>SUM(AN18,AN29,AN40,AN51)</x:f>
        <x:v>0</x:v>
      </x:c>
      <x:c r="AO84" s="39" t="n">
        <x:f>SUM(AO18,AO29,AO40,AO51)</x:f>
        <x:v>0</x:v>
      </x:c>
      <x:c r="AP84" s="39" t="n">
        <x:f>SUM(AP18,AP29,AP40,AP51)</x:f>
        <x:v>0</x:v>
      </x:c>
      <x:c r="AQ84" s="39" t="n">
        <x:f>SUM(AQ18,AQ29,AQ40,AQ51)</x:f>
        <x:v>0</x:v>
      </x:c>
    </x:row>
    <x:row r="85" ht="21" customHeight="1">
      <x:c r="A85" s="2"/>
      <x:c r="B85" s="2"/>
      <x:c r="C85" s="2" t="str">
        <x:v>Corporate overhead</x:v>
      </x:c>
      <x:c r="D85" s="2"/>
      <x:c r="E85" s="37" t="n">
        <x:f>IF(E80=0,0,'Assumptions'!$D$60*(E$8-E$7+1)/365*('Assumptions'!$D$110+(1-'Assumptions'!$D$110)*E80/((E$8-E$7+1)*44))*(1+'Assumptions'!$D$80)^(((E$7+E$8)/2-46307)/365))</x:f>
        <x:v>5271844.963632657</x:v>
      </x:c>
      <x:c r="F85" s="37" t="n">
        <x:f>IF(F80=0,0,'Assumptions'!$D$60*(F$8-F$7+1)/365*('Assumptions'!$D$110+(1-'Assumptions'!$D$110)*F80/((F$8-F$7+1)*44))*(1+'Assumptions'!$D$80)^(((F$7+F$8)/2-46307)/365))</x:f>
        <x:v>5958239.167071412</x:v>
      </x:c>
      <x:c r="G85" s="37" t="n">
        <x:f>IF(G80=0,0,'Assumptions'!$D$60*(G$8-G$7+1)/365*('Assumptions'!$D$110+(1-'Assumptions'!$D$110)*G80/((G$8-G$7+1)*44))*(1+'Assumptions'!$D$80)^(((G$7+G$8)/2-46307)/365))</x:f>
        <x:v>6054094.3689149255</x:v>
      </x:c>
      <x:c r="H85" s="37" t="n">
        <x:f>IF(H80=0,0,'Assumptions'!$D$60*(H$8-H$7+1)/365*('Assumptions'!$D$110+(1-'Assumptions'!$D$110)*H80/((H$8-H$7+1)*44))*(1+'Assumptions'!$D$80)^(((H$7+H$8)/2-46307)/365))</x:f>
        <x:v>6151082.540288444</x:v>
      </x:c>
      <x:c r="I85" s="37" t="n">
        <x:f>IF(I80=0,0,'Assumptions'!$D$60*(I$8-I$7+1)/365*('Assumptions'!$D$110+(1-'Assumptions'!$D$110)*I80/((I$8-I$7+1)*44))*(1+'Assumptions'!$D$80)^(((I$7+I$8)/2-46307)/365))</x:f>
        <x:v>6181861.478903395</x:v>
      </x:c>
      <x:c r="J85" s="37" t="n">
        <x:f>IF(J80=0,0,'Assumptions'!$D$60*(J$8-J$7+1)/365*('Assumptions'!$D$110+(1-'Assumptions'!$D$110)*J80/((J$8-J$7+1)*44))*(1+'Assumptions'!$D$80)^(((J$7+J$8)/2-46307)/365))</x:f>
        <x:v>6145097.356071795</x:v>
      </x:c>
      <x:c r="K85" s="37" t="n">
        <x:f>IF(K80=0,0,'Assumptions'!$D$60*(K$8-K$7+1)/365*('Assumptions'!$D$110+(1-'Assumptions'!$D$110)*K80/((K$8-K$7+1)*44))*(1+'Assumptions'!$D$80)^(((K$7+K$8)/2-46307)/365))</x:f>
        <x:v>6175511.291995018</x:v>
      </x:c>
      <x:c r="L85" s="37" t="n">
        <x:f>IF(L80=0,0,'Assumptions'!$D$60*(L$8-L$7+1)/365*('Assumptions'!$D$110+(1-'Assumptions'!$D$110)*L80/((L$8-L$7+1)*44))*(1+'Assumptions'!$D$80)^(((L$7+L$8)/2-46307)/365))</x:f>
        <x:v>6274444.594155366</x:v>
      </x:c>
      <x:c r="M85" s="37" t="n">
        <x:f>IF(M80=0,0,'Assumptions'!$D$60*(M$8-M$7+1)/365*('Assumptions'!$D$110+(1-'Assumptions'!$D$110)*M80/((M$8-M$7+1)*44))*(1+'Assumptions'!$D$80)^(((M$7+M$8)/2-46307)/365))</x:f>
        <x:v>6305840.814859854</x:v>
      </x:c>
      <x:c r="N85" s="37" t="n">
        <x:f>IF(N80=0,0,'Assumptions'!$D$60*(N$8-N$7+1)/365*('Assumptions'!$D$110+(1-'Assumptions'!$D$110)*N80/((N$8-N$7+1)*44))*(1+'Assumptions'!$D$80)^(((N$7+N$8)/2-46307)/365))</x:f>
        <x:v>6199288.355083292</x:v>
      </x:c>
      <x:c r="O85" s="37" t="n">
        <x:f>IF(O80=0,0,'Assumptions'!$D$60*(O$8-O$7+1)/365*('Assumptions'!$D$110+(1-'Assumptions'!$D$110)*O80/((O$8-O$7+1)*44))*(1+'Assumptions'!$D$80)^(((O$7+O$8)/2-46307)/365))</x:f>
        <x:v>6299021.5178349195</x:v>
      </x:c>
      <x:c r="P85" s="37" t="n">
        <x:f>IF(P80=0,0,'Assumptions'!$D$60*(P$8-P$7+1)/365*('Assumptions'!$D$110+(1-'Assumptions'!$D$110)*P80/((P$8-P$7+1)*44))*(1+'Assumptions'!$D$80)^(((P$7+P$8)/2-46307)/365))</x:f>
        <x:v>6399933.4860384725</x:v>
      </x:c>
      <x:c r="Q85" s="37" t="n">
        <x:f>IF(Q80=0,0,'Assumptions'!$D$60*(Q$8-Q$7+1)/365*('Assumptions'!$D$110+(1-'Assumptions'!$D$110)*Q80/((Q$8-Q$7+1)*44))*(1+'Assumptions'!$D$80)^(((Q$7+Q$8)/2-46307)/365))</x:f>
        <x:v>25707772.067575917</x:v>
      </x:c>
      <x:c r="R85" s="37" t="n">
        <x:f>IF(R80=0,0,'Assumptions'!$D$60*(R$8-R$7+1)/365*('Assumptions'!$D$110+(1-'Assumptions'!$D$110)*R80/((R$8-R$7+1)*44))*(1+'Assumptions'!$D$80)^(((R$7+R$8)/2-46307)/365))</x:f>
        <x:v>26221927.50892744</x:v>
      </x:c>
      <x:c r="S85" s="37" t="n">
        <x:f>IF(S80=0,0,'Assumptions'!$D$60*(S$8-S$7+1)/365*('Assumptions'!$D$110+(1-'Assumptions'!$D$110)*S80/((S$8-S$7+1)*44))*(1+'Assumptions'!$D$80)^(((S$7+S$8)/2-46307)/365))</x:f>
        <x:v>26245791.827789925</x:v>
      </x:c>
      <x:c r="T85" s="37" t="n">
        <x:f>IF(T80=0,0,'Assumptions'!$D$60*(T$8-T$7+1)/365*('Assumptions'!$D$110+(1-'Assumptions'!$D$110)*T80/((T$8-T$7+1)*44))*(1+'Assumptions'!$D$80)^(((T$7+T$8)/2-46307)/365))</x:f>
        <x:v>24840319.75721916</x:v>
      </x:c>
      <x:c r="U85" s="37" t="n">
        <x:f>IF(U80=0,0,'Assumptions'!$D$60*(U$8-U$7+1)/365*('Assumptions'!$D$110+(1-'Assumptions'!$D$110)*U80/((U$8-U$7+1)*44))*(1+'Assumptions'!$D$80)^(((U$7+U$8)/2-46307)/365))</x:f>
        <x:v>24623654.44361587</x:v>
      </x:c>
      <x:c r="V85" s="37" t="n">
        <x:f>IF(V80=0,0,'Assumptions'!$D$60*(V$8-V$7+1)/365*('Assumptions'!$D$110+(1-'Assumptions'!$D$110)*V80/((V$8-V$7+1)*44))*(1+'Assumptions'!$D$80)^(((V$7+V$8)/2-46307)/365))</x:f>
        <x:v>23298763.038960095</x:v>
      </x:c>
      <x:c r="W85" s="37" t="n">
        <x:f>IF(W80=0,0,'Assumptions'!$D$60*(W$8-W$7+1)/365*('Assumptions'!$D$110+(1-'Assumptions'!$D$110)*W80/((W$8-W$7+1)*44))*(1+'Assumptions'!$D$80)^(((W$7+W$8)/2-46307)/365))</x:f>
        <x:v>21360855.706872933</x:v>
      </x:c>
      <x:c r="X85" s="37" t="n">
        <x:f>IF(X80=0,0,'Assumptions'!$D$60*(X$8-X$7+1)/365*('Assumptions'!$D$110+(1-'Assumptions'!$D$110)*X80/((X$8-X$7+1)*44))*(1+'Assumptions'!$D$80)^(((X$7+X$8)/2-46307)/365))</x:f>
        <x:v>20848506.51799052</x:v>
      </x:c>
      <x:c r="Y85" s="37" t="n">
        <x:f>IF(Y80=0,0,'Assumptions'!$D$60*(Y$8-Y$7+1)/365*('Assumptions'!$D$110+(1-'Assumptions'!$D$110)*Y80/((Y$8-Y$7+1)*44))*(1+'Assumptions'!$D$80)^(((Y$7+Y$8)/2-46307)/365))</x:f>
        <x:v>20881423.518733386</x:v>
      </x:c>
      <x:c r="Z85" s="37" t="n">
        <x:f>IF(Z80=0,0,'Assumptions'!$D$60*(Z$8-Z$7+1)/365*('Assumptions'!$D$110+(1-'Assumptions'!$D$110)*Z80/((Z$8-Z$7+1)*44))*(1+'Assumptions'!$D$80)^(((Z$7+Z$8)/2-46307)/365))</x:f>
        <x:v>20771000.03770506</x:v>
      </x:c>
      <x:c r="AA85" s="37" t="n">
        <x:f>IF(AA80=0,0,'Assumptions'!$D$60*(AA$8-AA$7+1)/365*('Assumptions'!$D$110+(1-'Assumptions'!$D$110)*AA80/((AA$8-AA$7+1)*44))*(1+'Assumptions'!$D$80)^(((AA$7+AA$8)/2-46307)/365))</x:f>
        <x:v>18699745.20938936</x:v>
      </x:c>
      <x:c r="AB85" s="37" t="n">
        <x:f>IF(AB80=0,0,'Assumptions'!$D$60*(AB$8-AB$7+1)/365*('Assumptions'!$D$110+(1-'Assumptions'!$D$110)*AB80/((AB$8-AB$7+1)*44))*(1+'Assumptions'!$D$80)^(((AB$7+AB$8)/2-46307)/365))</x:f>
        <x:v>15204962.17826504</x:v>
      </x:c>
      <x:c r="AC85" s="37" t="n">
        <x:f>IF(AC80=0,0,'Assumptions'!$D$60*(AC$8-AC$7+1)/365*('Assumptions'!$D$110+(1-'Assumptions'!$D$110)*AC80/((AC$8-AC$7+1)*44))*(1+'Assumptions'!$D$80)^(((AC$7+AC$8)/2-46307)/365))</x:f>
        <x:v>12318721.650410067</x:v>
      </x:c>
      <x:c r="AD85" s="37" t="n">
        <x:f>IF(AD80=0,0,'Assumptions'!$D$60*(AD$8-AD$7+1)/365*('Assumptions'!$D$110+(1-'Assumptions'!$D$110)*AD80/((AD$8-AD$7+1)*44))*(1+'Assumptions'!$D$80)^(((AD$7+AD$8)/2-46307)/365))</x:f>
        <x:v>11716998.696545055</x:v>
      </x:c>
      <x:c r="AE85" s="37" t="n">
        <x:f>IF(AE80=0,0,'Assumptions'!$D$60*(AE$8-AE$7+1)/365*('Assumptions'!$D$110+(1-'Assumptions'!$D$110)*AE80/((AE$8-AE$7+1)*44))*(1+'Assumptions'!$D$80)^(((AE$7+AE$8)/2-46307)/365))</x:f>
        <x:v>11838642.291721972</x:v>
      </x:c>
      <x:c r="AF85" s="37" t="n">
        <x:f>IF(AF80=0,0,'Assumptions'!$D$60*(AF$8-AF$7+1)/365*('Assumptions'!$D$110+(1-'Assumptions'!$D$110)*AF80/((AF$8-AF$7+1)*44))*(1+'Assumptions'!$D$80)^(((AF$7+AF$8)/2-46307)/365))</x:f>
        <x:v>11155085.845138341</x:v>
      </x:c>
      <x:c r="AG85" s="37" t="n">
        <x:f>IF(AG80=0,0,'Assumptions'!$D$60*(AG$8-AG$7+1)/365*('Assumptions'!$D$110+(1-'Assumptions'!$D$110)*AG80/((AG$8-AG$7+1)*44))*(1+'Assumptions'!$D$80)^(((AG$7+AG$8)/2-46307)/365))</x:f>
        <x:v>10028102.719237464</x:v>
      </x:c>
      <x:c r="AH85" s="37" t="n">
        <x:f>IF(AH80=0,0,'Assumptions'!$D$60*(AH$8-AH$7+1)/365*('Assumptions'!$D$110+(1-'Assumptions'!$D$110)*AH80/((AH$8-AH$7+1)*44))*(1+'Assumptions'!$D$80)^(((AH$7+AH$8)/2-46307)/365))</x:f>
        <x:v>9919282.693894025</x:v>
      </x:c>
      <x:c r="AI85" s="37" t="n">
        <x:f>IF(AI80=0,0,'Assumptions'!$D$60*(AI$8-AI$7+1)/365*('Assumptions'!$D$110+(1-'Assumptions'!$D$110)*AI80/((AI$8-AI$7+1)*44))*(1+'Assumptions'!$D$80)^(((AI$7+AI$8)/2-46307)/365))</x:f>
        <x:v>0</x:v>
      </x:c>
      <x:c r="AJ85" s="37" t="n">
        <x:f>IF(AJ80=0,0,'Assumptions'!$D$60*(AJ$8-AJ$7+1)/365*('Assumptions'!$D$110+(1-'Assumptions'!$D$110)*AJ80/((AJ$8-AJ$7+1)*44))*(1+'Assumptions'!$D$80)^(((AJ$7+AJ$8)/2-46307)/365))</x:f>
        <x:v>0</x:v>
      </x:c>
      <x:c r="AK85" s="37" t="n">
        <x:f>IF(AK80=0,0,'Assumptions'!$D$60*(AK$8-AK$7+1)/365*('Assumptions'!$D$110+(1-'Assumptions'!$D$110)*AK80/((AK$8-AK$7+1)*44))*(1+'Assumptions'!$D$80)^(((AK$7+AK$8)/2-46307)/365))</x:f>
        <x:v>0</x:v>
      </x:c>
      <x:c r="AL85" s="37" t="n">
        <x:f>IF(AL80=0,0,'Assumptions'!$D$60*(AL$8-AL$7+1)/365*('Assumptions'!$D$110+(1-'Assumptions'!$D$110)*AL80/((AL$8-AL$7+1)*44))*(1+'Assumptions'!$D$80)^(((AL$7+AL$8)/2-46307)/365))</x:f>
        <x:v>0</x:v>
      </x:c>
      <x:c r="AM85" s="37" t="n">
        <x:f>IF(AM80=0,0,'Assumptions'!$D$60*(AM$8-AM$7+1)/365*('Assumptions'!$D$110+(1-'Assumptions'!$D$110)*AM80/((AM$8-AM$7+1)*44))*(1+'Assumptions'!$D$80)^(((AM$7+AM$8)/2-46307)/365))</x:f>
        <x:v>0</x:v>
      </x:c>
      <x:c r="AN85" s="37" t="n">
        <x:f>IF(AN80=0,0,'Assumptions'!$D$60*(AN$8-AN$7+1)/365*('Assumptions'!$D$110+(1-'Assumptions'!$D$110)*AN80/((AN$8-AN$7+1)*44))*(1+'Assumptions'!$D$80)^(((AN$7+AN$8)/2-46307)/365))</x:f>
        <x:v>0</x:v>
      </x:c>
      <x:c r="AO85" s="37" t="n">
        <x:f>IF(AO80=0,0,'Assumptions'!$D$60*(AO$8-AO$7+1)/365*('Assumptions'!$D$110+(1-'Assumptions'!$D$110)*AO80/((AO$8-AO$7+1)*44))*(1+'Assumptions'!$D$80)^(((AO$7+AO$8)/2-46307)/365))</x:f>
        <x:v>0</x:v>
      </x:c>
      <x:c r="AP85" s="37" t="n">
        <x:f>IF(AP80=0,0,'Assumptions'!$D$60*(AP$8-AP$7+1)/365*('Assumptions'!$D$110+(1-'Assumptions'!$D$110)*AP80/((AP$8-AP$7+1)*44))*(1+'Assumptions'!$D$80)^(((AP$7+AP$8)/2-46307)/365))</x:f>
        <x:v>0</x:v>
      </x:c>
      <x:c r="AQ85" s="37" t="n">
        <x:f>IF(AQ80=0,0,'Assumptions'!$D$60*(AQ$8-AQ$7+1)/365*('Assumptions'!$D$110+(1-'Assumptions'!$D$110)*AQ80/((AQ$8-AQ$7+1)*44))*(1+'Assumptions'!$D$80)^(((AQ$7+AQ$8)/2-46307)/365))</x:f>
        <x:v>0</x:v>
      </x:c>
    </x:row>
    <x:row r="86" ht="21" customHeight="1">
      <x:c r="A86" s="2"/>
      <x:c r="B86" s="2"/>
      <x:c r="C86" s="2" t="str">
        <x:v>Drydock cash budget</x:v>
      </x:c>
      <x:c r="D86" s="2"/>
      <x:c r="E86" s="39" t="n">
        <x:f>SUM(E19,E30,E41,E52)</x:f>
        <x:v>5799029.459995922</x:v>
      </x:c>
      <x:c r="F86" s="39" t="n">
        <x:f>SUM(F19,F30,F41,F52)</x:f>
        <x:v>6554063.083778552</x:v>
      </x:c>
      <x:c r="G86" s="39" t="n">
        <x:f>SUM(G19,G30,G41,G52)</x:f>
        <x:v>6659503.805806418</x:v>
      </x:c>
      <x:c r="H86" s="39" t="n">
        <x:f>SUM(H19,H30,H41,H52)</x:f>
        <x:v>6766190.794317287</x:v>
      </x:c>
      <x:c r="I86" s="39" t="n">
        <x:f>SUM(I19,I30,I41,I52)</x:f>
        <x:v>6800047.626793735</x:v>
      </x:c>
      <x:c r="J86" s="39" t="n">
        <x:f>SUM(J19,J30,J41,J52)</x:f>
        <x:v>6759607.091678975</x:v>
      </x:c>
      <x:c r="K86" s="39" t="n">
        <x:f>SUM(K19,K30,K41,K52)</x:f>
        <x:v>6793062.421194521</x:v>
      </x:c>
      <x:c r="L86" s="39" t="n">
        <x:f>SUM(L19,L30,L41,L52)</x:f>
        <x:v>6901889.053570902</x:v>
      </x:c>
      <x:c r="M86" s="39" t="n">
        <x:f>SUM(M19,M30,M41,M52)</x:f>
        <x:v>6936424.89634584</x:v>
      </x:c>
      <x:c r="N86" s="39" t="n">
        <x:f>SUM(N19,N30,N41,N52)</x:f>
        <x:v>6819217.19059162</x:v>
      </x:c>
      <x:c r="O86" s="39" t="n">
        <x:f>SUM(O19,O30,O41,O52)</x:f>
        <x:v>6928923.669618412</x:v>
      </x:c>
      <x:c r="P86" s="39" t="n">
        <x:f>SUM(P19,P30,P41,P52)</x:f>
        <x:v>7039926.834642321</x:v>
      </x:c>
      <x:c r="Q86" s="39" t="n">
        <x:f>SUM(Q19,Q30,Q41,Q52)</x:f>
        <x:v>28278549.274333507</x:v>
      </x:c>
      <x:c r="R86" s="39" t="n">
        <x:f>SUM(R19,R30,R41,R52)</x:f>
        <x:v>28844120.259820182</x:v>
      </x:c>
      <x:c r="S86" s="39" t="n">
        <x:f>SUM(S19,S30,S41,S52)</x:f>
        <x:v>28659691.864289626</x:v>
      </x:c>
      <x:c r="T86" s="39" t="n">
        <x:f>SUM(T19,T30,T41,T52)</x:f>
        <x:v>26428785.348286733</x:v>
      </x:c>
      <x:c r="U86" s="39" t="n">
        <x:f>SUM(U19,U30,U41,U52)</x:f>
        <x:v>25910935.88242254</x:v>
      </x:c>
      <x:c r="V86" s="39" t="n">
        <x:f>SUM(V19,V30,V41,V52)</x:f>
        <x:v>23763686.67622979</x:v>
      </x:c>
      <x:c r="W86" s="39" t="n">
        <x:f>SUM(W19,W30,W41,W52)</x:f>
        <x:v>20683892.26694967</x:v>
      </x:c>
      <x:c r="X86" s="39" t="n">
        <x:f>SUM(X19,X30,X41,X52)</x:f>
        <x:v>19748913.18870587</x:v>
      </x:c>
      <x:c r="Y86" s="39" t="n">
        <x:f>SUM(Y19,Y30,Y41,Y52)</x:f>
        <x:v>19580613.529041797</x:v>
      </x:c>
      <x:c r="Z86" s="39" t="n">
        <x:f>SUM(Z19,Z30,Z41,Z52)</x:f>
        <x:v>19197749.604231577</x:v>
      </x:c>
      <x:c r="AA86" s="39" t="n">
        <x:f>SUM(AA19,AA30,AA41,AA52)</x:f>
        <x:v>15902784.780032562</x:v>
      </x:c>
      <x:c r="AB86" s="39" t="n">
        <x:f>SUM(AB19,AB30,AB41,AB52)</x:f>
        <x:v>10578429.55016113</x:v>
      </x:c>
      <x:c r="AC86" s="39" t="n">
        <x:f>SUM(AC19,AC30,AC41,AC52)</x:f>
        <x:v>6110833.143081281</x:v>
      </x:c>
      <x:c r="AD86" s="39" t="n">
        <x:f>SUM(AD19,AD30,AD41,AD52)</x:f>
        <x:v>4989173.638528863</x:v>
      </x:c>
      <x:c r="AE86" s="39" t="n">
        <x:f>SUM(AE19,AE30,AE41,AE52)</x:f>
        <x:v>4889249.4146968825</x:v>
      </x:c>
      <x:c r="AF86" s="39" t="n">
        <x:f>SUM(AF19,AF30,AF41,AF52)</x:f>
        <x:v>3671637.7595076486</x:v>
      </x:c>
      <x:c r="AG86" s="39" t="n">
        <x:f>SUM(AG19,AG30,AG41,AG52)</x:f>
        <x:v>1764946.078585794</x:v>
      </x:c>
      <x:c r="AH86" s="39" t="n">
        <x:f>SUM(AH19,AH30,AH41,AH52)</x:f>
        <x:v>1346484.616556165</x:v>
      </x:c>
      <x:c r="AI86" s="39" t="n">
        <x:f>SUM(AI19,AI30,AI41,AI52)</x:f>
        <x:v>0</x:v>
      </x:c>
      <x:c r="AJ86" s="39" t="n">
        <x:f>SUM(AJ19,AJ30,AJ41,AJ52)</x:f>
        <x:v>0</x:v>
      </x:c>
      <x:c r="AK86" s="39" t="n">
        <x:f>SUM(AK19,AK30,AK41,AK52)</x:f>
        <x:v>0</x:v>
      </x:c>
      <x:c r="AL86" s="39" t="n">
        <x:f>SUM(AL19,AL30,AL41,AL52)</x:f>
        <x:v>0</x:v>
      </x:c>
      <x:c r="AM86" s="39" t="n">
        <x:f>SUM(AM19,AM30,AM41,AM52)</x:f>
        <x:v>0</x:v>
      </x:c>
      <x:c r="AN86" s="39" t="n">
        <x:f>SUM(AN19,AN30,AN41,AN52)</x:f>
        <x:v>0</x:v>
      </x:c>
      <x:c r="AO86" s="39" t="n">
        <x:f>SUM(AO19,AO30,AO41,AO52)</x:f>
        <x:v>0</x:v>
      </x:c>
      <x:c r="AP86" s="39" t="n">
        <x:f>SUM(AP19,AP30,AP41,AP52)</x:f>
        <x:v>0</x:v>
      </x:c>
      <x:c r="AQ86" s="39" t="n">
        <x:f>SUM(AQ19,AQ30,AQ41,AQ52)</x:f>
        <x:v>0</x:v>
      </x:c>
    </x:row>
    <x:row r="87" ht="21" customHeight="1">
      <x:c r="A87" s="2"/>
      <x:c r="B87" s="2"/>
      <x:c r="C87" s="2" t="str">
        <x:v>Operating cash before tax and capex</x:v>
      </x:c>
      <x:c r="D87" s="2"/>
      <x:c r="E87" s="39" t="n">
        <x:f>E82-SUM(E83:E86)</x:f>
        <x:v>32305210.251423568</x:v>
      </x:c>
      <x:c r="F87" s="39" t="n">
        <x:f>F82-SUM(F83:F86)</x:f>
        <x:v>36511348.5598172</x:v>
      </x:c>
      <x:c r="G87" s="39" t="n">
        <x:f>G82-SUM(G83:G86)</x:f>
        <x:v>37098737.31472353</x:v>
      </x:c>
      <x:c r="H87" s="39" t="n">
        <x:f>H82-SUM(H83:H86)</x:f>
        <x:v>37693068.765996635</x:v>
      </x:c>
      <x:c r="I87" s="39" t="n">
        <x:f>I82-SUM(I83:I86)</x:f>
        <x:v>37881678.27369855</x:v>
      </x:c>
      <x:c r="J87" s="39" t="n">
        <x:f>J82-SUM(J83:J86)</x:f>
        <x:v>37656392.301524304</x:v>
      </x:c>
      <x:c r="K87" s="39" t="n">
        <x:f>K82-SUM(K83:K86)</x:f>
        <x:v>37842765.118128516</x:v>
      </x:c>
      <x:c r="L87" s="39" t="n">
        <x:f>L82-SUM(L83:L86)</x:f>
        <x:v>38449016.08893768</x:v>
      </x:c>
      <x:c r="M87" s="39" t="n">
        <x:f>M82-SUM(M83:M86)</x:f>
        <x:v>38641408.224509835</x:v>
      </x:c>
      <x:c r="N87" s="39" t="n">
        <x:f>N82-SUM(N83:N86)</x:f>
        <x:v>37988468.00346126</x:v>
      </x:c>
      <x:c r="O87" s="39" t="n">
        <x:f>O82-SUM(O83:O86)</x:f>
        <x:v>38599620.42049109</x:v>
      </x:c>
      <x:c r="P87" s="39" t="n">
        <x:f>P82-SUM(P83:P86)</x:f>
        <x:v>39217996.41071644</x:v>
      </x:c>
      <x:c r="Q87" s="39" t="n">
        <x:f>Q82-SUM(Q83:Q86)</x:f>
        <x:v>157534029.82595435</x:v>
      </x:c>
      <x:c r="R87" s="39" t="n">
        <x:f>R82-SUM(R83:R86)</x:f>
        <x:v>160684710.4224735</x:v>
      </x:c>
      <x:c r="S87" s="39" t="n">
        <x:f>S82-SUM(S83:S86)</x:f>
        <x:v>158348626.3938666</x:v>
      </x:c>
      <x:c r="T87" s="39" t="n">
        <x:f>T82-SUM(T83:T86)</x:f>
        <x:v>141493822.90162683</x:v>
      </x:c>
      <x:c r="U87" s="39" t="n">
        <x:f>U82-SUM(U83:U86)</x:f>
        <x:v>138459281.53348404</x:v>
      </x:c>
      <x:c r="V87" s="39" t="n">
        <x:f>V82-SUM(V83:V86)</x:f>
        <x:v>131147744.11766809</x:v>
      </x:c>
      <x:c r="W87" s="39" t="n">
        <x:f>W82-SUM(W83:W86)</x:f>
        <x:v>116516638.03650875</x:v>
      </x:c>
      <x:c r="X87" s="39" t="n">
        <x:f>X82-SUM(X83:X86)</x:f>
        <x:v>110802369.51615539</x:v>
      </x:c>
      <x:c r="Y87" s="39" t="n">
        <x:f>Y82-SUM(Y83:Y86)</x:f>
        <x:v>108440343.57930717</x:v>
      </x:c>
      <x:c r="Z87" s="39" t="n">
        <x:f>Z82-SUM(Z83:Z86)</x:f>
        <x:v>107383437.29514135</x:v>
      </x:c>
      <x:c r="AA87" s="39" t="n">
        <x:f>AA82-SUM(AA83:AA86)</x:f>
        <x:v>92720535.28893696</x:v>
      </x:c>
      <x:c r="AB87" s="39" t="n">
        <x:f>AB82-SUM(AB83:AB86)</x:f>
        <x:v>62267912.231968865</x:v>
      </x:c>
      <x:c r="AC87" s="39" t="n">
        <x:f>AC82-SUM(AC83:AC86)</x:f>
        <x:v>31943795.816683188</x:v>
      </x:c>
      <x:c r="AD87" s="39" t="n">
        <x:f>AD82-SUM(AD83:AD86)</x:f>
        <x:v>27401895.692085363</x:v>
      </x:c>
      <x:c r="AE87" s="39" t="n">
        <x:f>AE82-SUM(AE83:AE86)</x:f>
        <x:v>26289691.091368526</x:v>
      </x:c>
      <x:c r="AF87" s="39" t="n">
        <x:f>AF82-SUM(AF83:AF86)</x:f>
        <x:v>15700772.226894878</x:v>
      </x:c>
      <x:c r="AG87" s="39" t="n">
        <x:f>AG82-SUM(AG83:AG86)</x:f>
        <x:v>-1473684.8491568975</x:v>
      </x:c>
      <x:c r="AH87" s="39" t="n">
        <x:f>AH82-SUM(AH83:AH86)</x:f>
        <x:v>-3393082.1456676293</x:v>
      </x:c>
      <x:c r="AI87" s="39" t="n">
        <x:f>AI82-SUM(AI83:AI86)</x:f>
        <x:v>0</x:v>
      </x:c>
      <x:c r="AJ87" s="39" t="n">
        <x:f>AJ82-SUM(AJ83:AJ86)</x:f>
        <x:v>0</x:v>
      </x:c>
      <x:c r="AK87" s="39" t="n">
        <x:f>AK82-SUM(AK83:AK86)</x:f>
        <x:v>0</x:v>
      </x:c>
      <x:c r="AL87" s="39" t="n">
        <x:f>AL82-SUM(AL83:AL86)</x:f>
        <x:v>0</x:v>
      </x:c>
      <x:c r="AM87" s="39" t="n">
        <x:f>AM82-SUM(AM83:AM86)</x:f>
        <x:v>0</x:v>
      </x:c>
      <x:c r="AN87" s="39" t="n">
        <x:f>AN82-SUM(AN83:AN86)</x:f>
        <x:v>0</x:v>
      </x:c>
      <x:c r="AO87" s="39" t="n">
        <x:f>AO82-SUM(AO83:AO86)</x:f>
        <x:v>0</x:v>
      </x:c>
      <x:c r="AP87" s="39" t="n">
        <x:f>AP82-SUM(AP83:AP86)</x:f>
        <x:v>0</x:v>
      </x:c>
      <x:c r="AQ87" s="39" t="n">
        <x:f>AQ82-SUM(AQ83:AQ86)</x:f>
        <x:v>0</x:v>
      </x:c>
    </x:row>
    <x:row r="88" ht="21" customHeight="1">
      <x:c r="A88" s="2"/>
      <x:c r="B88" s="2"/>
      <x:c r="C88" s="2" t="str">
        <x:v>Cash taxes</x:v>
      </x:c>
      <x:c r="D88" s="2"/>
      <x:c r="E88" s="37" t="n">
        <x:f>E82*'Assumptions'!$D$85</x:f>
        <x:v>340968.78063893603</x:v>
      </x:c>
      <x:c r="F88" s="37" t="n">
        <x:f>F82*'Assumptions'!$D$85</x:f>
        <x:v>385362.9151779148</x:v>
      </x:c>
      <x:c r="G88" s="37" t="n">
        <x:f>G82*'Assumptions'!$D$85</x:f>
        <x:v>391562.5723218458</x:v>
      </x:c>
      <x:c r="H88" s="37" t="n">
        <x:f>H82*'Assumptions'!$D$85</x:f>
        <x:v>397835.50689366244</x:v>
      </x:c>
      <x:c r="I88" s="37" t="n">
        <x:f>I82*'Assumptions'!$D$85</x:f>
        <x:v>399826.2060210641</x:v>
      </x:c>
      <x:c r="J88" s="37" t="n">
        <x:f>J82*'Assumptions'!$D$85</x:f>
        <x:v>397448.4012450086</x:v>
      </x:c>
      <x:c r="K88" s="37" t="n">
        <x:f>K82*'Assumptions'!$D$85</x:f>
        <x:v>399415.4929781133</x:v>
      </x:c>
      <x:c r="L88" s="37" t="n">
        <x:f>L82*'Assumptions'!$D$85</x:f>
        <x:v>405814.2333877616</x:v>
      </x:c>
      <x:c r="M88" s="37" t="n">
        <x:f>M82*'Assumptions'!$D$85</x:f>
        <x:v>407844.856663698</x:v>
      </x:c>
      <x:c r="N88" s="37" t="n">
        <x:f>N82*'Assumptions'!$D$85</x:f>
        <x:v>400953.3295921092</x:v>
      </x:c>
      <x:c r="O88" s="37" t="n">
        <x:f>O82*'Assumptions'!$D$85</x:f>
        <x:v>407403.8028376756</x:v>
      </x:c>
      <x:c r="P88" s="37" t="n">
        <x:f>P82*'Assumptions'!$D$85</x:f>
        <x:v>413930.5180555169</x:v>
      </x:c>
      <x:c r="Q88" s="37" t="n">
        <x:f>Q82*'Assumptions'!$D$85</x:f>
        <x:v>1662709.6880301666</x:v>
      </x:c>
      <x:c r="R88" s="37" t="n">
        <x:f>R82*'Assumptions'!$D$85</x:f>
        <x:v>1695963.8817907702</x:v>
      </x:c>
      <x:c r="S88" s="37" t="n">
        <x:f>S82*'Assumptions'!$D$85</x:f>
        <x:v>1679534.2194032834</x:v>
      </x:c>
      <x:c r="T88" s="37" t="n">
        <x:f>T82*'Assumptions'!$D$85</x:f>
        <x:v>1529341.0925164719</x:v>
      </x:c>
      <x:c r="U88" s="37" t="n">
        <x:f>U82*'Assumptions'!$D$85</x:f>
        <x:v>1499414.8041766752</x:v>
      </x:c>
      <x:c r="V88" s="37" t="n">
        <x:f>V82*'Assumptions'!$D$85</x:f>
        <x:v>1399549.3071230894</x:v>
      </x:c>
      <x:c r="W88" s="37" t="n">
        <x:f>W82*'Assumptions'!$D$85</x:f>
        <x:v>1235403.4422663793</x:v>
      </x:c>
      <x:c r="X88" s="37" t="n">
        <x:f>X82*'Assumptions'!$D$85</x:f>
        <x:v>1179588.6591403356</x:v>
      </x:c>
      <x:c r="Y88" s="37" t="n">
        <x:f>Y82*'Assumptions'!$D$85</x:f>
        <x:v>1163500.3190065394</x:v>
      </x:c>
      <x:c r="Z88" s="37" t="n">
        <x:f>Z82*'Assumptions'!$D$85</x:f>
        <x:v>1147556.7804354378</x:v>
      </x:c>
      <x:c r="AA88" s="37" t="n">
        <x:f>AA82*'Assumptions'!$D$85</x:f>
        <x:v>976905.1029630287</x:v>
      </x:c>
      <x:c r="AB88" s="37" t="n">
        <x:f>AB82*'Assumptions'!$D$85</x:f>
        <x:v>666615.0776200169</x:v>
      </x:c>
      <x:c r="AC88" s="37" t="n">
        <x:f>AC82*'Assumptions'!$D$85</x:f>
        <x:v>382627.1245006689</x:v>
      </x:c>
      <x:c r="AD88" s="37" t="n">
        <x:f>AD82*'Assumptions'!$D$85</x:f>
        <x:v>327299.3012997418</x:v>
      </x:c>
      <x:c r="AE88" s="37" t="n">
        <x:f>AE82*'Assumptions'!$D$85</x:f>
        <x:v>319708.6841207976</x:v>
      </x:c>
      <x:c r="AF88" s="37" t="n">
        <x:f>AF82*'Assumptions'!$D$85</x:f>
        <x:v>231203.64289036894</x:v>
      </x:c>
      <x:c r="AG88" s="37" t="n">
        <x:f>AG82*'Assumptions'!$D$85</x:f>
        <x:v>89363.35655117042</x:v>
      </x:c>
      <x:c r="AH88" s="37" t="n">
        <x:f>AH82*'Assumptions'!$D$85</x:f>
        <x:v>68175.67195955868</x:v>
      </x:c>
      <x:c r="AI88" s="37" t="n">
        <x:f>AI82*'Assumptions'!$D$85</x:f>
        <x:v>0</x:v>
      </x:c>
      <x:c r="AJ88" s="37" t="n">
        <x:f>AJ82*'Assumptions'!$D$85</x:f>
        <x:v>0</x:v>
      </x:c>
      <x:c r="AK88" s="37" t="n">
        <x:f>AK82*'Assumptions'!$D$85</x:f>
        <x:v>0</x:v>
      </x:c>
      <x:c r="AL88" s="37" t="n">
        <x:f>AL82*'Assumptions'!$D$85</x:f>
        <x:v>0</x:v>
      </x:c>
      <x:c r="AM88" s="37" t="n">
        <x:f>AM82*'Assumptions'!$D$85</x:f>
        <x:v>0</x:v>
      </x:c>
      <x:c r="AN88" s="37" t="n">
        <x:f>AN82*'Assumptions'!$D$85</x:f>
        <x:v>0</x:v>
      </x:c>
      <x:c r="AO88" s="37" t="n">
        <x:f>AO82*'Assumptions'!$D$85</x:f>
        <x:v>0</x:v>
      </x:c>
      <x:c r="AP88" s="37" t="n">
        <x:f>AP82*'Assumptions'!$D$85</x:f>
        <x:v>0</x:v>
      </x:c>
      <x:c r="AQ88" s="37" t="n">
        <x:f>AQ82*'Assumptions'!$D$85</x:f>
        <x:v>0</x:v>
      </x:c>
    </x:row>
    <x:row r="89" ht="21" customHeight="1">
      <x:c r="A89" s="2"/>
      <x:c r="B89" s="2"/>
      <x:c r="C89" s="2" t="str">
        <x:v>Other maintenance capex</x:v>
      </x:c>
      <x:c r="D89" s="2"/>
      <x:c r="E89" s="39" t="n">
        <x:f>SUM(E20,E31,E42,E53)</x:f>
        <x:v>966504.9099993204</x:v>
      </x:c>
      <x:c r="F89" s="39" t="n">
        <x:f>SUM(F20,F31,F42,F53)</x:f>
        <x:v>1092343.8472964256</x:v>
      </x:c>
      <x:c r="G89" s="39" t="n">
        <x:f>SUM(G20,G31,G42,G53)</x:f>
        <x:v>1109917.3009677364</x:v>
      </x:c>
      <x:c r="H89" s="39" t="n">
        <x:f>SUM(H20,H31,H42,H53)</x:f>
        <x:v>1127698.465719548</x:v>
      </x:c>
      <x:c r="I89" s="39" t="n">
        <x:f>SUM(I20,I31,I42,I53)</x:f>
        <x:v>1133341.271132289</x:v>
      </x:c>
      <x:c r="J89" s="39" t="n">
        <x:f>SUM(J20,J31,J42,J53)</x:f>
        <x:v>1126601.1819464958</x:v>
      </x:c>
      <x:c r="K89" s="39" t="n">
        <x:f>SUM(K20,K31,K42,K53)</x:f>
        <x:v>1132177.0701990866</x:v>
      </x:c>
      <x:c r="L89" s="39" t="n">
        <x:f>SUM(L20,L31,L42,L53)</x:f>
        <x:v>1150314.842261817</x:v>
      </x:c>
      <x:c r="M89" s="39" t="n">
        <x:f>SUM(M20,M31,M42,M53)</x:f>
        <x:v>1156070.81605764</x:v>
      </x:c>
      <x:c r="N89" s="39" t="n">
        <x:f>SUM(N20,N31,N42,N53)</x:f>
        <x:v>1136536.198431937</x:v>
      </x:c>
      <x:c r="O89" s="39" t="n">
        <x:f>SUM(O20,O31,O42,O53)</x:f>
        <x:v>1154820.6116030684</x:v>
      </x:c>
      <x:c r="P89" s="39" t="n">
        <x:f>SUM(P20,P31,P42,P53)</x:f>
        <x:v>1173321.1391070534</x:v>
      </x:c>
      <x:c r="Q89" s="39" t="n">
        <x:f>SUM(Q20,Q31,Q42,Q53)</x:f>
        <x:v>4713091.545722252</x:v>
      </x:c>
      <x:c r="R89" s="39" t="n">
        <x:f>SUM(R20,R31,R42,R53)</x:f>
        <x:v>4807353.376636697</x:v>
      </x:c>
      <x:c r="S89" s="39" t="n">
        <x:f>SUM(S20,S31,S42,S53)</x:f>
        <x:v>4776615.310714938</x:v>
      </x:c>
      <x:c r="T89" s="39" t="n">
        <x:f>SUM(T20,T31,T42,T53)</x:f>
        <x:v>4404797.558047789</x:v>
      </x:c>
      <x:c r="U89" s="39" t="n">
        <x:f>SUM(U20,U31,U42,U53)</x:f>
        <x:v>4318489.313737091</x:v>
      </x:c>
      <x:c r="V89" s="39" t="n">
        <x:f>SUM(V20,V31,V42,V53)</x:f>
        <x:v>3960614.446038298</x:v>
      </x:c>
      <x:c r="W89" s="39" t="n">
        <x:f>SUM(W20,W31,W42,W53)</x:f>
        <x:v>3447315.3778249454</x:v>
      </x:c>
      <x:c r="X89" s="39" t="n">
        <x:f>SUM(X20,X31,X42,X53)</x:f>
        <x:v>3291485.5314509775</x:v>
      </x:c>
      <x:c r="Y89" s="39" t="n">
        <x:f>SUM(Y20,Y31,Y42,Y53)</x:f>
        <x:v>3263435.588173633</x:v>
      </x:c>
      <x:c r="Z89" s="39" t="n">
        <x:f>SUM(Z20,Z31,Z42,Z53)</x:f>
        <x:v>3199624.934038596</x:v>
      </x:c>
      <x:c r="AA89" s="39" t="n">
        <x:f>SUM(AA20,AA31,AA42,AA53)</x:f>
        <x:v>2650464.1300054267</x:v>
      </x:c>
      <x:c r="AB89" s="39" t="n">
        <x:f>SUM(AB20,AB31,AB42,AB53)</x:f>
        <x:v>1763071.591693522</x:v>
      </x:c>
      <x:c r="AC89" s="39" t="n">
        <x:f>SUM(AC20,AC31,AC42,AC53)</x:f>
        <x:v>1018472.1905135468</x:v>
      </x:c>
      <x:c r="AD89" s="39" t="n">
        <x:f>SUM(AD20,AD31,AD42,AD53)</x:f>
        <x:v>831528.9397548104</x:v>
      </x:c>
      <x:c r="AE89" s="39" t="n">
        <x:f>SUM(AE20,AE31,AE42,AE53)</x:f>
        <x:v>814874.9024494804</x:v>
      </x:c>
      <x:c r="AF89" s="39" t="n">
        <x:f>SUM(AF20,AF31,AF42,AF53)</x:f>
        <x:v>611939.6265846081</x:v>
      </x:c>
      <x:c r="AG89" s="39" t="n">
        <x:f>SUM(AG20,AG31,AG42,AG53)</x:f>
        <x:v>294157.679764299</x:v>
      </x:c>
      <x:c r="AH89" s="39" t="n">
        <x:f>SUM(AH20,AH31,AH42,AH53)</x:f>
        <x:v>224414.10275936083</x:v>
      </x:c>
      <x:c r="AI89" s="39" t="n">
        <x:f>SUM(AI20,AI31,AI42,AI53)</x:f>
        <x:v>0</x:v>
      </x:c>
      <x:c r="AJ89" s="39" t="n">
        <x:f>SUM(AJ20,AJ31,AJ42,AJ53)</x:f>
        <x:v>0</x:v>
      </x:c>
      <x:c r="AK89" s="39" t="n">
        <x:f>SUM(AK20,AK31,AK42,AK53)</x:f>
        <x:v>0</x:v>
      </x:c>
      <x:c r="AL89" s="39" t="n">
        <x:f>SUM(AL20,AL31,AL42,AL53)</x:f>
        <x:v>0</x:v>
      </x:c>
      <x:c r="AM89" s="39" t="n">
        <x:f>SUM(AM20,AM31,AM42,AM53)</x:f>
        <x:v>0</x:v>
      </x:c>
      <x:c r="AN89" s="39" t="n">
        <x:f>SUM(AN20,AN31,AN42,AN53)</x:f>
        <x:v>0</x:v>
      </x:c>
      <x:c r="AO89" s="39" t="n">
        <x:f>SUM(AO20,AO31,AO42,AO53)</x:f>
        <x:v>0</x:v>
      </x:c>
      <x:c r="AP89" s="39" t="n">
        <x:f>SUM(AP20,AP31,AP42,AP53)</x:f>
        <x:v>0</x:v>
      </x:c>
      <x:c r="AQ89" s="39" t="n">
        <x:f>SUM(AQ20,AQ31,AQ42,AQ53)</x:f>
        <x:v>0</x:v>
      </x:c>
    </x:row>
    <x:row r="90" ht="21" customHeight="1">
      <x:c r="A90" s="2"/>
      <x:c r="B90" s="2"/>
      <x:c r="C90" s="2" t="str">
        <x:v>Committed newbuild payments</x:v>
      </x:c>
      <x:c r="D90" s="2"/>
      <x:c r="E90" s="37" t="n">
        <x:f>SUMIFS('Fleet'!$Q$7:$Q$50,'Fleet'!$G$7:$G$50,"&gt;="&amp;E$7,'Fleet'!$G$7:$G$50,"&lt;="&amp;E$8)</x:f>
        <x:v>0</x:v>
      </x:c>
      <x:c r="F90" s="37" t="n">
        <x:f>SUMIFS('Fleet'!$Q$7:$Q$50,'Fleet'!$G$7:$G$50,"&gt;="&amp;F$7,'Fleet'!$G$7:$G$50,"&lt;="&amp;F$8)</x:f>
        <x:v>0</x:v>
      </x:c>
      <x:c r="G90" s="37" t="n">
        <x:f>SUMIFS('Fleet'!$Q$7:$Q$50,'Fleet'!$G$7:$G$50,"&gt;="&amp;G$7,'Fleet'!$G$7:$G$50,"&lt;="&amp;G$8)</x:f>
        <x:v>0</x:v>
      </x:c>
      <x:c r="H90" s="37" t="n">
        <x:f>SUMIFS('Fleet'!$Q$7:$Q$50,'Fleet'!$G$7:$G$50,"&gt;="&amp;H$7,'Fleet'!$G$7:$G$50,"&lt;="&amp;H$8)</x:f>
        <x:v>0</x:v>
      </x:c>
      <x:c r="I90" s="37" t="n">
        <x:f>SUMIFS('Fleet'!$Q$7:$Q$50,'Fleet'!$G$7:$G$50,"&gt;="&amp;I$7,'Fleet'!$G$7:$G$50,"&lt;="&amp;I$8)</x:f>
        <x:v>0</x:v>
      </x:c>
      <x:c r="J90" s="37" t="n">
        <x:f>SUMIFS('Fleet'!$Q$7:$Q$50,'Fleet'!$G$7:$G$50,"&gt;="&amp;J$7,'Fleet'!$G$7:$G$50,"&lt;="&amp;J$8)</x:f>
        <x:v>0</x:v>
      </x:c>
      <x:c r="K90" s="37" t="n">
        <x:f>SUMIFS('Fleet'!$Q$7:$Q$50,'Fleet'!$G$7:$G$50,"&gt;="&amp;K$7,'Fleet'!$G$7:$G$50,"&lt;="&amp;K$8)</x:f>
        <x:v>0</x:v>
      </x:c>
      <x:c r="L90" s="37" t="n">
        <x:f>SUMIFS('Fleet'!$Q$7:$Q$50,'Fleet'!$G$7:$G$50,"&gt;="&amp;L$7,'Fleet'!$G$7:$G$50,"&lt;="&amp;L$8)</x:f>
        <x:v>0</x:v>
      </x:c>
      <x:c r="M90" s="37" t="n">
        <x:f>SUMIFS('Fleet'!$Q$7:$Q$50,'Fleet'!$G$7:$G$50,"&gt;="&amp;M$7,'Fleet'!$G$7:$G$50,"&lt;="&amp;M$8)</x:f>
        <x:v>0</x:v>
      </x:c>
      <x:c r="N90" s="37" t="n">
        <x:f>SUMIFS('Fleet'!$Q$7:$Q$50,'Fleet'!$G$7:$G$50,"&gt;="&amp;N$7,'Fleet'!$G$7:$G$50,"&lt;="&amp;N$8)</x:f>
        <x:v>0</x:v>
      </x:c>
      <x:c r="O90" s="37" t="n">
        <x:f>SUMIFS('Fleet'!$Q$7:$Q$50,'Fleet'!$G$7:$G$50,"&gt;="&amp;O$7,'Fleet'!$G$7:$G$50,"&lt;="&amp;O$8)</x:f>
        <x:v>0</x:v>
      </x:c>
      <x:c r="P90" s="37" t="n">
        <x:f>SUMIFS('Fleet'!$Q$7:$Q$50,'Fleet'!$G$7:$G$50,"&gt;="&amp;P$7,'Fleet'!$G$7:$G$50,"&lt;="&amp;P$8)</x:f>
        <x:v>0</x:v>
      </x:c>
      <x:c r="Q90" s="37" t="n">
        <x:f>SUMIFS('Fleet'!$Q$7:$Q$50,'Fleet'!$G$7:$G$50,"&gt;="&amp;Q$7,'Fleet'!$G$7:$G$50,"&lt;="&amp;Q$8)</x:f>
        <x:v>0</x:v>
      </x:c>
      <x:c r="R90" s="37" t="n">
        <x:f>SUMIFS('Fleet'!$Q$7:$Q$50,'Fleet'!$G$7:$G$50,"&gt;="&amp;R$7,'Fleet'!$G$7:$G$50,"&lt;="&amp;R$8)</x:f>
        <x:v>0</x:v>
      </x:c>
      <x:c r="S90" s="37" t="n">
        <x:f>SUMIFS('Fleet'!$Q$7:$Q$50,'Fleet'!$G$7:$G$50,"&gt;="&amp;S$7,'Fleet'!$G$7:$G$50,"&lt;="&amp;S$8)</x:f>
        <x:v>0</x:v>
      </x:c>
      <x:c r="T90" s="37" t="n">
        <x:f>SUMIFS('Fleet'!$Q$7:$Q$50,'Fleet'!$G$7:$G$50,"&gt;="&amp;T$7,'Fleet'!$G$7:$G$50,"&lt;="&amp;T$8)</x:f>
        <x:v>0</x:v>
      </x:c>
      <x:c r="U90" s="37" t="n">
        <x:f>SUMIFS('Fleet'!$Q$7:$Q$50,'Fleet'!$G$7:$G$50,"&gt;="&amp;U$7,'Fleet'!$G$7:$G$50,"&lt;="&amp;U$8)</x:f>
        <x:v>0</x:v>
      </x:c>
      <x:c r="V90" s="37" t="n">
        <x:f>SUMIFS('Fleet'!$Q$7:$Q$50,'Fleet'!$G$7:$G$50,"&gt;="&amp;V$7,'Fleet'!$G$7:$G$50,"&lt;="&amp;V$8)</x:f>
        <x:v>0</x:v>
      </x:c>
      <x:c r="W90" s="37" t="n">
        <x:f>SUMIFS('Fleet'!$Q$7:$Q$50,'Fleet'!$G$7:$G$50,"&gt;="&amp;W$7,'Fleet'!$G$7:$G$50,"&lt;="&amp;W$8)</x:f>
        <x:v>0</x:v>
      </x:c>
      <x:c r="X90" s="37" t="n">
        <x:f>SUMIFS('Fleet'!$Q$7:$Q$50,'Fleet'!$G$7:$G$50,"&gt;="&amp;X$7,'Fleet'!$G$7:$G$50,"&lt;="&amp;X$8)</x:f>
        <x:v>0</x:v>
      </x:c>
      <x:c r="Y90" s="37" t="n">
        <x:f>SUMIFS('Fleet'!$Q$7:$Q$50,'Fleet'!$G$7:$G$50,"&gt;="&amp;Y$7,'Fleet'!$G$7:$G$50,"&lt;="&amp;Y$8)</x:f>
        <x:v>0</x:v>
      </x:c>
      <x:c r="Z90" s="37" t="n">
        <x:f>SUMIFS('Fleet'!$Q$7:$Q$50,'Fleet'!$G$7:$G$50,"&gt;="&amp;Z$7,'Fleet'!$G$7:$G$50,"&lt;="&amp;Z$8)</x:f>
        <x:v>0</x:v>
      </x:c>
      <x:c r="AA90" s="37" t="n">
        <x:f>SUMIFS('Fleet'!$Q$7:$Q$50,'Fleet'!$G$7:$G$50,"&gt;="&amp;AA$7,'Fleet'!$G$7:$G$50,"&lt;="&amp;AA$8)</x:f>
        <x:v>0</x:v>
      </x:c>
      <x:c r="AB90" s="37" t="n">
        <x:f>SUMIFS('Fleet'!$Q$7:$Q$50,'Fleet'!$G$7:$G$50,"&gt;="&amp;AB$7,'Fleet'!$G$7:$G$50,"&lt;="&amp;AB$8)</x:f>
        <x:v>0</x:v>
      </x:c>
      <x:c r="AC90" s="37" t="n">
        <x:f>SUMIFS('Fleet'!$Q$7:$Q$50,'Fleet'!$G$7:$G$50,"&gt;="&amp;AC$7,'Fleet'!$G$7:$G$50,"&lt;="&amp;AC$8)</x:f>
        <x:v>0</x:v>
      </x:c>
      <x:c r="AD90" s="37" t="n">
        <x:f>SUMIFS('Fleet'!$Q$7:$Q$50,'Fleet'!$G$7:$G$50,"&gt;="&amp;AD$7,'Fleet'!$G$7:$G$50,"&lt;="&amp;AD$8)</x:f>
        <x:v>0</x:v>
      </x:c>
      <x:c r="AE90" s="37" t="n">
        <x:f>SUMIFS('Fleet'!$Q$7:$Q$50,'Fleet'!$G$7:$G$50,"&gt;="&amp;AE$7,'Fleet'!$G$7:$G$50,"&lt;="&amp;AE$8)</x:f>
        <x:v>0</x:v>
      </x:c>
      <x:c r="AF90" s="37" t="n">
        <x:f>SUMIFS('Fleet'!$Q$7:$Q$50,'Fleet'!$G$7:$G$50,"&gt;="&amp;AF$7,'Fleet'!$G$7:$G$50,"&lt;="&amp;AF$8)</x:f>
        <x:v>0</x:v>
      </x:c>
      <x:c r="AG90" s="37" t="n">
        <x:f>SUMIFS('Fleet'!$Q$7:$Q$50,'Fleet'!$G$7:$G$50,"&gt;="&amp;AG$7,'Fleet'!$G$7:$G$50,"&lt;="&amp;AG$8)</x:f>
        <x:v>0</x:v>
      </x:c>
      <x:c r="AH90" s="37" t="n">
        <x:f>SUMIFS('Fleet'!$Q$7:$Q$50,'Fleet'!$G$7:$G$50,"&gt;="&amp;AH$7,'Fleet'!$G$7:$G$50,"&lt;="&amp;AH$8)</x:f>
        <x:v>0</x:v>
      </x:c>
      <x:c r="AI90" s="37" t="n">
        <x:f>SUMIFS('Fleet'!$Q$7:$Q$50,'Fleet'!$G$7:$G$50,"&gt;="&amp;AI$7,'Fleet'!$G$7:$G$50,"&lt;="&amp;AI$8)</x:f>
        <x:v>0</x:v>
      </x:c>
      <x:c r="AJ90" s="37" t="n">
        <x:f>SUMIFS('Fleet'!$Q$7:$Q$50,'Fleet'!$G$7:$G$50,"&gt;="&amp;AJ$7,'Fleet'!$G$7:$G$50,"&lt;="&amp;AJ$8)</x:f>
        <x:v>0</x:v>
      </x:c>
      <x:c r="AK90" s="37" t="n">
        <x:f>SUMIFS('Fleet'!$Q$7:$Q$50,'Fleet'!$G$7:$G$50,"&gt;="&amp;AK$7,'Fleet'!$G$7:$G$50,"&lt;="&amp;AK$8)</x:f>
        <x:v>0</x:v>
      </x:c>
      <x:c r="AL90" s="37" t="n">
        <x:f>SUMIFS('Fleet'!$Q$7:$Q$50,'Fleet'!$G$7:$G$50,"&gt;="&amp;AL$7,'Fleet'!$G$7:$G$50,"&lt;="&amp;AL$8)</x:f>
        <x:v>0</x:v>
      </x:c>
      <x:c r="AM90" s="37" t="n">
        <x:f>SUMIFS('Fleet'!$Q$7:$Q$50,'Fleet'!$G$7:$G$50,"&gt;="&amp;AM$7,'Fleet'!$G$7:$G$50,"&lt;="&amp;AM$8)</x:f>
        <x:v>0</x:v>
      </x:c>
      <x:c r="AN90" s="37" t="n">
        <x:f>SUMIFS('Fleet'!$Q$7:$Q$50,'Fleet'!$G$7:$G$50,"&gt;="&amp;AN$7,'Fleet'!$G$7:$G$50,"&lt;="&amp;AN$8)</x:f>
        <x:v>0</x:v>
      </x:c>
      <x:c r="AO90" s="37" t="n">
        <x:f>SUMIFS('Fleet'!$Q$7:$Q$50,'Fleet'!$G$7:$G$50,"&gt;="&amp;AO$7,'Fleet'!$G$7:$G$50,"&lt;="&amp;AO$8)</x:f>
        <x:v>0</x:v>
      </x:c>
      <x:c r="AP90" s="37" t="n">
        <x:f>SUMIFS('Fleet'!$Q$7:$Q$50,'Fleet'!$G$7:$G$50,"&gt;="&amp;AP$7,'Fleet'!$G$7:$G$50,"&lt;="&amp;AP$8)</x:f>
        <x:v>0</x:v>
      </x:c>
      <x:c r="AQ90" s="37" t="n">
        <x:f>SUMIFS('Fleet'!$Q$7:$Q$50,'Fleet'!$G$7:$G$50,"&gt;="&amp;AQ$7,'Fleet'!$G$7:$G$50,"&lt;="&amp;AQ$8)</x:f>
        <x:v>0</x:v>
      </x:c>
    </x:row>
    <x:row r="91" ht="21" customHeight="1">
      <x:c r="A91" s="2"/>
      <x:c r="B91" s="2"/>
      <x:c r="C91" s="2" t="str">
        <x:v>Retirement scrap proceeds</x:v>
      </x:c>
      <x:c r="D91" s="2"/>
      <x:c r="E91" s="37" t="n">
        <x:f>SUMIFS('Fleet'!$E$7:$E$50,'Fleet'!$O$7:$O$50,"&gt;="&amp;E$7,'Fleet'!$O$7:$O$50,"&lt;="&amp;E$8)*'Assumptions'!$D$75</x:f>
        <x:v>0</x:v>
      </x:c>
      <x:c r="F91" s="37" t="n">
        <x:f>SUMIFS('Fleet'!$E$7:$E$50,'Fleet'!$O$7:$O$50,"&gt;="&amp;F$7,'Fleet'!$O$7:$O$50,"&lt;="&amp;F$8)*'Assumptions'!$D$75</x:f>
        <x:v>0</x:v>
      </x:c>
      <x:c r="G91" s="37" t="n">
        <x:f>SUMIFS('Fleet'!$E$7:$E$50,'Fleet'!$O$7:$O$50,"&gt;="&amp;G$7,'Fleet'!$O$7:$O$50,"&lt;="&amp;G$8)*'Assumptions'!$D$75</x:f>
        <x:v>0</x:v>
      </x:c>
      <x:c r="H91" s="37" t="n">
        <x:f>SUMIFS('Fleet'!$E$7:$E$50,'Fleet'!$O$7:$O$50,"&gt;="&amp;H$7,'Fleet'!$O$7:$O$50,"&lt;="&amp;H$8)*'Assumptions'!$D$75</x:f>
        <x:v>0</x:v>
      </x:c>
      <x:c r="I91" s="37" t="n">
        <x:f>SUMIFS('Fleet'!$E$7:$E$50,'Fleet'!$O$7:$O$50,"&gt;="&amp;I$7,'Fleet'!$O$7:$O$50,"&lt;="&amp;I$8)*'Assumptions'!$D$75</x:f>
        <x:v>0</x:v>
      </x:c>
      <x:c r="J91" s="37" t="n">
        <x:f>SUMIFS('Fleet'!$E$7:$E$50,'Fleet'!$O$7:$O$50,"&gt;="&amp;J$7,'Fleet'!$O$7:$O$50,"&lt;="&amp;J$8)*'Assumptions'!$D$75</x:f>
        <x:v>0</x:v>
      </x:c>
      <x:c r="K91" s="37" t="n">
        <x:f>SUMIFS('Fleet'!$E$7:$E$50,'Fleet'!$O$7:$O$50,"&gt;="&amp;K$7,'Fleet'!$O$7:$O$50,"&lt;="&amp;K$8)*'Assumptions'!$D$75</x:f>
        <x:v>0</x:v>
      </x:c>
      <x:c r="L91" s="37" t="n">
        <x:f>SUMIFS('Fleet'!$E$7:$E$50,'Fleet'!$O$7:$O$50,"&gt;="&amp;L$7,'Fleet'!$O$7:$O$50,"&lt;="&amp;L$8)*'Assumptions'!$D$75</x:f>
        <x:v>0</x:v>
      </x:c>
      <x:c r="M91" s="37" t="n">
        <x:f>SUMIFS('Fleet'!$E$7:$E$50,'Fleet'!$O$7:$O$50,"&gt;="&amp;M$7,'Fleet'!$O$7:$O$50,"&lt;="&amp;M$8)*'Assumptions'!$D$75</x:f>
        <x:v>0</x:v>
      </x:c>
      <x:c r="N91" s="37" t="n">
        <x:f>SUMIFS('Fleet'!$E$7:$E$50,'Fleet'!$O$7:$O$50,"&gt;="&amp;N$7,'Fleet'!$O$7:$O$50,"&lt;="&amp;N$8)*'Assumptions'!$D$75</x:f>
        <x:v>0</x:v>
      </x:c>
      <x:c r="O91" s="37" t="n">
        <x:f>SUMIFS('Fleet'!$E$7:$E$50,'Fleet'!$O$7:$O$50,"&gt;="&amp;O$7,'Fleet'!$O$7:$O$50,"&lt;="&amp;O$8)*'Assumptions'!$D$75</x:f>
        <x:v>0</x:v>
      </x:c>
      <x:c r="P91" s="37" t="n">
        <x:f>SUMIFS('Fleet'!$E$7:$E$50,'Fleet'!$O$7:$O$50,"&gt;="&amp;P$7,'Fleet'!$O$7:$O$50,"&lt;="&amp;P$8)*'Assumptions'!$D$75</x:f>
        <x:v>0</x:v>
      </x:c>
      <x:c r="Q91" s="37" t="n">
        <x:f>SUMIFS('Fleet'!$E$7:$E$50,'Fleet'!$O$7:$O$50,"&gt;="&amp;Q$7,'Fleet'!$O$7:$O$50,"&lt;="&amp;Q$8)*'Assumptions'!$D$75</x:f>
        <x:v>0</x:v>
      </x:c>
      <x:c r="R91" s="37" t="n">
        <x:f>SUMIFS('Fleet'!$E$7:$E$50,'Fleet'!$O$7:$O$50,"&gt;="&amp;R$7,'Fleet'!$O$7:$O$50,"&lt;="&amp;R$8)*'Assumptions'!$D$75</x:f>
        <x:v>0</x:v>
      </x:c>
      <x:c r="S91" s="37" t="n">
        <x:f>SUMIFS('Fleet'!$E$7:$E$50,'Fleet'!$O$7:$O$50,"&gt;="&amp;S$7,'Fleet'!$O$7:$O$50,"&lt;="&amp;S$8)*'Assumptions'!$D$75</x:f>
        <x:v>53922120</x:v>
      </x:c>
      <x:c r="T91" s="37" t="n">
        <x:f>SUMIFS('Fleet'!$E$7:$E$50,'Fleet'!$O$7:$O$50,"&gt;="&amp;T$7,'Fleet'!$O$7:$O$50,"&lt;="&amp;T$8)*'Assumptions'!$D$75</x:f>
        <x:v>12612810</x:v>
      </x:c>
      <x:c r="U91" s="37" t="n">
        <x:f>SUMIFS('Fleet'!$E$7:$E$50,'Fleet'!$O$7:$O$50,"&gt;="&amp;U$7,'Fleet'!$O$7:$O$50,"&lt;="&amp;U$8)*'Assumptions'!$D$75</x:f>
        <x:v>12181050</x:v>
      </x:c>
      <x:c r="V91" s="37" t="n">
        <x:f>SUMIFS('Fleet'!$E$7:$E$50,'Fleet'!$O$7:$O$50,"&gt;="&amp;V$7,'Fleet'!$O$7:$O$50,"&lt;="&amp;V$8)*'Assumptions'!$D$75</x:f>
        <x:v>41127590</x:v>
      </x:c>
      <x:c r="W91" s="37" t="n">
        <x:f>SUMIFS('Fleet'!$E$7:$E$50,'Fleet'!$O$7:$O$50,"&gt;="&amp;W$7,'Fleet'!$O$7:$O$50,"&lt;="&amp;W$8)*'Assumptions'!$D$75</x:f>
        <x:v>16604210</x:v>
      </x:c>
      <x:c r="X91" s="37" t="n">
        <x:f>SUMIFS('Fleet'!$E$7:$E$50,'Fleet'!$O$7:$O$50,"&gt;="&amp;X$7,'Fleet'!$O$7:$O$50,"&lt;="&amp;X$8)*'Assumptions'!$D$75</x:f>
        <x:v>12542950</x:v>
      </x:c>
      <x:c r="Y91" s="37" t="n">
        <x:f>SUMIFS('Fleet'!$E$7:$E$50,'Fleet'!$O$7:$O$50,"&gt;="&amp;Y$7,'Fleet'!$O$7:$O$50,"&lt;="&amp;Y$8)*'Assumptions'!$D$75</x:f>
        <x:v>0</x:v>
      </x:c>
      <x:c r="Z91" s="37" t="n">
        <x:f>SUMIFS('Fleet'!$E$7:$E$50,'Fleet'!$O$7:$O$50,"&gt;="&amp;Z$7,'Fleet'!$O$7:$O$50,"&lt;="&amp;Z$8)*'Assumptions'!$D$75</x:f>
        <x:v>17621520</x:v>
      </x:c>
      <x:c r="AA91" s="37" t="n">
        <x:f>SUMIFS('Fleet'!$E$7:$E$50,'Fleet'!$O$7:$O$50,"&gt;="&amp;AA$7,'Fleet'!$O$7:$O$50,"&lt;="&amp;AA$8)*'Assumptions'!$D$75</x:f>
        <x:v>47572000</x:v>
      </x:c>
      <x:c r="AB91" s="37" t="n">
        <x:f>SUMIFS('Fleet'!$E$7:$E$50,'Fleet'!$O$7:$O$50,"&gt;="&amp;AB$7,'Fleet'!$O$7:$O$50,"&lt;="&amp;AB$8)*'Assumptions'!$D$75</x:f>
        <x:v>71809780</x:v>
      </x:c>
      <x:c r="AC91" s="37" t="n">
        <x:f>SUMIFS('Fleet'!$E$7:$E$50,'Fleet'!$O$7:$O$50,"&gt;="&amp;AC$7,'Fleet'!$O$7:$O$50,"&lt;="&amp;AC$8)*'Assumptions'!$D$75</x:f>
        <x:v>8862980</x:v>
      </x:c>
      <x:c r="AD91" s="37" t="n">
        <x:f>SUMIFS('Fleet'!$E$7:$E$50,'Fleet'!$O$7:$O$50,"&gt;="&amp;AD$7,'Fleet'!$O$7:$O$50,"&lt;="&amp;AD$8)*'Assumptions'!$D$75</x:f>
        <x:v>0</x:v>
      </x:c>
      <x:c r="AE91" s="37" t="n">
        <x:f>SUMIFS('Fleet'!$E$7:$E$50,'Fleet'!$O$7:$O$50,"&gt;="&amp;AE$7,'Fleet'!$O$7:$O$50,"&lt;="&amp;AE$8)*'Assumptions'!$D$75</x:f>
        <x:v>12740000</x:v>
      </x:c>
      <x:c r="AF91" s="37" t="n">
        <x:f>SUMIFS('Fleet'!$E$7:$E$50,'Fleet'!$O$7:$O$50,"&gt;="&amp;AF$7,'Fleet'!$O$7:$O$50,"&lt;="&amp;AF$8)*'Assumptions'!$D$75</x:f>
        <x:v>41920760</x:v>
      </x:c>
      <x:c r="AG91" s="37" t="n">
        <x:f>SUMIFS('Fleet'!$E$7:$E$50,'Fleet'!$O$7:$O$50,"&gt;="&amp;AG$7,'Fleet'!$O$7:$O$50,"&lt;="&amp;AG$8)*'Assumptions'!$D$75</x:f>
        <x:v>0</x:v>
      </x:c>
      <x:c r="AH91" s="37" t="n">
        <x:f>SUMIFS('Fleet'!$E$7:$E$50,'Fleet'!$O$7:$O$50,"&gt;="&amp;AH$7,'Fleet'!$O$7:$O$50,"&lt;="&amp;AH$8)*'Assumptions'!$D$75</x:f>
        <x:v>8582490</x:v>
      </x:c>
      <x:c r="AI91" s="37" t="n">
        <x:f>SUMIFS('Fleet'!$E$7:$E$50,'Fleet'!$O$7:$O$50,"&gt;="&amp;AI$7,'Fleet'!$O$7:$O$50,"&lt;="&amp;AI$8)*'Assumptions'!$D$75</x:f>
        <x:v>0</x:v>
      </x:c>
      <x:c r="AJ91" s="37" t="n">
        <x:f>SUMIFS('Fleet'!$E$7:$E$50,'Fleet'!$O$7:$O$50,"&gt;="&amp;AJ$7,'Fleet'!$O$7:$O$50,"&lt;="&amp;AJ$8)*'Assumptions'!$D$75</x:f>
        <x:v>0</x:v>
      </x:c>
      <x:c r="AK91" s="37" t="n">
        <x:f>SUMIFS('Fleet'!$E$7:$E$50,'Fleet'!$O$7:$O$50,"&gt;="&amp;AK$7,'Fleet'!$O$7:$O$50,"&lt;="&amp;AK$8)*'Assumptions'!$D$75</x:f>
        <x:v>0</x:v>
      </x:c>
      <x:c r="AL91" s="37" t="n">
        <x:f>SUMIFS('Fleet'!$E$7:$E$50,'Fleet'!$O$7:$O$50,"&gt;="&amp;AL$7,'Fleet'!$O$7:$O$50,"&lt;="&amp;AL$8)*'Assumptions'!$D$75</x:f>
        <x:v>0</x:v>
      </x:c>
      <x:c r="AM91" s="37" t="n">
        <x:f>SUMIFS('Fleet'!$E$7:$E$50,'Fleet'!$O$7:$O$50,"&gt;="&amp;AM$7,'Fleet'!$O$7:$O$50,"&lt;="&amp;AM$8)*'Assumptions'!$D$75</x:f>
        <x:v>0</x:v>
      </x:c>
      <x:c r="AN91" s="37" t="n">
        <x:f>SUMIFS('Fleet'!$E$7:$E$50,'Fleet'!$O$7:$O$50,"&gt;="&amp;AN$7,'Fleet'!$O$7:$O$50,"&lt;="&amp;AN$8)*'Assumptions'!$D$75</x:f>
        <x:v>0</x:v>
      </x:c>
      <x:c r="AO91" s="37" t="n">
        <x:f>SUMIFS('Fleet'!$E$7:$E$50,'Fleet'!$O$7:$O$50,"&gt;="&amp;AO$7,'Fleet'!$O$7:$O$50,"&lt;="&amp;AO$8)*'Assumptions'!$D$75</x:f>
        <x:v>0</x:v>
      </x:c>
      <x:c r="AP91" s="37" t="n">
        <x:f>SUMIFS('Fleet'!$E$7:$E$50,'Fleet'!$O$7:$O$50,"&gt;="&amp;AP$7,'Fleet'!$O$7:$O$50,"&lt;="&amp;AP$8)*'Assumptions'!$D$75</x:f>
        <x:v>0</x:v>
      </x:c>
      <x:c r="AQ91" s="37" t="n">
        <x:f>SUMIFS('Fleet'!$E$7:$E$50,'Fleet'!$O$7:$O$50,"&gt;="&amp;AQ$7,'Fleet'!$O$7:$O$50,"&lt;="&amp;AQ$8)*'Assumptions'!$D$75</x:f>
        <x:v>0</x:v>
      </x:c>
    </x:row>
    <x:row r="92" ht="21" customHeight="1">
      <x:c r="A92" s="2"/>
      <x:c r="B92" s="2"/>
      <x:c r="C92" s="2" t="str">
        <x:v>Closing working-capital target</x:v>
      </x:c>
      <x:c r="D92" s="2"/>
      <x:c r="E92" s="37" t="n">
        <x:f>E82/(E$8-E$7+1)*365*'Assumptions'!$D$140</x:f>
        <x:v>21779380.86331204</x:v>
      </x:c>
      <x:c r="F92" s="37" t="n">
        <x:f>F82/(F$8-F$7+1)*365*'Assumptions'!$D$140</x:f>
        <x:v>21880049.961768273</x:v>
      </x:c>
      <x:c r="G92" s="37" t="n">
        <x:f>G82/(G$8-G$7+1)*365*'Assumptions'!$D$140</x:f>
        <x:v>21987744.44576519</x:v>
      </x:c>
      <x:c r="H92" s="37" t="n">
        <x:f>H82/(H$8-H$7+1)*365*'Assumptions'!$D$140</x:f>
        <x:v>22097167.828550164</x:v>
      </x:c>
      <x:c r="I92" s="37" t="n">
        <x:f>I82/(I$8-I$7+1)*365*'Assumptions'!$D$140</x:f>
        <x:v>22207738.18225693</x:v>
      </x:c>
      <x:c r="J92" s="37" t="n">
        <x:f>J82/(J$8-J$7+1)*365*'Assumptions'!$D$140</x:f>
        <x:v>22318256.377604328</x:v>
      </x:c>
      <x:c r="K92" s="37" t="n">
        <x:f>K82/(K$8-K$7+1)*365*'Assumptions'!$D$140</x:f>
        <x:v>22428716.1441556</x:v>
      </x:c>
      <x:c r="L92" s="37" t="n">
        <x:f>L82/(L$8-L$7+1)*365*'Assumptions'!$D$140</x:f>
        <x:v>22540334.050124582</x:v>
      </x:c>
      <x:c r="M92" s="37" t="n">
        <x:f>M82/(M$8-M$7+1)*365*'Assumptions'!$D$140</x:f>
        <x:v>22653121.92990757</x:v>
      </x:c>
      <x:c r="N92" s="37" t="n">
        <x:f>N82/(N$8-N$7+1)*365*'Assumptions'!$D$140</x:f>
        <x:v>22765239.046840865</x:v>
      </x:c>
      <x:c r="O92" s="37" t="n">
        <x:f>O82/(O$8-O$7+1)*365*'Assumptions'!$D$140</x:f>
        <x:v>22877290.46703871</x:v>
      </x:c>
      <x:c r="P92" s="37" t="n">
        <x:f>P82/(P$8-P$7+1)*365*'Assumptions'!$D$140</x:f>
        <x:v>22991140.73112708</x:v>
      </x:c>
      <x:c r="Q92" s="37" t="n">
        <x:f>Q82/(Q$8-Q$7+1)*365*'Assumptions'!$D$140</x:f>
        <x:v>23277935.632422335</x:v>
      </x:c>
      <x:c r="R92" s="37" t="n">
        <x:f>R82/(R$8-R$7+1)*365*'Assumptions'!$D$140</x:f>
        <x:v>23743494.345070787</x:v>
      </x:c>
      <x:c r="S92" s="37" t="n">
        <x:f>S82/(S$8-S$7+1)*365*'Assumptions'!$D$140</x:f>
        <x:v>23449234.59330814</x:v>
      </x:c>
      <x:c r="T92" s="37" t="n">
        <x:f>T82/(T$8-T$7+1)*365*'Assumptions'!$D$140</x:f>
        <x:v>21410775.295230605</x:v>
      </x:c>
      <x:c r="U92" s="37" t="n">
        <x:f>U82/(U$8-U$7+1)*365*'Assumptions'!$D$140</x:f>
        <x:v>20991807.258473452</x:v>
      </x:c>
      <x:c r="V92" s="37" t="n">
        <x:f>V82/(V$8-V$7+1)*365*'Assumptions'!$D$140</x:f>
        <x:v>19593690.299723253</x:v>
      </x:c>
      <x:c r="W92" s="37" t="n">
        <x:f>W82/(W$8-W$7+1)*365*'Assumptions'!$D$140</x:f>
        <x:v>17248392.322353</x:v>
      </x:c>
      <x:c r="X92" s="37" t="n">
        <x:f>X82/(X$8-X$7+1)*365*'Assumptions'!$D$140</x:f>
        <x:v>16514241.227964697</x:v>
      </x:c>
      <x:c r="Y92" s="37" t="n">
        <x:f>Y82/(Y$8-Y$7+1)*365*'Assumptions'!$D$140</x:f>
        <x:v>16289004.466091553</x:v>
      </x:c>
      <x:c r="Z92" s="37" t="n">
        <x:f>Z82/(Z$8-Z$7+1)*365*'Assumptions'!$D$140</x:f>
        <x:v>16065794.926096132</x:v>
      </x:c>
      <x:c r="AA92" s="37" t="n">
        <x:f>AA82/(AA$8-AA$7+1)*365*'Assumptions'!$D$140</x:f>
        <x:v>13639303.486724254</x:v>
      </x:c>
      <x:c r="AB92" s="37" t="n">
        <x:f>AB82/(AB$8-AB$7+1)*365*'Assumptions'!$D$140</x:f>
        <x:v>9332611.086680237</x:v>
      </x:c>
      <x:c r="AC92" s="37" t="n">
        <x:f>AC82/(AC$8-AC$7+1)*365*'Assumptions'!$D$140</x:f>
        <x:v>5356779.743009364</x:v>
      </x:c>
      <x:c r="AD92" s="37" t="n">
        <x:f>AD82/(AD$8-AD$7+1)*365*'Assumptions'!$D$140</x:f>
        <x:v>4582190.218196386</x:v>
      </x:c>
      <x:c r="AE92" s="37" t="n">
        <x:f>AE82/(AE$8-AE$7+1)*365*'Assumptions'!$D$140</x:f>
        <x:v>4463692.283763049</x:v>
      </x:c>
      <x:c r="AF92" s="37" t="n">
        <x:f>AF82/(AF$8-AF$7+1)*365*'Assumptions'!$D$140</x:f>
        <x:v>3236851.0004651654</x:v>
      </x:c>
      <x:c r="AG92" s="37" t="n">
        <x:f>AG82/(AG$8-AG$7+1)*365*'Assumptions'!$D$140</x:f>
        <x:v>1251086.991716386</x:v>
      </x:c>
      <x:c r="AH92" s="37" t="n">
        <x:f>AH82/(AH$8-AH$7+1)*365*'Assumptions'!$D$140</x:f>
        <x:v>954459.4074338216</x:v>
      </x:c>
      <x:c r="AI92" s="37" t="n">
        <x:f>AI82/(AI$8-AI$7+1)*365*'Assumptions'!$D$140</x:f>
        <x:v>0</x:v>
      </x:c>
      <x:c r="AJ92" s="37" t="n">
        <x:f>AJ82/(AJ$8-AJ$7+1)*365*'Assumptions'!$D$140</x:f>
        <x:v>0</x:v>
      </x:c>
      <x:c r="AK92" s="37" t="n">
        <x:f>AK82/(AK$8-AK$7+1)*365*'Assumptions'!$D$140</x:f>
        <x:v>0</x:v>
      </x:c>
      <x:c r="AL92" s="37" t="n">
        <x:f>AL82/(AL$8-AL$7+1)*365*'Assumptions'!$D$140</x:f>
        <x:v>0</x:v>
      </x:c>
      <x:c r="AM92" s="37" t="n">
        <x:f>AM82/(AM$8-AM$7+1)*365*'Assumptions'!$D$140</x:f>
        <x:v>0</x:v>
      </x:c>
      <x:c r="AN92" s="37" t="n">
        <x:f>AN82/(AN$8-AN$7+1)*365*'Assumptions'!$D$140</x:f>
        <x:v>0</x:v>
      </x:c>
      <x:c r="AO92" s="37" t="n">
        <x:f>AO82/(AO$8-AO$7+1)*365*'Assumptions'!$D$140</x:f>
        <x:v>0</x:v>
      </x:c>
      <x:c r="AP92" s="37" t="n">
        <x:f>AP82/(AP$8-AP$7+1)*365*'Assumptions'!$D$140</x:f>
        <x:v>0</x:v>
      </x:c>
      <x:c r="AQ92" s="37" t="n">
        <x:f>AQ82/(AQ$8-AQ$7+1)*365*'Assumptions'!$D$140</x:f>
        <x:v>0</x:v>
      </x:c>
    </x:row>
    <x:row r="93" ht="21" customHeight="1">
      <x:c r="A93" s="2"/>
      <x:c r="B93" s="2"/>
      <x:c r="C93" s="2" t="str">
        <x:v>Increase / (release) in working capital</x:v>
      </x:c>
      <x:c r="D93" s="2"/>
      <x:c r="E93" s="37" t="n">
        <x:f>E92-'Sources'!$D$45</x:f>
        <x:v>4931380.8633120395</x:v>
      </x:c>
      <x:c r="F93" s="39" t="n">
        <x:f>F92-E92</x:f>
        <x:v>100669.09845623374</x:v>
      </x:c>
      <x:c r="G93" s="39" t="n">
        <x:f>G92-F92</x:f>
        <x:v>107694.48399691656</x:v>
      </x:c>
      <x:c r="H93" s="39" t="n">
        <x:f>H92-G92</x:f>
        <x:v>109423.38278497383</x:v>
      </x:c>
      <x:c r="I93" s="39" t="n">
        <x:f>I92-H92</x:f>
        <x:v>110570.35370676592</x:v>
      </x:c>
      <x:c r="J93" s="39" t="n">
        <x:f>J92-I92</x:f>
        <x:v>110518.19534739852</x:v>
      </x:c>
      <x:c r="K93" s="39" t="n">
        <x:f>K92-J92</x:f>
        <x:v>110459.76655127108</x:v>
      </x:c>
      <x:c r="L93" s="39" t="n">
        <x:f>L92-K92</x:f>
        <x:v>111617.90596898273</x:v>
      </x:c>
      <x:c r="M93" s="39" t="n">
        <x:f>M92-L92</x:f>
        <x:v>112787.87978298962</x:v>
      </x:c>
      <x:c r="N93" s="39" t="n">
        <x:f>N92-M92</x:f>
        <x:v>112117.11693329364</x:v>
      </x:c>
      <x:c r="O93" s="39" t="n">
        <x:f>O92-N92</x:f>
        <x:v>112051.4201978445</x:v>
      </x:c>
      <x:c r="P93" s="39" t="n">
        <x:f>P92-O92</x:f>
        <x:v>113850.2640883699</x:v>
      </x:c>
      <x:c r="Q93" s="39" t="n">
        <x:f>Q92-P92</x:f>
        <x:v>286794.90129525587</x:v>
      </x:c>
      <x:c r="R93" s="39" t="n">
        <x:f>R92-Q92</x:f>
        <x:v>465558.7126484513</x:v>
      </x:c>
      <x:c r="S93" s="39" t="n">
        <x:f>S92-R92</x:f>
        <x:v>-294259.7517626472</x:v>
      </x:c>
      <x:c r="T93" s="39" t="n">
        <x:f>T92-S92</x:f>
        <x:v>-2038459.298077535</x:v>
      </x:c>
      <x:c r="U93" s="39" t="n">
        <x:f>U92-T92</x:f>
        <x:v>-418968.0367571525</x:v>
      </x:c>
      <x:c r="V93" s="39" t="n">
        <x:f>V92-U92</x:f>
        <x:v>-1398116.9587501995</x:v>
      </x:c>
      <x:c r="W93" s="39" t="n">
        <x:f>W92-V92</x:f>
        <x:v>-2345297.977370251</x:v>
      </x:c>
      <x:c r="X93" s="39" t="n">
        <x:f>X92-W92</x:f>
        <x:v>-734151.0943883043</x:v>
      </x:c>
      <x:c r="Y93" s="39" t="n">
        <x:f>Y92-X92</x:f>
        <x:v>-225236.76187314466</x:v>
      </x:c>
      <x:c r="Z93" s="39" t="n">
        <x:f>Z92-Y92</x:f>
        <x:v>-223209.53999542072</x:v>
      </x:c>
      <x:c r="AA93" s="39" t="n">
        <x:f>AA92-Z92</x:f>
        <x:v>-2426491.4393718783</x:v>
      </x:c>
      <x:c r="AB93" s="39" t="n">
        <x:f>AB92-AA92</x:f>
        <x:v>-4306692.400044017</x:v>
      </x:c>
      <x:c r="AC93" s="39" t="n">
        <x:f>AC92-AB92</x:f>
        <x:v>-3975831.343670873</x:v>
      </x:c>
      <x:c r="AD93" s="39" t="n">
        <x:f>AD92-AC92</x:f>
        <x:v>-774589.5248129787</x:v>
      </x:c>
      <x:c r="AE93" s="39" t="n">
        <x:f>AE92-AD92</x:f>
        <x:v>-118497.93443333637</x:v>
      </x:c>
      <x:c r="AF93" s="39" t="n">
        <x:f>AF92-AE92</x:f>
        <x:v>-1226841.2832978838</x:v>
      </x:c>
      <x:c r="AG93" s="39" t="n">
        <x:f>AG92-AF92</x:f>
        <x:v>-1985764.0087487793</x:v>
      </x:c>
      <x:c r="AH93" s="39" t="n">
        <x:f>AH92-AG92</x:f>
        <x:v>-296627.58428256446</x:v>
      </x:c>
      <x:c r="AI93" s="39" t="n">
        <x:f>AI92-AH92</x:f>
        <x:v>-954459.4074338216</x:v>
      </x:c>
      <x:c r="AJ93" s="39" t="n">
        <x:f>AJ92-AI92</x:f>
        <x:v>0</x:v>
      </x:c>
      <x:c r="AK93" s="39" t="n">
        <x:f>AK92-AJ92</x:f>
        <x:v>0</x:v>
      </x:c>
      <x:c r="AL93" s="39" t="n">
        <x:f>AL92-AK92</x:f>
        <x:v>0</x:v>
      </x:c>
      <x:c r="AM93" s="39" t="n">
        <x:f>AM92-AL92</x:f>
        <x:v>0</x:v>
      </x:c>
      <x:c r="AN93" s="39" t="n">
        <x:f>AN92-AM92</x:f>
        <x:v>0</x:v>
      </x:c>
      <x:c r="AO93" s="39" t="n">
        <x:f>AO92-AN92</x:f>
        <x:v>0</x:v>
      </x:c>
      <x:c r="AP93" s="39" t="n">
        <x:f>AP92-AO92</x:f>
        <x:v>0</x:v>
      </x:c>
      <x:c r="AQ93" s="39" t="n">
        <x:f>AQ92-AP92</x:f>
        <x:v>0</x:v>
      </x:c>
    </x:row>
    <x:row r="94" ht="21" customHeight="1">
      <x:c r="A94" s="2"/>
      <x:c r="B94" s="2"/>
      <x:c r="C94" s="29" t="str">
        <x:v>Unlevered free cash flow</x:v>
      </x:c>
      <x:c r="D94" s="29"/>
      <x:c r="E94" s="46" t="n">
        <x:f>E87-E88-E89-E90+E91-E93</x:f>
        <x:v>26066355.69747327</x:v>
      </x:c>
      <x:c r="F94" s="46" t="n">
        <x:f>F87-F88-F89-F90+F91-F93</x:f>
        <x:v>34932972.69888663</x:v>
      </x:c>
      <x:c r="G94" s="46" t="n">
        <x:f>G87-G88-G89-G90+G91-G93</x:f>
        <x:v>35489562.95743702</x:v>
      </x:c>
      <x:c r="H94" s="46" t="n">
        <x:f>H87-H88-H89-H90+H91-H93</x:f>
        <x:v>36058111.41059844</x:v>
      </x:c>
      <x:c r="I94" s="46" t="n">
        <x:f>I87-I88-I89-I90+I91-I93</x:f>
        <x:v>36237940.44283843</x:v>
      </x:c>
      <x:c r="J94" s="46" t="n">
        <x:f>J87-J88-J89-J90+J91-J93</x:f>
        <x:v>36021824.522985406</x:v>
      </x:c>
      <x:c r="K94" s="46" t="n">
        <x:f>K87-K88-K89-K90+K91-K93</x:f>
        <x:v>36200712.78840005</x:v>
      </x:c>
      <x:c r="L94" s="46" t="n">
        <x:f>L87-L88-L89-L90+L91-L93</x:f>
        <x:v>36781269.10731912</x:v>
      </x:c>
      <x:c r="M94" s="46" t="n">
        <x:f>M87-M88-M89-M90+M91-M93</x:f>
        <x:v>36964704.67200551</x:v>
      </x:c>
      <x:c r="N94" s="46" t="n">
        <x:f>N87-N88-N89-N90+N91-N93</x:f>
        <x:v>36338861.358503915</x:v>
      </x:c>
      <x:c r="O94" s="46" t="n">
        <x:f>O87-O88-O89-O90+O91-O93</x:f>
        <x:v>36925344.585852504</x:v>
      </x:c>
      <x:c r="P94" s="46" t="n">
        <x:f>P87-P88-P89-P90+P91-P93</x:f>
        <x:v>37516894.4894655</x:v>
      </x:c>
      <x:c r="Q94" s="46" t="n">
        <x:f>Q87-Q88-Q89-Q90+Q91-Q93</x:f>
        <x:v>150871433.6909067</x:v>
      </x:c>
      <x:c r="R94" s="46" t="n">
        <x:f>R87-R88-R89-R90+R91-R93</x:f>
        <x:v>153715834.4513976</x:v>
      </x:c>
      <x:c r="S94" s="46" t="n">
        <x:f>S87-S88-S89-S90+S91-S93</x:f>
        <x:v>206108856.61551103</x:v>
      </x:c>
      <x:c r="T94" s="46" t="n">
        <x:f>T87-T88-T89-T90+T91-T93</x:f>
        <x:v>150210953.54914007</x:v>
      </x:c>
      <x:c r="U94" s="46" t="n">
        <x:f>U87-U88-U89-U90+U91-U93</x:f>
        <x:v>145241395.4523274</x:v>
      </x:c>
      <x:c r="V94" s="46" t="n">
        <x:f>V87-V88-V89-V90+V91-V93</x:f>
        <x:v>168313287.3232569</x:v>
      </x:c>
      <x:c r="W94" s="46" t="n">
        <x:f>W87-W88-W89-W90+W91-W93</x:f>
        <x:v>130783427.19378768</x:v>
      </x:c>
      <x:c r="X94" s="46" t="n">
        <x:f>X87-X88-X89-X90+X91-X93</x:f>
        <x:v>119608396.4199524</x:v>
      </x:c>
      <x:c r="Y94" s="46" t="n">
        <x:f>Y87-Y88-Y89-Y90+Y91-Y93</x:f>
        <x:v>104238644.43400015</x:v>
      </x:c>
      <x:c r="Z94" s="46" t="n">
        <x:f>Z87-Z88-Z89-Z90+Z91-Z93</x:f>
        <x:v>120880985.12066273</x:v>
      </x:c>
      <x:c r="AA94" s="46" t="n">
        <x:f>AA87-AA88-AA89-AA90+AA91-AA93</x:f>
        <x:v>139091657.49534038</x:v>
      </x:c>
      <x:c r="AB94" s="46" t="n">
        <x:f>AB87-AB88-AB89-AB90+AB91-AB93</x:f>
        <x:v>135954697.96269935</x:v>
      </x:c>
      <x:c r="AC94" s="46" t="n">
        <x:f>AC87-AC88-AC89-AC90+AC91-AC93</x:f>
        <x:v>43381507.84533985</x:v>
      </x:c>
      <x:c r="AD94" s="46" t="n">
        <x:f>AD87-AD88-AD89-AD90+AD91-AD93</x:f>
        <x:v>27017656.975843787</x:v>
      </x:c>
      <x:c r="AE94" s="46" t="n">
        <x:f>AE87-AE88-AE89-AE90+AE91-AE93</x:f>
        <x:v>38013605.43923158</x:v>
      </x:c>
      <x:c r="AF94" s="46" t="n">
        <x:f>AF87-AF88-AF89-AF90+AF91-AF93</x:f>
        <x:v>58005230.24071778</x:v>
      </x:c>
      <x:c r="AG94" s="46" t="n">
        <x:f>AG87-AG88-AG89-AG90+AG91-AG93</x:f>
        <x:v>128558.12327641249</x:v>
      </x:c>
      <x:c r="AH94" s="46" t="n">
        <x:f>AH87-AH88-AH89-AH90+AH91-AH93</x:f>
        <x:v>5193445.663896015</x:v>
      </x:c>
      <x:c r="AI94" s="46" t="n">
        <x:f>AI87-AI88-AI89-AI90+AI91-AI93</x:f>
        <x:v>954459.4074338216</x:v>
      </x:c>
      <x:c r="AJ94" s="46" t="n">
        <x:f>AJ87-AJ88-AJ89-AJ90+AJ91-AJ93</x:f>
        <x:v>0</x:v>
      </x:c>
      <x:c r="AK94" s="46" t="n">
        <x:f>AK87-AK88-AK89-AK90+AK91-AK93</x:f>
        <x:v>0</x:v>
      </x:c>
      <x:c r="AL94" s="46" t="n">
        <x:f>AL87-AL88-AL89-AL90+AL91-AL93</x:f>
        <x:v>0</x:v>
      </x:c>
      <x:c r="AM94" s="46" t="n">
        <x:f>AM87-AM88-AM89-AM90+AM91-AM93</x:f>
        <x:v>0</x:v>
      </x:c>
      <x:c r="AN94" s="46" t="n">
        <x:f>AN87-AN88-AN89-AN90+AN91-AN93</x:f>
        <x:v>0</x:v>
      </x:c>
      <x:c r="AO94" s="46" t="n">
        <x:f>AO87-AO88-AO89-AO90+AO91-AO93</x:f>
        <x:v>0</x:v>
      </x:c>
      <x:c r="AP94" s="46" t="n">
        <x:f>AP87-AP88-AP89-AP90+AP91-AP93</x:f>
        <x:v>0</x:v>
      </x:c>
      <x:c r="AQ94" s="46" t="n">
        <x:f>AQ87-AQ88-AQ89-AQ90+AQ91-AQ93</x:f>
        <x:v>0</x:v>
      </x:c>
    </x:row>
    <x:row r="95" ht="21" customHeight="1">
      <x:c r="A95" s="2"/>
      <x:c r="B95" s="2"/>
      <x:c r="C95" s="2" t="str">
        <x:v>Discount factor</x:v>
      </x:c>
      <x:c r="D95" s="2"/>
      <x:c r="E95" s="44" t="n">
        <x:f>1/(1+'Assumptions'!$D$30+'Assumptions'!$D$7)^((E$8-46307)/365)</x:f>
        <x:v>0.9793267801399502</x:v>
      </x:c>
      <x:c r="F95" s="44" t="n">
        <x:f>1/(1+'Assumptions'!$D$30+'Assumptions'!$D$7)^((F$8-46307)/365)</x:f>
        <x:v>0.9565798208193996</x:v>
      </x:c>
      <x:c r="G95" s="44" t="n">
        <x:f>1/(1+'Assumptions'!$D$30+'Assumptions'!$D$7)^((G$8-46307)/365)</x:f>
        <x:v>0.9341172562078532</x:v>
      </x:c>
      <x:c r="H95" s="44" t="n">
        <x:f>1/(1+'Assumptions'!$D$30+'Assumptions'!$D$7)^((H$8-46307)/365)</x:f>
        <x:v>0.9119439998731989</x:v>
      </x:c>
      <x:c r="I95" s="44" t="n">
        <x:f>1/(1+'Assumptions'!$D$30+'Assumptions'!$D$7)^((I$8-46307)/365)</x:f>
        <x:v>0.8902970728545002</x:v>
      </x:c>
      <x:c r="J95" s="44" t="n">
        <x:f>1/(1+'Assumptions'!$D$30+'Assumptions'!$D$7)^((J$8-46307)/365)</x:f>
        <x:v>0.8693909706273653</x:v>
      </x:c>
      <x:c r="K95" s="44" t="n">
        <x:f>1/(1+'Assumptions'!$D$30+'Assumptions'!$D$7)^((K$8-46307)/365)</x:f>
        <x:v>0.848975788929633</x:v>
      </x:c>
      <x:c r="L95" s="44" t="n">
        <x:f>1/(1+'Assumptions'!$D$30+'Assumptions'!$D$7)^((L$8-46307)/365)</x:f>
        <x:v>0.828823546087795</x:v>
      </x:c>
      <x:c r="M95" s="44" t="n">
        <x:f>1/(1+'Assumptions'!$D$30+'Assumptions'!$D$7)^((M$8-46307)/365)</x:f>
        <x:v>0.8091496595157727</x:v>
      </x:c>
      <x:c r="N95" s="44" t="n">
        <x:f>1/(1+'Assumptions'!$D$30+'Assumptions'!$D$7)^((N$8-46307)/365)</x:f>
        <x:v>0.7903554278430593</x:v>
      </x:c>
      <x:c r="O95" s="44" t="n">
        <x:f>1/(1+'Assumptions'!$D$30+'Assumptions'!$D$7)^((O$8-46307)/365)</x:f>
        <x:v>0.7717961717542119</x:v>
      </x:c>
      <x:c r="P95" s="44" t="n">
        <x:f>1/(1+'Assumptions'!$D$30+'Assumptions'!$D$7)^((P$8-46307)/365)</x:f>
        <x:v>0.7534759509889044</x:v>
      </x:c>
      <x:c r="Q95" s="44" t="n">
        <x:f>1/(1+'Assumptions'!$D$30+'Assumptions'!$D$7)^((Q$8-46307)/365)</x:f>
        <x:v>0.6849781372626403</x:v>
      </x:c>
      <x:c r="R95" s="44" t="n">
        <x:f>1/(1+'Assumptions'!$D$30+'Assumptions'!$D$7)^((R$8-46307)/365)</x:f>
        <x:v>0.6227073975114912</x:v>
      </x:c>
      <x:c r="S95" s="44" t="n">
        <x:f>1/(1+'Assumptions'!$D$30+'Assumptions'!$D$7)^((S$8-46307)/365)</x:f>
        <x:v>0.5659498318453099</x:v>
      </x:c>
      <x:c r="T95" s="44" t="n">
        <x:f>1/(1+'Assumptions'!$D$30+'Assumptions'!$D$7)^((T$8-46307)/365)</x:f>
        <x:v>0.5144998471320998</x:v>
      </x:c>
      <x:c r="U95" s="44" t="n">
        <x:f>1/(1+'Assumptions'!$D$30+'Assumptions'!$D$7)^((U$8-46307)/365)</x:f>
        <x:v>0.46772713375645436</x:v>
      </x:c>
      <x:c r="V95" s="44" t="n">
        <x:f>1/(1+'Assumptions'!$D$30+'Assumptions'!$D$7)^((V$8-46307)/365)</x:f>
        <x:v>0.42520648523314025</x:v>
      </x:c>
      <x:c r="W95" s="44" t="n">
        <x:f>1/(1+'Assumptions'!$D$30+'Assumptions'!$D$7)^((W$8-46307)/365)</x:f>
        <x:v>0.3864504256395802</x:v>
      </x:c>
      <x:c r="X95" s="44" t="n">
        <x:f>1/(1+'Assumptions'!$D$30+'Assumptions'!$D$7)^((X$8-46307)/365)</x:f>
        <x:v>0.3513185687632547</x:v>
      </x:c>
      <x:c r="Y95" s="44" t="n">
        <x:f>1/(1+'Assumptions'!$D$30+'Assumptions'!$D$7)^((Y$8-46307)/365)</x:f>
        <x:v>0.3193805170575042</x:v>
      </x:c>
      <x:c r="Z95" s="44" t="n">
        <x:f>1/(1+'Assumptions'!$D$30+'Assumptions'!$D$7)^((Z$8-46307)/365)</x:f>
        <x:v>0.29034592459773106</x:v>
      </x:c>
      <x:c r="AA95" s="44" t="n">
        <x:f>1/(1+'Assumptions'!$D$30+'Assumptions'!$D$7)^((AA$8-46307)/365)</x:f>
        <x:v>0.26388192570014335</x:v>
      </x:c>
      <x:c r="AB95" s="44" t="n">
        <x:f>1/(1+'Assumptions'!$D$30+'Assumptions'!$D$7)^((AB$8-46307)/365)</x:f>
        <x:v>0.239892659727403</x:v>
      </x:c>
      <x:c r="AC95" s="44" t="n">
        <x:f>1/(1+'Assumptions'!$D$30+'Assumptions'!$D$7)^((AC$8-46307)/365)</x:f>
        <x:v>0.21808423611582092</x:v>
      </x:c>
      <x:c r="AD95" s="44" t="n">
        <x:f>1/(1+'Assumptions'!$D$30+'Assumptions'!$D$7)^((AD$8-46307)/365)</x:f>
        <x:v>0.1982583964689281</x:v>
      </x:c>
      <x:c r="AE95" s="44" t="n">
        <x:f>1/(1+'Assumptions'!$D$30+'Assumptions'!$D$7)^((AE$8-46307)/365)</x:f>
        <x:v>0.18018784840506102</x:v>
      </x:c>
      <x:c r="AF95" s="44" t="n">
        <x:f>1/(1+'Assumptions'!$D$30+'Assumptions'!$D$7)^((AF$8-46307)/365)</x:f>
        <x:v>0.16380713491369184</x:v>
      </x:c>
      <x:c r="AG95" s="44" t="n">
        <x:f>1/(1+'Assumptions'!$D$30+'Assumptions'!$D$7)^((AG$8-46307)/365)</x:f>
        <x:v>0.1489155771942653</x:v>
      </x:c>
      <x:c r="AH95" s="44" t="n">
        <x:f>1/(1+'Assumptions'!$D$30+'Assumptions'!$D$7)^((AH$8-46307)/365)</x:f>
        <x:v>0.13537779744933207</x:v>
      </x:c>
      <x:c r="AI95" s="44" t="n">
        <x:f>1/(1+'Assumptions'!$D$30+'Assumptions'!$D$7)^((AI$8-46307)/365)</x:f>
        <x:v>0.12303859245645789</x:v>
      </x:c>
      <x:c r="AJ95" s="44" t="n">
        <x:f>1/(1+'Assumptions'!$D$30+'Assumptions'!$D$7)^((AJ$8-46307)/365)</x:f>
        <x:v>0.11185326586950718</x:v>
      </x:c>
      <x:c r="AK95" s="44" t="n">
        <x:f>1/(1+'Assumptions'!$D$30+'Assumptions'!$D$7)^((AK$8-46307)/365)</x:f>
        <x:v>0.10168478715409741</x:v>
      </x:c>
      <x:c r="AL95" s="44" t="n">
        <x:f>1/(1+'Assumptions'!$D$30+'Assumptions'!$D$7)^((AL$8-46307)/365)</x:f>
        <x:v>0.092440715594634</x:v>
      </x:c>
      <x:c r="AM95" s="44" t="n">
        <x:f>1/(1+'Assumptions'!$D$30+'Assumptions'!$D$7)^((AM$8-46307)/365)</x:f>
        <x:v>0.08401507297892315</x:v>
      </x:c>
      <x:c r="AN95" s="44" t="n">
        <x:f>1/(1+'Assumptions'!$D$30+'Assumptions'!$D$7)^((AN$8-46307)/365)</x:f>
        <x:v>0.07637733907174832</x:v>
      </x:c>
      <x:c r="AO95" s="44" t="n">
        <x:f>1/(1+'Assumptions'!$D$30+'Assumptions'!$D$7)^((AO$8-46307)/365)</x:f>
        <x:v>0.06943394461068028</x:v>
      </x:c>
      <x:c r="AP95" s="44" t="n">
        <x:f>1/(1+'Assumptions'!$D$30+'Assumptions'!$D$7)^((AP$8-46307)/365)</x:f>
        <x:v>0.06312176782789115</x:v>
      </x:c>
      <x:c r="AQ95" s="44" t="n">
        <x:f>1/(1+'Assumptions'!$D$30+'Assumptions'!$D$7)^((AQ$8-46307)/365)</x:f>
        <x:v>0.057368443077335476</x:v>
      </x:c>
    </x:row>
    <x:row r="96" ht="21" customHeight="1">
      <x:c r="A96" s="2"/>
      <x:c r="B96" s="2"/>
      <x:c r="C96" s="2" t="str">
        <x:v>Present value of free cash flow</x:v>
      </x:c>
      <x:c r="D96" s="2"/>
      <x:c r="E96" s="39" t="n">
        <x:f>E94*E95</x:f>
        <x:v>25527480.195189144</x:v>
      </x:c>
      <x:c r="F96" s="39" t="n">
        <x:f>F94*F95</x:f>
        <x:v>33416176.764989953</x:v>
      </x:c>
      <x:c r="G96" s="39" t="n">
        <x:f>G94*G95</x:f>
        <x:v>33151413.173816938</x:v>
      </x:c>
      <x:c r="H96" s="39" t="n">
        <x:f>H94*H95</x:f>
        <x:v>32882978.347654577</x:v>
      </x:c>
      <x:c r="I96" s="39" t="n">
        <x:f>I94*I95</x:f>
        <x:v>32262532.302534766</x:v>
      </x:c>
      <x:c r="J96" s="39" t="n">
        <x:f>J94*J95</x:f>
        <x:v>31317048.985806912</x:v>
      </x:c>
      <x:c r="K96" s="39" t="n">
        <x:f>K94*K95</x:f>
        <x:v>30733528.699346982</x:v>
      </x:c>
      <x:c r="L96" s="39" t="n">
        <x:f>L94*L95</x:f>
        <x:v>30485181.891137693</x:v>
      </x:c>
      <x:c r="M96" s="39" t="n">
        <x:f>M94*M95</x:f>
        <x:v>29909978.199454352</x:v>
      </x:c>
      <x:c r="N96" s="39" t="n">
        <x:f>N94*N95</x:f>
        <x:v>28720616.31632998</x:v>
      </x:c>
      <x:c r="O96" s="39" t="n">
        <x:f>O94*O95</x:f>
        <x:v>28498839.592066076</x:v>
      </x:c>
      <x:c r="P96" s="39" t="n">
        <x:f>P94*P95</x:f>
        <x:v>28268077.753600404</x:v>
      </x:c>
      <x:c r="Q96" s="39" t="n">
        <x:f>Q94*Q95</x:f>
        <x:v>103343633.61574124</x:v>
      </x:c>
      <x:c r="R96" s="39" t="n">
        <x:f>R94*R95</x:f>
        <x:v>95719987.22753702</x:v>
      </x:c>
      <x:c r="S96" s="39" t="n">
        <x:f>S94*S95</x:f>
        <x:v>116647272.74337755</x:v>
      </x:c>
      <x:c r="T96" s="39" t="n">
        <x:f>T94*T95</x:f>
        <x:v>77283512.63859951</x:v>
      </x:c>
      <x:c r="U96" s="39" t="n">
        <x:f>U94*U95</x:f>
        <x:v>67933341.59770481</x:v>
      </x:c>
      <x:c r="V96" s="39" t="n">
        <x:f>V94*V95</x:f>
        <x:v>71567901.32075773</x:v>
      </x:c>
      <x:c r="W96" s="39" t="n">
        <x:f>W94*W95</x:f>
        <x:v>50541311.1056423</x:v>
      </x:c>
      <x:c r="X96" s="39" t="n">
        <x:f>X94*X95</x:f>
        <x:v>42020650.64232567</x:v>
      </x:c>
      <x:c r="Y96" s="39" t="n">
        <x:f>Y94*Y95</x:f>
        <x:v>33291792.1567043</x:v>
      </x:c>
      <x:c r="Z96" s="39" t="n">
        <x:f>Z94*Z95</x:f>
        <x:v>35097301.3911434</x:v>
      </x:c>
      <x:c r="AA96" s="39" t="n">
        <x:f>AA94*AA95</x:f>
        <x:v>36703774.428695194</x:v>
      </x:c>
      <x:c r="AB96" s="39" t="n">
        <x:f>AB94*AB95</x:f>
        <x:v>32614534.096707687</x:v>
      </x:c>
      <x:c r="AC96" s="39" t="n">
        <x:f>AC94*AC95</x:f>
        <x:v>9460823.000003433</x:v>
      </x:c>
      <x:c r="AD96" s="39" t="n">
        <x:f>AD94*AD95</x:f>
        <x:v>5356477.348378339</x:v>
      </x:c>
      <x:c r="AE96" s="39" t="n">
        <x:f>AE94*AE95</x:f>
        <x:v>6849589.774214064</x:v>
      </x:c>
      <x:c r="AF96" s="39" t="n">
        <x:f>AF94*AF95</x:f>
        <x:v>9501670.575741015</x:v>
      </x:c>
      <x:c r="AG96" s="39" t="n">
        <x:f>AG94*AG95</x:f>
        <x:v>19144.307130718476</x:v>
      </x:c>
      <x:c r="AH96" s="39" t="n">
        <x:f>AH94*AH95</x:f>
        <x:v>703077.2351510266</x:v>
      </x:c>
      <x:c r="AI96" s="39" t="n">
        <x:f>AI94*AI95</x:f>
        <x:v>117435.34204748226</x:v>
      </x:c>
      <x:c r="AJ96" s="39" t="n">
        <x:f>AJ94*AJ95</x:f>
        <x:v>0</x:v>
      </x:c>
      <x:c r="AK96" s="39" t="n">
        <x:f>AK94*AK95</x:f>
        <x:v>0</x:v>
      </x:c>
      <x:c r="AL96" s="39" t="n">
        <x:f>AL94*AL95</x:f>
        <x:v>0</x:v>
      </x:c>
      <x:c r="AM96" s="39" t="n">
        <x:f>AM94*AM95</x:f>
        <x:v>0</x:v>
      </x:c>
      <x:c r="AN96" s="39" t="n">
        <x:f>AN94*AN95</x:f>
        <x:v>0</x:v>
      </x:c>
      <x:c r="AO96" s="39" t="n">
        <x:f>AO94*AO95</x:f>
        <x:v>0</x:v>
      </x:c>
      <x:c r="AP96" s="39" t="n">
        <x:f>AP94*AP95</x:f>
        <x:v>0</x:v>
      </x:c>
      <x:c r="AQ96" s="39" t="n">
        <x:f>AQ94*AQ95</x:f>
        <x:v>0</x:v>
      </x:c>
    </x:row>
    <x:row r="97" ht="21" customHeight="1">
      <x:c r="A97" s="2"/>
      <x:c r="B97" s="2"/>
      <x:c r="C97" s="2" t="str">
        <x:v>PV of rate-sensitive cash incl. working capital</x:v>
      </x:c>
      <x:c r="D97" s="2"/>
      <x:c r="E97" s="37" t="n">
        <x:f>(E98*(1-'Assumptions'!$D$85)-E100)*E95</x:f>
        <x:v>39715010.63492818</x:v>
      </x:c>
      <x:c r="F97" s="37" t="n">
        <x:f>(F98*(1-'Assumptions'!$D$85)-F100)*F95</x:f>
        <x:v>64483775.347243585</x:v>
      </x:c>
      <x:c r="G97" s="37" t="n">
        <x:f>(G98*(1-'Assumptions'!$D$85)-G100)*G95</x:f>
        <x:v>63978156.23760263</x:v>
      </x:c>
      <x:c r="H97" s="37" t="n">
        <x:f>(H98*(1-'Assumptions'!$D$85)-H100)*H95</x:f>
        <x:v>63460113.43943839</x:v>
      </x:c>
      <x:c r="I97" s="37" t="n">
        <x:f>(I98*(1-'Assumptions'!$D$85)-I100)*I95</x:f>
        <x:v>62263288.89390376</x:v>
      </x:c>
      <x:c r="J97" s="37" t="n">
        <x:f>(J98*(1-'Assumptions'!$D$85)-J100)*J95</x:f>
        <x:v>60439158.190229</x:v>
      </x:c>
      <x:c r="K97" s="37" t="n">
        <x:f>(K98*(1-'Assumptions'!$D$85)-K100)*K95</x:f>
        <x:v>59312475.66904733</x:v>
      </x:c>
      <x:c r="L97" s="37" t="n">
        <x:f>(L98*(1-'Assumptions'!$D$85)-L100)*L95</x:f>
        <x:v>58832660.49018029</x:v>
      </x:c>
      <x:c r="M97" s="37" t="n">
        <x:f>(M98*(1-'Assumptions'!$D$85)-M100)*M95</x:f>
        <x:v>57723107.28679764</x:v>
      </x:c>
      <x:c r="N97" s="37" t="n">
        <x:f>(N98*(1-'Assumptions'!$D$85)-N100)*N95</x:f>
        <x:v>55428788.79230437</x:v>
      </x:c>
      <x:c r="O97" s="37" t="n">
        <x:f>(O98*(1-'Assumptions'!$D$85)-O100)*O95</x:f>
        <x:v>54999260.58813168</x:v>
      </x:c>
      <x:c r="P97" s="37" t="n">
        <x:f>(P98*(1-'Assumptions'!$D$85)-P100)*P95</x:f>
        <x:v>54553921.54543988</x:v>
      </x:c>
      <x:c r="Q97" s="37" t="n">
        <x:f>(Q98*(1-'Assumptions'!$D$85)-Q100)*Q95</x:f>
        <x:v>199317920.71235874</x:v>
      </x:c>
      <x:c r="R97" s="37" t="n">
        <x:f>(R98*(1-'Assumptions'!$D$85)-R100)*R95</x:f>
        <x:v>184727235.12609288</x:v>
      </x:c>
      <x:c r="S97" s="37" t="n">
        <x:f>(S98*(1-'Assumptions'!$D$85)-S100)*S95</x:f>
        <x:v>166569738.28692517</x:v>
      </x:c>
      <x:c r="T97" s="37" t="n">
        <x:f>(T98*(1-'Assumptions'!$D$85)-T100)*T95</x:f>
        <x:v>138459987.8523537</x:v>
      </x:c>
      <x:c r="U97" s="37" t="n">
        <x:f>(U98*(1-'Assumptions'!$D$85)-U100)*U95</x:f>
        <x:v>122744721.61906435</x:v>
      </x:c>
      <x:c r="V97" s="37" t="n">
        <x:f>(V98*(1-'Assumptions'!$D$85)-V100)*V95</x:f>
        <x:v>104763822.10647433</x:v>
      </x:c>
      <x:c r="W97" s="37" t="n">
        <x:f>(W98*(1-'Assumptions'!$D$85)-W100)*W95</x:f>
        <x:v>84588372.52506185</x:v>
      </x:c>
      <x:c r="X97" s="37" t="n">
        <x:f>(X98*(1-'Assumptions'!$D$85)-X100)*X95</x:f>
        <x:v>72969054.60565251</x:v>
      </x:c>
      <x:c r="Y97" s="37" t="n">
        <x:f>(Y98*(1-'Assumptions'!$D$85)-Y100)*Y95</x:f>
        <x:v>65248165.708294764</x:v>
      </x:c>
      <x:c r="Z97" s="37" t="n">
        <x:f>(Z98*(1-'Assumptions'!$D$85)-Z100)*Z95</x:f>
        <x:v>58544416.96995793</x:v>
      </x:c>
      <x:c r="AA97" s="37" t="n">
        <x:f>(AA98*(1-'Assumptions'!$D$85)-AA100)*AA95</x:f>
        <x:v>45970330.93105667</x:v>
      </x:c>
      <x:c r="AB97" s="37" t="n">
        <x:f>(AB98*(1-'Assumptions'!$D$85)-AB100)*AB95</x:f>
        <x:v>29174028.72568677</x:v>
      </x:c>
      <x:c r="AC97" s="37" t="n">
        <x:f>(AC98*(1-'Assumptions'!$D$85)-AC100)*AC95</x:f>
        <x:v>15508300.712988924</x:v>
      </x:c>
      <x:c r="AD97" s="37" t="n">
        <x:f>(AD98*(1-'Assumptions'!$D$85)-AD100)*AD95</x:f>
        <x:v>11658075.193300817</x:v>
      </x:c>
      <x:c r="AE97" s="37" t="n">
        <x:f>(AE98*(1-'Assumptions'!$D$85)-AE100)*AE95</x:f>
        <x:v>10248243.808369134</x:v>
      </x:c>
      <x:c r="AF97" s="37" t="n">
        <x:f>(AF98*(1-'Assumptions'!$D$85)-AF100)*AF95</x:f>
        <x:v>6875066.304701293</x:v>
      </x:c>
      <x:c r="AG97" s="37" t="n">
        <x:f>(AG98*(1-'Assumptions'!$D$85)-AG100)*AG95</x:f>
        <x:v>2547473.305759517</x:v>
      </x:c>
      <x:c r="AH97" s="37" t="n">
        <x:f>(AH98*(1-'Assumptions'!$D$85)-AH100)*AH95</x:f>
        <x:v>1615698.7485477086</x:v>
      </x:c>
      <x:c r="AI97" s="37" t="n">
        <x:f>(AI98*(1-'Assumptions'!$D$85)-AI100)*AI95</x:f>
        <x:v>101096.5118495717</x:v>
      </x:c>
      <x:c r="AJ97" s="37" t="n">
        <x:f>(AJ98*(1-'Assumptions'!$D$85)-AJ100)*AJ95</x:f>
        <x:v>0</x:v>
      </x:c>
      <x:c r="AK97" s="37" t="n">
        <x:f>(AK98*(1-'Assumptions'!$D$85)-AK100)*AK95</x:f>
        <x:v>0</x:v>
      </x:c>
      <x:c r="AL97" s="37" t="n">
        <x:f>(AL98*(1-'Assumptions'!$D$85)-AL100)*AL95</x:f>
        <x:v>0</x:v>
      </x:c>
      <x:c r="AM97" s="37" t="n">
        <x:f>(AM98*(1-'Assumptions'!$D$85)-AM100)*AM95</x:f>
        <x:v>0</x:v>
      </x:c>
      <x:c r="AN97" s="37" t="n">
        <x:f>(AN98*(1-'Assumptions'!$D$85)-AN100)*AN95</x:f>
        <x:v>0</x:v>
      </x:c>
      <x:c r="AO97" s="37" t="n">
        <x:f>(AO98*(1-'Assumptions'!$D$85)-AO100)*AO95</x:f>
        <x:v>0</x:v>
      </x:c>
      <x:c r="AP97" s="37" t="n">
        <x:f>(AP98*(1-'Assumptions'!$D$85)-AP100)*AP95</x:f>
        <x:v>0</x:v>
      </x:c>
      <x:c r="AQ97" s="37" t="n">
        <x:f>(AQ98*(1-'Assumptions'!$D$85)-AQ100)*AQ95</x:f>
        <x:v>0</x:v>
      </x:c>
    </x:row>
    <x:row r="98" ht="21" customHeight="1">
      <x:c r="A98" s="2"/>
      <x:c r="B98" s="2"/>
      <x:c r="C98" s="2" t="str">
        <x:v>Open-rate cash revenue</x:v>
      </x:c>
      <x:c r="D98" s="2"/>
      <x:c r="E98" s="39" t="n">
        <x:f>E12*(1-E14)*E13+E23*(1-E25)*E24+E34*(1-E36)*E35+E45*(1-E47)*E46</x:f>
        <x:v>60023503.52159894</x:v>
      </x:c>
      <x:c r="F98" s="39" t="n">
        <x:f>F12*(1-F14)*F13+F23*(1-F25)*F24+F34*(1-F36)*F35+F45*(1-F47)*F46</x:f>
        <x:v>67838563.55684736</x:v>
      </x:c>
      <x:c r="G98" s="39" t="n">
        <x:f>G12*(1-G14)*G13+G23*(1-G25)*G24+G34*(1-G36)*G35+G45*(1-G47)*G46</x:f>
        <x:v>68929939.55236849</x:v>
      </x:c>
      <x:c r="H98" s="39" t="n">
        <x:f>H12*(1-H14)*H13+H23*(1-H25)*H24+H34*(1-H36)*H35+H45*(1-H47)*H46</x:f>
        <x:v>70034215.16861886</x:v>
      </x:c>
      <x:c r="I98" s="39" t="n">
        <x:f>I12*(1-I14)*I13+I23*(1-I25)*I24+I34*(1-I36)*I35+I45*(1-I47)*I46</x:f>
        <x:v>70384654.10282314</x:v>
      </x:c>
      <x:c r="J98" s="39" t="n">
        <x:f>J12*(1-J14)*J13+J23*(1-J25)*J24+J34*(1-J36)*J35+J45*(1-J47)*J46</x:f>
        <x:v>69966069.81753519</x:v>
      </x:c>
      <x:c r="K98" s="39" t="n">
        <x:f>K12*(1-K14)*K13+K23*(1-K25)*K24+K34*(1-K36)*K35+K45*(1-K47)*K46</x:f>
        <x:v>70312352.95040171</x:v>
      </x:c>
      <x:c r="L98" s="39" t="n">
        <x:f>L12*(1-L14)*L13+L23*(1-L25)*L24+L34*(1-L36)*L35+L45*(1-L47)*L46</x:f>
        <x:v>71438775.18997627</x:v>
      </x:c>
      <x:c r="M98" s="39" t="n">
        <x:f>M12*(1-M14)*M13+M23*(1-M25)*M24+M34*(1-M36)*M35+M45*(1-M47)*M46</x:f>
        <x:v>71796242.29627794</x:v>
      </x:c>
      <x:c r="N98" s="39" t="n">
        <x:f>N12*(1-N14)*N13+N23*(1-N25)*N24+N34*(1-N36)*N35+N45*(1-N47)*N46</x:f>
        <x:v>70583070.8185973</x:v>
      </x:c>
      <x:c r="O98" s="39" t="n">
        <x:f>O12*(1-O14)*O13+O23*(1-O25)*O24+O34*(1-O36)*O35+O45*(1-O47)*O46</x:f>
        <x:v>71718600.00940974</x:v>
      </x:c>
      <x:c r="P98" s="39" t="n">
        <x:f>P12*(1-P14)*P13+P23*(1-P25)*P24+P34*(1-P36)*P35+P45*(1-P47)*P46</x:f>
        <x:v>72867550.69377579</x:v>
      </x:c>
      <x:c r="Q98" s="39" t="n">
        <x:f>Q12*(1-Q14)*Q13+Q23*(1-Q25)*Q24+Q34*(1-Q36)*Q35+Q45*(1-Q47)*Q46</x:f>
        <x:v>292700289.5334248</x:v>
      </x:c>
      <x:c r="R98" s="39" t="n">
        <x:f>R12*(1-R14)*R13+R23*(1-R25)*R24+R34*(1-R36)*R35+R45*(1-R47)*R46</x:f>
        <x:v>298554295.32409334</x:v>
      </x:c>
      <x:c r="S98" s="39" t="n">
        <x:f>S12*(1-S14)*S13+S23*(1-S25)*S24+S34*(1-S36)*S35+S45*(1-S47)*S46</x:f>
        <x:v>295528204.013059</x:v>
      </x:c>
      <x:c r="T98" s="39" t="n">
        <x:f>T12*(1-T14)*T13+T23*(1-T25)*T24+T34*(1-T36)*T35+T45*(1-T47)*T46</x:f>
        <x:v>268632702.8260932</x:v>
      </x:c>
      <x:c r="U98" s="39" t="n">
        <x:f>U12*(1-U14)*U13+U23*(1-U25)*U24+U34*(1-U36)*U35+U45*(1-U47)*U46</x:f>
        <x:v>263377043.27058995</x:v>
      </x:c>
      <x:c r="V98" s="39" t="n">
        <x:f>V12*(1-V14)*V13+V23*(1-V25)*V24+V34*(1-V36)*V35+V45*(1-V47)*V46</x:f>
        <x:v>246429203.26647773</x:v>
      </x:c>
      <x:c r="W98" s="39" t="n">
        <x:f>W12*(1-W14)*W13+W23*(1-W25)*W24+W34*(1-W36)*W35+W45*(1-W47)*W46</x:f>
        <x:v>217939152.63837045</x:v>
      </x:c>
      <x:c r="X98" s="39" t="n">
        <x:f>X12*(1-X14)*X13+X23*(1-X25)*X24+X34*(1-X36)*X35+X45*(1-X47)*X46</x:f>
        <x:v>208093488.03649944</x:v>
      </x:c>
      <x:c r="Y98" s="39" t="n">
        <x:f>Y12*(1-Y14)*Y13+Y23*(1-Y25)*Y24+Y34*(1-Y36)*Y35+Y45*(1-Y47)*Y46</x:f>
        <x:v>205112937.40024087</x:v>
      </x:c>
      <x:c r="Z98" s="39" t="n">
        <x:f>Z12*(1-Z14)*Z13+Z23*(1-Z25)*Z24+Z34*(1-Z36)*Z35+Z45*(1-Z47)*Z46</x:f>
        <x:v>202463646.66968572</x:v>
      </x:c>
      <x:c r="AA98" s="39" t="n">
        <x:f>AA12*(1-AA14)*AA13+AA23*(1-AA25)*AA24+AA34*(1-AA36)*AA35+AA45*(1-AA47)*AA46</x:f>
        <x:v>172975587.11601785</x:v>
      </x:c>
      <x:c r="AB98" s="39" t="n">
        <x:f>AB12*(1-AB14)*AB13+AB23*(1-AB25)*AB24+AB34*(1-AB36)*AB35+AB45*(1-AB47)*AB46</x:f>
        <x:v>118419066.13078135</x:v>
      </x:c>
      <x:c r="AC98" s="39" t="n">
        <x:f>AC12*(1-AC14)*AC13+AC23*(1-AC25)*AC24+AC34*(1-AC36)*AC35+AC45*(1-AC47)*AC46</x:f>
        <x:v>67915872.08484657</x:v>
      </x:c>
      <x:c r="AD98" s="39" t="n">
        <x:f>AD12*(1-AD14)*AD13+AD23*(1-AD25)*AD24+AD34*(1-AD36)*AD35+AD45*(1-AD47)*AD46</x:f>
        <x:v>58430613.52062504</x:v>
      </x:c>
      <x:c r="AE98" s="39" t="n">
        <x:f>AE12*(1-AE14)*AE13+AE23*(1-AE25)*AE24+AE34*(1-AE36)*AE35+AE45*(1-AE47)*AE46</x:f>
        <x:v>57053273.323793076</x:v>
      </x:c>
      <x:c r="AF98" s="39" t="n">
        <x:f>AF12*(1-AF14)*AF13+AF23*(1-AF25)*AF24+AF34*(1-AF36)*AF35+AF45*(1-AF47)*AF46</x:f>
        <x:v>41067758.138703465</x:v>
      </x:c>
      <x:c r="AG98" s="39" t="n">
        <x:f>AG12*(1-AG14)*AG13+AG23*(1-AG25)*AG24+AG34*(1-AG36)*AG35+AG45*(1-AG47)*AG46</x:f>
        <x:v>15386038.780114561</x:v>
      </x:c>
      <x:c r="AH98" s="39" t="n">
        <x:f>AH12*(1-AH14)*AH13+AH23*(1-AH25)*AH24+AH34*(1-AH36)*AH35+AH45*(1-AH47)*AH46</x:f>
        <x:v>11738072.215645757</x:v>
      </x:c>
      <x:c r="AI98" s="39" t="n">
        <x:f>AI12*(1-AI14)*AI13+AI23*(1-AI25)*AI24+AI34*(1-AI36)*AI35+AI45*(1-AI47)*AI46</x:f>
        <x:v>0</x:v>
      </x:c>
      <x:c r="AJ98" s="39" t="n">
        <x:f>AJ12*(1-AJ14)*AJ13+AJ23*(1-AJ25)*AJ24+AJ34*(1-AJ36)*AJ35+AJ45*(1-AJ47)*AJ46</x:f>
        <x:v>0</x:v>
      </x:c>
      <x:c r="AK98" s="39" t="n">
        <x:f>AK12*(1-AK14)*AK13+AK23*(1-AK25)*AK24+AK34*(1-AK36)*AK35+AK45*(1-AK47)*AK46</x:f>
        <x:v>0</x:v>
      </x:c>
      <x:c r="AL98" s="39" t="n">
        <x:f>AL12*(1-AL14)*AL13+AL23*(1-AL25)*AL24+AL34*(1-AL36)*AL35+AL45*(1-AL47)*AL46</x:f>
        <x:v>0</x:v>
      </x:c>
      <x:c r="AM98" s="39" t="n">
        <x:f>AM12*(1-AM14)*AM13+AM23*(1-AM25)*AM24+AM34*(1-AM36)*AM35+AM45*(1-AM47)*AM46</x:f>
        <x:v>0</x:v>
      </x:c>
      <x:c r="AN98" s="39" t="n">
        <x:f>AN12*(1-AN14)*AN13+AN23*(1-AN25)*AN24+AN34*(1-AN36)*AN35+AN45*(1-AN47)*AN46</x:f>
        <x:v>0</x:v>
      </x:c>
      <x:c r="AO98" s="39" t="n">
        <x:f>AO12*(1-AO14)*AO13+AO23*(1-AO25)*AO24+AO34*(1-AO36)*AO35+AO45*(1-AO47)*AO46</x:f>
        <x:v>0</x:v>
      </x:c>
      <x:c r="AP98" s="39" t="n">
        <x:f>AP12*(1-AP14)*AP13+AP23*(1-AP25)*AP24+AP34*(1-AP36)*AP35+AP45*(1-AP47)*AP46</x:f>
        <x:v>0</x:v>
      </x:c>
      <x:c r="AQ98" s="39" t="n">
        <x:f>AQ12*(1-AQ14)*AQ13+AQ23*(1-AQ25)*AQ24+AQ34*(1-AQ36)*AQ35+AQ45*(1-AQ47)*AQ46</x:f>
        <x:v>0</x:v>
      </x:c>
    </x:row>
    <x:row r="99" ht="21" customHeight="1">
      <x:c r="A99" s="2"/>
      <x:c r="B99" s="2"/>
      <x:c r="C99" s="2" t="str">
        <x:v>Open-rate working-capital target</x:v>
      </x:c>
      <x:c r="D99" s="2"/>
      <x:c r="E99" s="37" t="n">
        <x:f>E98/(E$8-E$7+1)*365*'Assumptions'!$D$140</x:f>
        <x:v>19170006.437210664</x:v>
      </x:c>
      <x:c r="F99" s="37" t="n">
        <x:f>F98/(F$8-F$7+1)*365*'Assumptions'!$D$140</x:f>
        <x:v>19258614.43197167</x:v>
      </x:c>
      <x:c r="G99" s="37" t="n">
        <x:f>G98/(G$8-G$7+1)*365*'Assumptions'!$D$140</x:f>
        <x:v>19353406.105088077</x:v>
      </x:c>
      <x:c r="H99" s="37" t="n">
        <x:f>H98/(H$8-H$7+1)*365*'Assumptions'!$D$140</x:f>
        <x:v>19449719.538676217</x:v>
      </x:c>
      <x:c r="I99" s="37" t="n">
        <x:f>I98/(I$8-I$7+1)*365*'Assumptions'!$D$140</x:f>
        <x:v>19547042.525294904</x:v>
      </x:c>
      <x:c r="J99" s="37" t="n">
        <x:f>J98/(J$8-J$7+1)*365*'Assumptions'!$D$140</x:f>
        <x:v>19644319.602615654</x:v>
      </x:c>
      <x:c r="K99" s="37" t="n">
        <x:f>K98/(K$8-K$7+1)*365*'Assumptions'!$D$140</x:f>
        <x:v>19741545.251458943</x:v>
      </x:c>
      <x:c r="L99" s="37" t="n">
        <x:f>L98/(L$8-L$7+1)*365*'Assumptions'!$D$140</x:f>
        <x:v>19839790.283737976</x:v>
      </x:c>
      <x:c r="M99" s="37" t="n">
        <x:f>M98/(M$8-M$7+1)*365*'Assumptions'!$D$140</x:f>
        <x:v>19939065.11597719</x:v>
      </x:c>
      <x:c r="N99" s="37" t="n">
        <x:f>N98/(N$8-N$7+1)*365*'Assumptions'!$D$140</x:f>
        <x:v>20037749.549057346</x:v>
      </x:c>
      <x:c r="O99" s="37" t="n">
        <x:f>O98/(O$8-O$7+1)*365*'Assumptions'!$D$140</x:f>
        <x:v>20136376.15648812</x:v>
      </x:c>
      <x:c r="P99" s="37" t="n">
        <x:f>P98/(P$8-P$7+1)*365*'Assumptions'!$D$140</x:f>
        <x:v>20236586.089412734</x:v>
      </x:c>
      <x:c r="Q99" s="37" t="n">
        <x:f>Q98/(Q$8-Q$7+1)*365*'Assumptions'!$D$140</x:f>
        <x:v>20489020.267339736</x:v>
      </x:c>
      <x:c r="R99" s="37" t="n">
        <x:f>R98/(R$8-R$7+1)*365*'Assumptions'!$D$140</x:f>
        <x:v>20898800.672686536</x:v>
      </x:c>
      <x:c r="S99" s="37" t="n">
        <x:f>S98/(S$8-S$7+1)*365*'Assumptions'!$D$140</x:f>
        <x:v>20630452.493261363</x:v>
      </x:c>
      <x:c r="T99" s="37" t="n">
        <x:f>T98/(T$8-T$7+1)*365*'Assumptions'!$D$140</x:f>
        <x:v>18804289.197826527</x:v>
      </x:c>
      <x:c r="U99" s="37" t="n">
        <x:f>U98/(U$8-U$7+1)*365*'Assumptions'!$D$140</x:f>
        <x:v>18436393.0289413</x:v>
      </x:c>
      <x:c r="V99" s="37" t="n">
        <x:f>V98/(V$8-V$7+1)*365*'Assumptions'!$D$140</x:f>
        <x:v>17250044.228653446</x:v>
      </x:c>
      <x:c r="W99" s="37" t="n">
        <x:f>W98/(W$8-W$7+1)*365*'Assumptions'!$D$140</x:f>
        <x:v>15214058.33308843</x:v>
      </x:c>
      <x:c r="X99" s="37" t="n">
        <x:f>X98/(X$8-X$7+1)*365*'Assumptions'!$D$140</x:f>
        <x:v>14566544.162554963</x:v>
      </x:c>
      <x:c r="Y99" s="37" t="n">
        <x:f>Y98/(Y$8-Y$7+1)*365*'Assumptions'!$D$140</x:f>
        <x:v>14357905.618016861</x:v>
      </x:c>
      <x:c r="Z99" s="37" t="n">
        <x:f>Z98/(Z$8-Z$7+1)*365*'Assumptions'!$D$140</x:f>
        <x:v>14172455.266878001</x:v>
      </x:c>
      <x:c r="AA99" s="37" t="n">
        <x:f>AA98/(AA$8-AA$7+1)*365*'Assumptions'!$D$140</x:f>
        <x:v>12075208.335558077</x:v>
      </x:c>
      <x:c r="AB99" s="37" t="n">
        <x:f>AB98/(AB$8-AB$7+1)*365*'Assumptions'!$D$140</x:f>
        <x:v>8289334.629154695</x:v>
      </x:c>
      <x:c r="AC99" s="37" t="n">
        <x:f>AC98/(AC$8-AC$7+1)*365*'Assumptions'!$D$140</x:f>
        <x:v>4754111.04593926</x:v>
      </x:c>
      <x:c r="AD99" s="37" t="n">
        <x:f>AD98/(AD$8-AD$7+1)*365*'Assumptions'!$D$140</x:f>
        <x:v>4090142.946443754</x:v>
      </x:c>
      <x:c r="AE99" s="37" t="n">
        <x:f>AE98/(AE$8-AE$7+1)*365*'Assumptions'!$D$140</x:f>
        <x:v>3982817.3044341896</x:v>
      </x:c>
      <x:c r="AF99" s="37" t="n">
        <x:f>AF98/(AF$8-AF$7+1)*365*'Assumptions'!$D$140</x:f>
        <x:v>2874743.069709243</x:v>
      </x:c>
      <x:c r="AG99" s="37" t="n">
        <x:f>AG98/(AG$8-AG$7+1)*365*'Assumptions'!$D$140</x:f>
        <x:v>1077022.7146080192</x:v>
      </x:c>
      <x:c r="AH99" s="37" t="n">
        <x:f>AH98/(AH$8-AH$7+1)*365*'Assumptions'!$D$140</x:f>
        <x:v>821665.055095203</x:v>
      </x:c>
      <x:c r="AI99" s="37" t="n">
        <x:f>AI98/(AI$8-AI$7+1)*365*'Assumptions'!$D$140</x:f>
        <x:v>0</x:v>
      </x:c>
      <x:c r="AJ99" s="37" t="n">
        <x:f>AJ98/(AJ$8-AJ$7+1)*365*'Assumptions'!$D$140</x:f>
        <x:v>0</x:v>
      </x:c>
      <x:c r="AK99" s="37" t="n">
        <x:f>AK98/(AK$8-AK$7+1)*365*'Assumptions'!$D$140</x:f>
        <x:v>0</x:v>
      </x:c>
      <x:c r="AL99" s="37" t="n">
        <x:f>AL98/(AL$8-AL$7+1)*365*'Assumptions'!$D$140</x:f>
        <x:v>0</x:v>
      </x:c>
      <x:c r="AM99" s="37" t="n">
        <x:f>AM98/(AM$8-AM$7+1)*365*'Assumptions'!$D$140</x:f>
        <x:v>0</x:v>
      </x:c>
      <x:c r="AN99" s="37" t="n">
        <x:f>AN98/(AN$8-AN$7+1)*365*'Assumptions'!$D$140</x:f>
        <x:v>0</x:v>
      </x:c>
      <x:c r="AO99" s="37" t="n">
        <x:f>AO98/(AO$8-AO$7+1)*365*'Assumptions'!$D$140</x:f>
        <x:v>0</x:v>
      </x:c>
      <x:c r="AP99" s="37" t="n">
        <x:f>AP98/(AP$8-AP$7+1)*365*'Assumptions'!$D$140</x:f>
        <x:v>0</x:v>
      </x:c>
      <x:c r="AQ99" s="37" t="n">
        <x:f>AQ98/(AQ$8-AQ$7+1)*365*'Assumptions'!$D$140</x:f>
        <x:v>0</x:v>
      </x:c>
    </x:row>
    <x:row r="100" ht="21" customHeight="1">
      <x:c r="A100" s="2"/>
      <x:c r="B100" s="2"/>
      <x:c r="C100" s="2" t="str">
        <x:v>Change in rate-sensitive working capital</x:v>
      </x:c>
      <x:c r="D100" s="2"/>
      <x:c r="E100" s="39" t="n">
        <x:f>E99-0</x:f>
        <x:v>19170006.437210664</x:v>
      </x:c>
      <x:c r="F100" s="39" t="n">
        <x:f>F99-E99</x:f>
        <x:v>88607.99476100504</x:v>
      </x:c>
      <x:c r="G100" s="39" t="n">
        <x:f>G99-F99</x:f>
        <x:v>94791.67311640829</x:v>
      </x:c>
      <x:c r="H100" s="39" t="n">
        <x:f>H99-G99</x:f>
        <x:v>96313.43358813971</x:v>
      </x:c>
      <x:c r="I100" s="39" t="n">
        <x:f>I99-H99</x:f>
        <x:v>97322.98661868647</x:v>
      </x:c>
      <x:c r="J100" s="39" t="n">
        <x:f>J99-I99</x:f>
        <x:v>97277.0773207508</x:v>
      </x:c>
      <x:c r="K100" s="39" t="n">
        <x:f>K99-J99</x:f>
        <x:v>97225.64884328842</x:v>
      </x:c>
      <x:c r="L100" s="39" t="n">
        <x:f>L99-K99</x:f>
        <x:v>98245.03227903321</x:v>
      </x:c>
      <x:c r="M100" s="39" t="n">
        <x:f>M99-L99</x:f>
        <x:v>99274.83223921433</x:v>
      </x:c>
      <x:c r="N100" s="39" t="n">
        <x:f>N99-M99</x:f>
        <x:v>98684.4330801554</x:v>
      </x:c>
      <x:c r="O100" s="39" t="n">
        <x:f>O99-N99</x:f>
        <x:v>98626.60743077472</x:v>
      </x:c>
      <x:c r="P100" s="39" t="n">
        <x:f>P99-O99</x:f>
        <x:v>100209.93292461336</x:v>
      </x:c>
      <x:c r="Q100" s="39" t="n">
        <x:f>Q99-P99</x:f>
        <x:v>252434.1779270023</x:v>
      </x:c>
      <x:c r="R100" s="39" t="n">
        <x:f>R99-Q99</x:f>
        <x:v>409780.40534679964</x:v>
      </x:c>
      <x:c r="S100" s="39" t="n">
        <x:f>S99-R99</x:f>
        <x:v>-268348.1794251725</x:v>
      </x:c>
      <x:c r="T100" s="39" t="n">
        <x:f>T99-S99</x:f>
        <x:v>-1826163.2954348363</x:v>
      </x:c>
      <x:c r="U100" s="39" t="n">
        <x:f>U99-T99</x:f>
        <x:v>-367896.1688852273</x:v>
      </x:c>
      <x:c r="V100" s="39" t="n">
        <x:f>V99-U99</x:f>
        <x:v>-1186348.800287854</x:v>
      </x:c>
      <x:c r="W100" s="39" t="n">
        <x:f>W99-V99</x:f>
        <x:v>-2035985.8955650162</x:v>
      </x:c>
      <x:c r="X100" s="39" t="n">
        <x:f>X99-W99</x:f>
        <x:v>-647514.1705334671</x:v>
      </x:c>
      <x:c r="Y100" s="39" t="n">
        <x:f>Y99-X99</x:f>
        <x:v>-208638.54453810118</x:v>
      </x:c>
      <x:c r="Z100" s="39" t="n">
        <x:f>Z99-Y99</x:f>
        <x:v>-185450.35113886</x:v>
      </x:c>
      <x:c r="AA100" s="39" t="n">
        <x:f>AA99-Z99</x:f>
        <x:v>-2097246.931319924</x:v>
      </x:c>
      <x:c r="AB100" s="39" t="n">
        <x:f>AB99-AA99</x:f>
        <x:v>-3785873.706403382</x:v>
      </x:c>
      <x:c r="AC100" s="39" t="n">
        <x:f>AC99-AB99</x:f>
        <x:v>-3535223.583215435</x:v>
      </x:c>
      <x:c r="AD100" s="39" t="n">
        <x:f>AD99-AC99</x:f>
        <x:v>-663968.0994955064</x:v>
      </x:c>
      <x:c r="AE100" s="39" t="n">
        <x:f>AE99-AD99</x:f>
        <x:v>-107325.64200956421</x:v>
      </x:c>
      <x:c r="AF100" s="39" t="n">
        <x:f>AF99-AE99</x:f>
        <x:v>-1108074.2347249468</x:v>
      </x:c>
      <x:c r="AG100" s="39" t="n">
        <x:f>AG99-AF99</x:f>
        <x:v>-1797720.3551012236</x:v>
      </x:c>
      <x:c r="AH100" s="39" t="n">
        <x:f>AH99-AG99</x:f>
        <x:v>-255357.65951281623</x:v>
      </x:c>
      <x:c r="AI100" s="39" t="n">
        <x:f>AI99-AH99</x:f>
        <x:v>-821665.055095203</x:v>
      </x:c>
      <x:c r="AJ100" s="39" t="n">
        <x:f>AJ99-AI99</x:f>
        <x:v>0</x:v>
      </x:c>
      <x:c r="AK100" s="39" t="n">
        <x:f>AK99-AJ99</x:f>
        <x:v>0</x:v>
      </x:c>
      <x:c r="AL100" s="39" t="n">
        <x:f>AL99-AK99</x:f>
        <x:v>0</x:v>
      </x:c>
      <x:c r="AM100" s="39" t="n">
        <x:f>AM99-AL99</x:f>
        <x:v>0</x:v>
      </x:c>
      <x:c r="AN100" s="39" t="n">
        <x:f>AN99-AM99</x:f>
        <x:v>0</x:v>
      </x:c>
      <x:c r="AO100" s="39" t="n">
        <x:f>AO99-AN99</x:f>
        <x:v>0</x:v>
      </x:c>
      <x:c r="AP100" s="39" t="n">
        <x:f>AP99-AO99</x:f>
        <x:v>0</x:v>
      </x:c>
      <x:c r="AQ100" s="39" t="n">
        <x:f>AQ99-AP99</x:f>
        <x:v>0</x:v>
      </x:c>
    </x:row>
    <x:row r="101" ht="21" customHeight="1">
      <x:c r="A101" s="2"/>
      <x:c r="B101" s="2"/>
      <x:c r="C101" s="2" t="str">
        <x:v>Open revenue at unit rate multiplier</x:v>
      </x:c>
      <x:c r="D101" s="2"/>
      <x:c r="E101" s="37" t="n">
        <x:f>E12*(1-E14)*'Assumptions'!$D$10*(1+'Assumptions'!$D$80)^(((E$7+E$8)/2-46307)/365)+E23*(1-E25)*'Assumptions'!$D$15*(1+'Assumptions'!$D$80)^(((E$7+E$8)/2-46307)/365)+E34*(1-E36)*'Assumptions'!$D$20*(1+'Assumptions'!$D$80)^(((E$7+E$8)/2-46307)/365)+E45*(1-E47)*'Assumptions'!$D$25*(1+'Assumptions'!$D$80)^(((E$7+E$8)/2-46307)/365)</x:f>
        <x:v>60023503.52159894</x:v>
      </x:c>
      <x:c r="F101" s="37" t="n">
        <x:f>F12*(1-F14)*'Assumptions'!$D$10*(1+'Assumptions'!$D$80)^(((F$7+F$8)/2-46307)/365)+F23*(1-F25)*'Assumptions'!$D$15*(1+'Assumptions'!$D$80)^(((F$7+F$8)/2-46307)/365)+F34*(1-F36)*'Assumptions'!$D$20*(1+'Assumptions'!$D$80)^(((F$7+F$8)/2-46307)/365)+F45*(1-F47)*'Assumptions'!$D$25*(1+'Assumptions'!$D$80)^(((F$7+F$8)/2-46307)/365)</x:f>
        <x:v>67838563.55684736</x:v>
      </x:c>
      <x:c r="G101" s="37" t="n">
        <x:f>G12*(1-G14)*'Assumptions'!$D$10*(1+'Assumptions'!$D$80)^(((G$7+G$8)/2-46307)/365)+G23*(1-G25)*'Assumptions'!$D$15*(1+'Assumptions'!$D$80)^(((G$7+G$8)/2-46307)/365)+G34*(1-G36)*'Assumptions'!$D$20*(1+'Assumptions'!$D$80)^(((G$7+G$8)/2-46307)/365)+G45*(1-G47)*'Assumptions'!$D$25*(1+'Assumptions'!$D$80)^(((G$7+G$8)/2-46307)/365)</x:f>
        <x:v>68929939.55236849</x:v>
      </x:c>
      <x:c r="H101" s="37" t="n">
        <x:f>H12*(1-H14)*'Assumptions'!$D$10*(1+'Assumptions'!$D$80)^(((H$7+H$8)/2-46307)/365)+H23*(1-H25)*'Assumptions'!$D$15*(1+'Assumptions'!$D$80)^(((H$7+H$8)/2-46307)/365)+H34*(1-H36)*'Assumptions'!$D$20*(1+'Assumptions'!$D$80)^(((H$7+H$8)/2-46307)/365)+H45*(1-H47)*'Assumptions'!$D$25*(1+'Assumptions'!$D$80)^(((H$7+H$8)/2-46307)/365)</x:f>
        <x:v>70034215.16861886</x:v>
      </x:c>
      <x:c r="I101" s="37" t="n">
        <x:f>I12*(1-I14)*'Assumptions'!$D$10*(1+'Assumptions'!$D$80)^(((I$7+I$8)/2-46307)/365)+I23*(1-I25)*'Assumptions'!$D$15*(1+'Assumptions'!$D$80)^(((I$7+I$8)/2-46307)/365)+I34*(1-I36)*'Assumptions'!$D$20*(1+'Assumptions'!$D$80)^(((I$7+I$8)/2-46307)/365)+I45*(1-I47)*'Assumptions'!$D$25*(1+'Assumptions'!$D$80)^(((I$7+I$8)/2-46307)/365)</x:f>
        <x:v>70384654.10282314</x:v>
      </x:c>
      <x:c r="J101" s="37" t="n">
        <x:f>J12*(1-J14)*'Assumptions'!$D$10*(1+'Assumptions'!$D$80)^(((J$7+J$8)/2-46307)/365)+J23*(1-J25)*'Assumptions'!$D$15*(1+'Assumptions'!$D$80)^(((J$7+J$8)/2-46307)/365)+J34*(1-J36)*'Assumptions'!$D$20*(1+'Assumptions'!$D$80)^(((J$7+J$8)/2-46307)/365)+J45*(1-J47)*'Assumptions'!$D$25*(1+'Assumptions'!$D$80)^(((J$7+J$8)/2-46307)/365)</x:f>
        <x:v>69966069.81753519</x:v>
      </x:c>
      <x:c r="K101" s="37" t="n">
        <x:f>K12*(1-K14)*'Assumptions'!$D$10*(1+'Assumptions'!$D$80)^(((K$7+K$8)/2-46307)/365)+K23*(1-K25)*'Assumptions'!$D$15*(1+'Assumptions'!$D$80)^(((K$7+K$8)/2-46307)/365)+K34*(1-K36)*'Assumptions'!$D$20*(1+'Assumptions'!$D$80)^(((K$7+K$8)/2-46307)/365)+K45*(1-K47)*'Assumptions'!$D$25*(1+'Assumptions'!$D$80)^(((K$7+K$8)/2-46307)/365)</x:f>
        <x:v>70312352.95040171</x:v>
      </x:c>
      <x:c r="L101" s="37" t="n">
        <x:f>L12*(1-L14)*'Assumptions'!$D$10*(1+'Assumptions'!$D$80)^(((L$7+L$8)/2-46307)/365)+L23*(1-L25)*'Assumptions'!$D$15*(1+'Assumptions'!$D$80)^(((L$7+L$8)/2-46307)/365)+L34*(1-L36)*'Assumptions'!$D$20*(1+'Assumptions'!$D$80)^(((L$7+L$8)/2-46307)/365)+L45*(1-L47)*'Assumptions'!$D$25*(1+'Assumptions'!$D$80)^(((L$7+L$8)/2-46307)/365)</x:f>
        <x:v>71438775.18997627</x:v>
      </x:c>
      <x:c r="M101" s="37" t="n">
        <x:f>M12*(1-M14)*'Assumptions'!$D$10*(1+'Assumptions'!$D$80)^(((M$7+M$8)/2-46307)/365)+M23*(1-M25)*'Assumptions'!$D$15*(1+'Assumptions'!$D$80)^(((M$7+M$8)/2-46307)/365)+M34*(1-M36)*'Assumptions'!$D$20*(1+'Assumptions'!$D$80)^(((M$7+M$8)/2-46307)/365)+M45*(1-M47)*'Assumptions'!$D$25*(1+'Assumptions'!$D$80)^(((M$7+M$8)/2-46307)/365)</x:f>
        <x:v>71796242.29627794</x:v>
      </x:c>
      <x:c r="N101" s="37" t="n">
        <x:f>N12*(1-N14)*'Assumptions'!$D$10*(1+'Assumptions'!$D$80)^(((N$7+N$8)/2-46307)/365)+N23*(1-N25)*'Assumptions'!$D$15*(1+'Assumptions'!$D$80)^(((N$7+N$8)/2-46307)/365)+N34*(1-N36)*'Assumptions'!$D$20*(1+'Assumptions'!$D$80)^(((N$7+N$8)/2-46307)/365)+N45*(1-N47)*'Assumptions'!$D$25*(1+'Assumptions'!$D$80)^(((N$7+N$8)/2-46307)/365)</x:f>
        <x:v>70583070.8185973</x:v>
      </x:c>
      <x:c r="O101" s="37" t="n">
        <x:f>O12*(1-O14)*'Assumptions'!$D$10*(1+'Assumptions'!$D$80)^(((O$7+O$8)/2-46307)/365)+O23*(1-O25)*'Assumptions'!$D$15*(1+'Assumptions'!$D$80)^(((O$7+O$8)/2-46307)/365)+O34*(1-O36)*'Assumptions'!$D$20*(1+'Assumptions'!$D$80)^(((O$7+O$8)/2-46307)/365)+O45*(1-O47)*'Assumptions'!$D$25*(1+'Assumptions'!$D$80)^(((O$7+O$8)/2-46307)/365)</x:f>
        <x:v>71718600.00940974</x:v>
      </x:c>
      <x:c r="P101" s="37" t="n">
        <x:f>P12*(1-P14)*'Assumptions'!$D$10*(1+'Assumptions'!$D$80)^(((P$7+P$8)/2-46307)/365)+P23*(1-P25)*'Assumptions'!$D$15*(1+'Assumptions'!$D$80)^(((P$7+P$8)/2-46307)/365)+P34*(1-P36)*'Assumptions'!$D$20*(1+'Assumptions'!$D$80)^(((P$7+P$8)/2-46307)/365)+P45*(1-P47)*'Assumptions'!$D$25*(1+'Assumptions'!$D$80)^(((P$7+P$8)/2-46307)/365)</x:f>
        <x:v>72867550.69377579</x:v>
      </x:c>
      <x:c r="Q101" s="37" t="n">
        <x:f>Q12*(1-Q14)*'Assumptions'!$D$10*(1+'Assumptions'!$D$80)^(((Q$7+Q$8)/2-46307)/365)+Q23*(1-Q25)*'Assumptions'!$D$15*(1+'Assumptions'!$D$80)^(((Q$7+Q$8)/2-46307)/365)+Q34*(1-Q36)*'Assumptions'!$D$20*(1+'Assumptions'!$D$80)^(((Q$7+Q$8)/2-46307)/365)+Q45*(1-Q47)*'Assumptions'!$D$25*(1+'Assumptions'!$D$80)^(((Q$7+Q$8)/2-46307)/365)</x:f>
        <x:v>292700289.5334248</x:v>
      </x:c>
      <x:c r="R101" s="37" t="n">
        <x:f>R12*(1-R14)*'Assumptions'!$D$10*(1+'Assumptions'!$D$80)^(((R$7+R$8)/2-46307)/365)+R23*(1-R25)*'Assumptions'!$D$15*(1+'Assumptions'!$D$80)^(((R$7+R$8)/2-46307)/365)+R34*(1-R36)*'Assumptions'!$D$20*(1+'Assumptions'!$D$80)^(((R$7+R$8)/2-46307)/365)+R45*(1-R47)*'Assumptions'!$D$25*(1+'Assumptions'!$D$80)^(((R$7+R$8)/2-46307)/365)</x:f>
        <x:v>298554295.32409334</x:v>
      </x:c>
      <x:c r="S101" s="37" t="n">
        <x:f>S12*(1-S14)*'Assumptions'!$D$10*(1+'Assumptions'!$D$80)^(((S$7+S$8)/2-46307)/365)+S23*(1-S25)*'Assumptions'!$D$15*(1+'Assumptions'!$D$80)^(((S$7+S$8)/2-46307)/365)+S34*(1-S36)*'Assumptions'!$D$20*(1+'Assumptions'!$D$80)^(((S$7+S$8)/2-46307)/365)+S45*(1-S47)*'Assumptions'!$D$25*(1+'Assumptions'!$D$80)^(((S$7+S$8)/2-46307)/365)</x:f>
        <x:v>295528204.013059</x:v>
      </x:c>
      <x:c r="T101" s="37" t="n">
        <x:f>T12*(1-T14)*'Assumptions'!$D$10*(1+'Assumptions'!$D$80)^(((T$7+T$8)/2-46307)/365)+T23*(1-T25)*'Assumptions'!$D$15*(1+'Assumptions'!$D$80)^(((T$7+T$8)/2-46307)/365)+T34*(1-T36)*'Assumptions'!$D$20*(1+'Assumptions'!$D$80)^(((T$7+T$8)/2-46307)/365)+T45*(1-T47)*'Assumptions'!$D$25*(1+'Assumptions'!$D$80)^(((T$7+T$8)/2-46307)/365)</x:f>
        <x:v>268632702.8260932</x:v>
      </x:c>
      <x:c r="U101" s="37" t="n">
        <x:f>U12*(1-U14)*'Assumptions'!$D$10*(1+'Assumptions'!$D$80)^(((U$7+U$8)/2-46307)/365)+U23*(1-U25)*'Assumptions'!$D$15*(1+'Assumptions'!$D$80)^(((U$7+U$8)/2-46307)/365)+U34*(1-U36)*'Assumptions'!$D$20*(1+'Assumptions'!$D$80)^(((U$7+U$8)/2-46307)/365)+U45*(1-U47)*'Assumptions'!$D$25*(1+'Assumptions'!$D$80)^(((U$7+U$8)/2-46307)/365)</x:f>
        <x:v>263377043.27058992</x:v>
      </x:c>
      <x:c r="V101" s="37" t="n">
        <x:f>V12*(1-V14)*'Assumptions'!$D$10*(1+'Assumptions'!$D$80)^(((V$7+V$8)/2-46307)/365)+V23*(1-V25)*'Assumptions'!$D$15*(1+'Assumptions'!$D$80)^(((V$7+V$8)/2-46307)/365)+V34*(1-V36)*'Assumptions'!$D$20*(1+'Assumptions'!$D$80)^(((V$7+V$8)/2-46307)/365)+V45*(1-V47)*'Assumptions'!$D$25*(1+'Assumptions'!$D$80)^(((V$7+V$8)/2-46307)/365)</x:f>
        <x:v>246429203.26647776</x:v>
      </x:c>
      <x:c r="W101" s="37" t="n">
        <x:f>W12*(1-W14)*'Assumptions'!$D$10*(1+'Assumptions'!$D$80)^(((W$7+W$8)/2-46307)/365)+W23*(1-W25)*'Assumptions'!$D$15*(1+'Assumptions'!$D$80)^(((W$7+W$8)/2-46307)/365)+W34*(1-W36)*'Assumptions'!$D$20*(1+'Assumptions'!$D$80)^(((W$7+W$8)/2-46307)/365)+W45*(1-W47)*'Assumptions'!$D$25*(1+'Assumptions'!$D$80)^(((W$7+W$8)/2-46307)/365)</x:f>
        <x:v>217939152.63837045</x:v>
      </x:c>
      <x:c r="X101" s="37" t="n">
        <x:f>X12*(1-X14)*'Assumptions'!$D$10*(1+'Assumptions'!$D$80)^(((X$7+X$8)/2-46307)/365)+X23*(1-X25)*'Assumptions'!$D$15*(1+'Assumptions'!$D$80)^(((X$7+X$8)/2-46307)/365)+X34*(1-X36)*'Assumptions'!$D$20*(1+'Assumptions'!$D$80)^(((X$7+X$8)/2-46307)/365)+X45*(1-X47)*'Assumptions'!$D$25*(1+'Assumptions'!$D$80)^(((X$7+X$8)/2-46307)/365)</x:f>
        <x:v>208093488.03649944</x:v>
      </x:c>
      <x:c r="Y101" s="37" t="n">
        <x:f>Y12*(1-Y14)*'Assumptions'!$D$10*(1+'Assumptions'!$D$80)^(((Y$7+Y$8)/2-46307)/365)+Y23*(1-Y25)*'Assumptions'!$D$15*(1+'Assumptions'!$D$80)^(((Y$7+Y$8)/2-46307)/365)+Y34*(1-Y36)*'Assumptions'!$D$20*(1+'Assumptions'!$D$80)^(((Y$7+Y$8)/2-46307)/365)+Y45*(1-Y47)*'Assumptions'!$D$25*(1+'Assumptions'!$D$80)^(((Y$7+Y$8)/2-46307)/365)</x:f>
        <x:v>205112937.40024084</x:v>
      </x:c>
      <x:c r="Z101" s="37" t="n">
        <x:f>Z12*(1-Z14)*'Assumptions'!$D$10*(1+'Assumptions'!$D$80)^(((Z$7+Z$8)/2-46307)/365)+Z23*(1-Z25)*'Assumptions'!$D$15*(1+'Assumptions'!$D$80)^(((Z$7+Z$8)/2-46307)/365)+Z34*(1-Z36)*'Assumptions'!$D$20*(1+'Assumptions'!$D$80)^(((Z$7+Z$8)/2-46307)/365)+Z45*(1-Z47)*'Assumptions'!$D$25*(1+'Assumptions'!$D$80)^(((Z$7+Z$8)/2-46307)/365)</x:f>
        <x:v>202463646.66968572</x:v>
      </x:c>
      <x:c r="AA101" s="37" t="n">
        <x:f>AA12*(1-AA14)*'Assumptions'!$D$10*(1+'Assumptions'!$D$80)^(((AA$7+AA$8)/2-46307)/365)+AA23*(1-AA25)*'Assumptions'!$D$15*(1+'Assumptions'!$D$80)^(((AA$7+AA$8)/2-46307)/365)+AA34*(1-AA36)*'Assumptions'!$D$20*(1+'Assumptions'!$D$80)^(((AA$7+AA$8)/2-46307)/365)+AA45*(1-AA47)*'Assumptions'!$D$25*(1+'Assumptions'!$D$80)^(((AA$7+AA$8)/2-46307)/365)</x:f>
        <x:v>172975587.11601785</x:v>
      </x:c>
      <x:c r="AB101" s="37" t="n">
        <x:f>AB12*(1-AB14)*'Assumptions'!$D$10*(1+'Assumptions'!$D$80)^(((AB$7+AB$8)/2-46307)/365)+AB23*(1-AB25)*'Assumptions'!$D$15*(1+'Assumptions'!$D$80)^(((AB$7+AB$8)/2-46307)/365)+AB34*(1-AB36)*'Assumptions'!$D$20*(1+'Assumptions'!$D$80)^(((AB$7+AB$8)/2-46307)/365)+AB45*(1-AB47)*'Assumptions'!$D$25*(1+'Assumptions'!$D$80)^(((AB$7+AB$8)/2-46307)/365)</x:f>
        <x:v>118419066.13078135</x:v>
      </x:c>
      <x:c r="AC101" s="37" t="n">
        <x:f>AC12*(1-AC14)*'Assumptions'!$D$10*(1+'Assumptions'!$D$80)^(((AC$7+AC$8)/2-46307)/365)+AC23*(1-AC25)*'Assumptions'!$D$15*(1+'Assumptions'!$D$80)^(((AC$7+AC$8)/2-46307)/365)+AC34*(1-AC36)*'Assumptions'!$D$20*(1+'Assumptions'!$D$80)^(((AC$7+AC$8)/2-46307)/365)+AC45*(1-AC47)*'Assumptions'!$D$25*(1+'Assumptions'!$D$80)^(((AC$7+AC$8)/2-46307)/365)</x:f>
        <x:v>67915872.08484657</x:v>
      </x:c>
      <x:c r="AD101" s="37" t="n">
        <x:f>AD12*(1-AD14)*'Assumptions'!$D$10*(1+'Assumptions'!$D$80)^(((AD$7+AD$8)/2-46307)/365)+AD23*(1-AD25)*'Assumptions'!$D$15*(1+'Assumptions'!$D$80)^(((AD$7+AD$8)/2-46307)/365)+AD34*(1-AD36)*'Assumptions'!$D$20*(1+'Assumptions'!$D$80)^(((AD$7+AD$8)/2-46307)/365)+AD45*(1-AD47)*'Assumptions'!$D$25*(1+'Assumptions'!$D$80)^(((AD$7+AD$8)/2-46307)/365)</x:f>
        <x:v>58430613.52062504</x:v>
      </x:c>
      <x:c r="AE101" s="37" t="n">
        <x:f>AE12*(1-AE14)*'Assumptions'!$D$10*(1+'Assumptions'!$D$80)^(((AE$7+AE$8)/2-46307)/365)+AE23*(1-AE25)*'Assumptions'!$D$15*(1+'Assumptions'!$D$80)^(((AE$7+AE$8)/2-46307)/365)+AE34*(1-AE36)*'Assumptions'!$D$20*(1+'Assumptions'!$D$80)^(((AE$7+AE$8)/2-46307)/365)+AE45*(1-AE47)*'Assumptions'!$D$25*(1+'Assumptions'!$D$80)^(((AE$7+AE$8)/2-46307)/365)</x:f>
        <x:v>57053273.32379307</x:v>
      </x:c>
      <x:c r="AF101" s="37" t="n">
        <x:f>AF12*(1-AF14)*'Assumptions'!$D$10*(1+'Assumptions'!$D$80)^(((AF$7+AF$8)/2-46307)/365)+AF23*(1-AF25)*'Assumptions'!$D$15*(1+'Assumptions'!$D$80)^(((AF$7+AF$8)/2-46307)/365)+AF34*(1-AF36)*'Assumptions'!$D$20*(1+'Assumptions'!$D$80)^(((AF$7+AF$8)/2-46307)/365)+AF45*(1-AF47)*'Assumptions'!$D$25*(1+'Assumptions'!$D$80)^(((AF$7+AF$8)/2-46307)/365)</x:f>
        <x:v>41067758.138703465</x:v>
      </x:c>
      <x:c r="AG101" s="37" t="n">
        <x:f>AG12*(1-AG14)*'Assumptions'!$D$10*(1+'Assumptions'!$D$80)^(((AG$7+AG$8)/2-46307)/365)+AG23*(1-AG25)*'Assumptions'!$D$15*(1+'Assumptions'!$D$80)^(((AG$7+AG$8)/2-46307)/365)+AG34*(1-AG36)*'Assumptions'!$D$20*(1+'Assumptions'!$D$80)^(((AG$7+AG$8)/2-46307)/365)+AG45*(1-AG47)*'Assumptions'!$D$25*(1+'Assumptions'!$D$80)^(((AG$7+AG$8)/2-46307)/365)</x:f>
        <x:v>15386038.780114561</x:v>
      </x:c>
      <x:c r="AH101" s="37" t="n">
        <x:f>AH12*(1-AH14)*'Assumptions'!$D$10*(1+'Assumptions'!$D$80)^(((AH$7+AH$8)/2-46307)/365)+AH23*(1-AH25)*'Assumptions'!$D$15*(1+'Assumptions'!$D$80)^(((AH$7+AH$8)/2-46307)/365)+AH34*(1-AH36)*'Assumptions'!$D$20*(1+'Assumptions'!$D$80)^(((AH$7+AH$8)/2-46307)/365)+AH45*(1-AH47)*'Assumptions'!$D$25*(1+'Assumptions'!$D$80)^(((AH$7+AH$8)/2-46307)/365)</x:f>
        <x:v>11738072.215645757</x:v>
      </x:c>
      <x:c r="AI101" s="37" t="n">
        <x:f>AI12*(1-AI14)*'Assumptions'!$D$10*(1+'Assumptions'!$D$80)^(((AI$7+AI$8)/2-46307)/365)+AI23*(1-AI25)*'Assumptions'!$D$15*(1+'Assumptions'!$D$80)^(((AI$7+AI$8)/2-46307)/365)+AI34*(1-AI36)*'Assumptions'!$D$20*(1+'Assumptions'!$D$80)^(((AI$7+AI$8)/2-46307)/365)+AI45*(1-AI47)*'Assumptions'!$D$25*(1+'Assumptions'!$D$80)^(((AI$7+AI$8)/2-46307)/365)</x:f>
        <x:v>0</x:v>
      </x:c>
      <x:c r="AJ101" s="37" t="n">
        <x:f>AJ12*(1-AJ14)*'Assumptions'!$D$10*(1+'Assumptions'!$D$80)^(((AJ$7+AJ$8)/2-46307)/365)+AJ23*(1-AJ25)*'Assumptions'!$D$15*(1+'Assumptions'!$D$80)^(((AJ$7+AJ$8)/2-46307)/365)+AJ34*(1-AJ36)*'Assumptions'!$D$20*(1+'Assumptions'!$D$80)^(((AJ$7+AJ$8)/2-46307)/365)+AJ45*(1-AJ47)*'Assumptions'!$D$25*(1+'Assumptions'!$D$80)^(((AJ$7+AJ$8)/2-46307)/365)</x:f>
        <x:v>0</x:v>
      </x:c>
      <x:c r="AK101" s="37" t="n">
        <x:f>AK12*(1-AK14)*'Assumptions'!$D$10*(1+'Assumptions'!$D$80)^(((AK$7+AK$8)/2-46307)/365)+AK23*(1-AK25)*'Assumptions'!$D$15*(1+'Assumptions'!$D$80)^(((AK$7+AK$8)/2-46307)/365)+AK34*(1-AK36)*'Assumptions'!$D$20*(1+'Assumptions'!$D$80)^(((AK$7+AK$8)/2-46307)/365)+AK45*(1-AK47)*'Assumptions'!$D$25*(1+'Assumptions'!$D$80)^(((AK$7+AK$8)/2-46307)/365)</x:f>
        <x:v>0</x:v>
      </x:c>
      <x:c r="AL101" s="37" t="n">
        <x:f>AL12*(1-AL14)*'Assumptions'!$D$10*(1+'Assumptions'!$D$80)^(((AL$7+AL$8)/2-46307)/365)+AL23*(1-AL25)*'Assumptions'!$D$15*(1+'Assumptions'!$D$80)^(((AL$7+AL$8)/2-46307)/365)+AL34*(1-AL36)*'Assumptions'!$D$20*(1+'Assumptions'!$D$80)^(((AL$7+AL$8)/2-46307)/365)+AL45*(1-AL47)*'Assumptions'!$D$25*(1+'Assumptions'!$D$80)^(((AL$7+AL$8)/2-46307)/365)</x:f>
        <x:v>0</x:v>
      </x:c>
      <x:c r="AM101" s="37" t="n">
        <x:f>AM12*(1-AM14)*'Assumptions'!$D$10*(1+'Assumptions'!$D$80)^(((AM$7+AM$8)/2-46307)/365)+AM23*(1-AM25)*'Assumptions'!$D$15*(1+'Assumptions'!$D$80)^(((AM$7+AM$8)/2-46307)/365)+AM34*(1-AM36)*'Assumptions'!$D$20*(1+'Assumptions'!$D$80)^(((AM$7+AM$8)/2-46307)/365)+AM45*(1-AM47)*'Assumptions'!$D$25*(1+'Assumptions'!$D$80)^(((AM$7+AM$8)/2-46307)/365)</x:f>
        <x:v>0</x:v>
      </x:c>
      <x:c r="AN101" s="37" t="n">
        <x:f>AN12*(1-AN14)*'Assumptions'!$D$10*(1+'Assumptions'!$D$80)^(((AN$7+AN$8)/2-46307)/365)+AN23*(1-AN25)*'Assumptions'!$D$15*(1+'Assumptions'!$D$80)^(((AN$7+AN$8)/2-46307)/365)+AN34*(1-AN36)*'Assumptions'!$D$20*(1+'Assumptions'!$D$80)^(((AN$7+AN$8)/2-46307)/365)+AN45*(1-AN47)*'Assumptions'!$D$25*(1+'Assumptions'!$D$80)^(((AN$7+AN$8)/2-46307)/365)</x:f>
        <x:v>0</x:v>
      </x:c>
      <x:c r="AO101" s="37" t="n">
        <x:f>AO12*(1-AO14)*'Assumptions'!$D$10*(1+'Assumptions'!$D$80)^(((AO$7+AO$8)/2-46307)/365)+AO23*(1-AO25)*'Assumptions'!$D$15*(1+'Assumptions'!$D$80)^(((AO$7+AO$8)/2-46307)/365)+AO34*(1-AO36)*'Assumptions'!$D$20*(1+'Assumptions'!$D$80)^(((AO$7+AO$8)/2-46307)/365)+AO45*(1-AO47)*'Assumptions'!$D$25*(1+'Assumptions'!$D$80)^(((AO$7+AO$8)/2-46307)/365)</x:f>
        <x:v>0</x:v>
      </x:c>
      <x:c r="AP101" s="37" t="n">
        <x:f>AP12*(1-AP14)*'Assumptions'!$D$10*(1+'Assumptions'!$D$80)^(((AP$7+AP$8)/2-46307)/365)+AP23*(1-AP25)*'Assumptions'!$D$15*(1+'Assumptions'!$D$80)^(((AP$7+AP$8)/2-46307)/365)+AP34*(1-AP36)*'Assumptions'!$D$20*(1+'Assumptions'!$D$80)^(((AP$7+AP$8)/2-46307)/365)+AP45*(1-AP47)*'Assumptions'!$D$25*(1+'Assumptions'!$D$80)^(((AP$7+AP$8)/2-46307)/365)</x:f>
        <x:v>0</x:v>
      </x:c>
      <x:c r="AQ101" s="37" t="n">
        <x:f>AQ12*(1-AQ14)*'Assumptions'!$D$10*(1+'Assumptions'!$D$80)^(((AQ$7+AQ$8)/2-46307)/365)+AQ23*(1-AQ25)*'Assumptions'!$D$15*(1+'Assumptions'!$D$80)^(((AQ$7+AQ$8)/2-46307)/365)+AQ34*(1-AQ36)*'Assumptions'!$D$20*(1+'Assumptions'!$D$80)^(((AQ$7+AQ$8)/2-46307)/365)+AQ45*(1-AQ47)*'Assumptions'!$D$25*(1+'Assumptions'!$D$80)^(((AQ$7+AQ$8)/2-46307)/365)</x:f>
        <x:v>0</x:v>
      </x:c>
    </x:row>
    <x:row r="102" ht="21" customHeight="1">
      <x:c r="A102" s="2"/>
      <x:c r="B102" s="2"/>
      <x:c r="C102" s="2" t="str">
        <x:v>Open working capital at unit multiplier</x:v>
      </x:c>
      <x:c r="D102" s="2"/>
      <x:c r="E102" s="37" t="n">
        <x:f>E101/(E$8-E$7+1)*365*'Assumptions'!$D$140</x:f>
        <x:v>19170006.437210664</x:v>
      </x:c>
      <x:c r="F102" s="37" t="n">
        <x:f>F101/(F$8-F$7+1)*365*'Assumptions'!$D$140</x:f>
        <x:v>19258614.43197167</x:v>
      </x:c>
      <x:c r="G102" s="37" t="n">
        <x:f>G101/(G$8-G$7+1)*365*'Assumptions'!$D$140</x:f>
        <x:v>19353406.105088077</x:v>
      </x:c>
      <x:c r="H102" s="37" t="n">
        <x:f>H101/(H$8-H$7+1)*365*'Assumptions'!$D$140</x:f>
        <x:v>19449719.538676217</x:v>
      </x:c>
      <x:c r="I102" s="37" t="n">
        <x:f>I101/(I$8-I$7+1)*365*'Assumptions'!$D$140</x:f>
        <x:v>19547042.525294904</x:v>
      </x:c>
      <x:c r="J102" s="37" t="n">
        <x:f>J101/(J$8-J$7+1)*365*'Assumptions'!$D$140</x:f>
        <x:v>19644319.602615654</x:v>
      </x:c>
      <x:c r="K102" s="37" t="n">
        <x:f>K101/(K$8-K$7+1)*365*'Assumptions'!$D$140</x:f>
        <x:v>19741545.251458943</x:v>
      </x:c>
      <x:c r="L102" s="37" t="n">
        <x:f>L101/(L$8-L$7+1)*365*'Assumptions'!$D$140</x:f>
        <x:v>19839790.283737976</x:v>
      </x:c>
      <x:c r="M102" s="37" t="n">
        <x:f>M101/(M$8-M$7+1)*365*'Assumptions'!$D$140</x:f>
        <x:v>19939065.11597719</x:v>
      </x:c>
      <x:c r="N102" s="37" t="n">
        <x:f>N101/(N$8-N$7+1)*365*'Assumptions'!$D$140</x:f>
        <x:v>20037749.549057346</x:v>
      </x:c>
      <x:c r="O102" s="37" t="n">
        <x:f>O101/(O$8-O$7+1)*365*'Assumptions'!$D$140</x:f>
        <x:v>20136376.15648812</x:v>
      </x:c>
      <x:c r="P102" s="37" t="n">
        <x:f>P101/(P$8-P$7+1)*365*'Assumptions'!$D$140</x:f>
        <x:v>20236586.089412734</x:v>
      </x:c>
      <x:c r="Q102" s="37" t="n">
        <x:f>Q101/(Q$8-Q$7+1)*365*'Assumptions'!$D$140</x:f>
        <x:v>20489020.267339736</x:v>
      </x:c>
      <x:c r="R102" s="37" t="n">
        <x:f>R101/(R$8-R$7+1)*365*'Assumptions'!$D$140</x:f>
        <x:v>20898800.672686536</x:v>
      </x:c>
      <x:c r="S102" s="37" t="n">
        <x:f>S101/(S$8-S$7+1)*365*'Assumptions'!$D$140</x:f>
        <x:v>20630452.493261363</x:v>
      </x:c>
      <x:c r="T102" s="37" t="n">
        <x:f>T101/(T$8-T$7+1)*365*'Assumptions'!$D$140</x:f>
        <x:v>18804289.197826527</x:v>
      </x:c>
      <x:c r="U102" s="37" t="n">
        <x:f>U101/(U$8-U$7+1)*365*'Assumptions'!$D$140</x:f>
        <x:v>18436393.028941296</x:v>
      </x:c>
      <x:c r="V102" s="37" t="n">
        <x:f>V101/(V$8-V$7+1)*365*'Assumptions'!$D$140</x:f>
        <x:v>17250044.228653446</x:v>
      </x:c>
      <x:c r="W102" s="37" t="n">
        <x:f>W101/(W$8-W$7+1)*365*'Assumptions'!$D$140</x:f>
        <x:v>15214058.33308843</x:v>
      </x:c>
      <x:c r="X102" s="37" t="n">
        <x:f>X101/(X$8-X$7+1)*365*'Assumptions'!$D$140</x:f>
        <x:v>14566544.162554963</x:v>
      </x:c>
      <x:c r="Y102" s="37" t="n">
        <x:f>Y101/(Y$8-Y$7+1)*365*'Assumptions'!$D$140</x:f>
        <x:v>14357905.618016858</x:v>
      </x:c>
      <x:c r="Z102" s="37" t="n">
        <x:f>Z101/(Z$8-Z$7+1)*365*'Assumptions'!$D$140</x:f>
        <x:v>14172455.266878001</x:v>
      </x:c>
      <x:c r="AA102" s="37" t="n">
        <x:f>AA101/(AA$8-AA$7+1)*365*'Assumptions'!$D$140</x:f>
        <x:v>12075208.335558077</x:v>
      </x:c>
      <x:c r="AB102" s="37" t="n">
        <x:f>AB101/(AB$8-AB$7+1)*365*'Assumptions'!$D$140</x:f>
        <x:v>8289334.629154695</x:v>
      </x:c>
      <x:c r="AC102" s="37" t="n">
        <x:f>AC101/(AC$8-AC$7+1)*365*'Assumptions'!$D$140</x:f>
        <x:v>4754111.04593926</x:v>
      </x:c>
      <x:c r="AD102" s="37" t="n">
        <x:f>AD101/(AD$8-AD$7+1)*365*'Assumptions'!$D$140</x:f>
        <x:v>4090142.946443754</x:v>
      </x:c>
      <x:c r="AE102" s="37" t="n">
        <x:f>AE101/(AE$8-AE$7+1)*365*'Assumptions'!$D$140</x:f>
        <x:v>3982817.3044341886</x:v>
      </x:c>
      <x:c r="AF102" s="37" t="n">
        <x:f>AF101/(AF$8-AF$7+1)*365*'Assumptions'!$D$140</x:f>
        <x:v>2874743.069709243</x:v>
      </x:c>
      <x:c r="AG102" s="37" t="n">
        <x:f>AG101/(AG$8-AG$7+1)*365*'Assumptions'!$D$140</x:f>
        <x:v>1077022.7146080192</x:v>
      </x:c>
      <x:c r="AH102" s="37" t="n">
        <x:f>AH101/(AH$8-AH$7+1)*365*'Assumptions'!$D$140</x:f>
        <x:v>821665.055095203</x:v>
      </x:c>
      <x:c r="AI102" s="37" t="n">
        <x:f>AI101/(AI$8-AI$7+1)*365*'Assumptions'!$D$140</x:f>
        <x:v>0</x:v>
      </x:c>
      <x:c r="AJ102" s="37" t="n">
        <x:f>AJ101/(AJ$8-AJ$7+1)*365*'Assumptions'!$D$140</x:f>
        <x:v>0</x:v>
      </x:c>
      <x:c r="AK102" s="37" t="n">
        <x:f>AK101/(AK$8-AK$7+1)*365*'Assumptions'!$D$140</x:f>
        <x:v>0</x:v>
      </x:c>
      <x:c r="AL102" s="37" t="n">
        <x:f>AL101/(AL$8-AL$7+1)*365*'Assumptions'!$D$140</x:f>
        <x:v>0</x:v>
      </x:c>
      <x:c r="AM102" s="37" t="n">
        <x:f>AM101/(AM$8-AM$7+1)*365*'Assumptions'!$D$140</x:f>
        <x:v>0</x:v>
      </x:c>
      <x:c r="AN102" s="37" t="n">
        <x:f>AN101/(AN$8-AN$7+1)*365*'Assumptions'!$D$140</x:f>
        <x:v>0</x:v>
      </x:c>
      <x:c r="AO102" s="37" t="n">
        <x:f>AO101/(AO$8-AO$7+1)*365*'Assumptions'!$D$140</x:f>
        <x:v>0</x:v>
      </x:c>
      <x:c r="AP102" s="37" t="n">
        <x:f>AP101/(AP$8-AP$7+1)*365*'Assumptions'!$D$140</x:f>
        <x:v>0</x:v>
      </x:c>
      <x:c r="AQ102" s="37" t="n">
        <x:f>AQ101/(AQ$8-AQ$7+1)*365*'Assumptions'!$D$140</x:f>
        <x:v>0</x:v>
      </x:c>
    </x:row>
    <x:row r="103" ht="21" customHeight="1">
      <x:c r="A103" s="2"/>
      <x:c r="B103" s="2"/>
      <x:c r="C103" s="2" t="str">
        <x:v>Change in unit-rate working capital</x:v>
      </x:c>
      <x:c r="D103" s="2"/>
      <x:c r="E103" s="39" t="n">
        <x:f>E102-0</x:f>
        <x:v>19170006.437210664</x:v>
      </x:c>
      <x:c r="F103" s="39" t="n">
        <x:f>F102-E102</x:f>
        <x:v>88607.99476100504</x:v>
      </x:c>
      <x:c r="G103" s="39" t="n">
        <x:f>G102-F102</x:f>
        <x:v>94791.67311640829</x:v>
      </x:c>
      <x:c r="H103" s="39" t="n">
        <x:f>H102-G102</x:f>
        <x:v>96313.43358813971</x:v>
      </x:c>
      <x:c r="I103" s="39" t="n">
        <x:f>I102-H102</x:f>
        <x:v>97322.98661868647</x:v>
      </x:c>
      <x:c r="J103" s="39" t="n">
        <x:f>J102-I102</x:f>
        <x:v>97277.0773207508</x:v>
      </x:c>
      <x:c r="K103" s="39" t="n">
        <x:f>K102-J102</x:f>
        <x:v>97225.64884328842</x:v>
      </x:c>
      <x:c r="L103" s="39" t="n">
        <x:f>L102-K102</x:f>
        <x:v>98245.03227903321</x:v>
      </x:c>
      <x:c r="M103" s="39" t="n">
        <x:f>M102-L102</x:f>
        <x:v>99274.83223921433</x:v>
      </x:c>
      <x:c r="N103" s="39" t="n">
        <x:f>N102-M102</x:f>
        <x:v>98684.4330801554</x:v>
      </x:c>
      <x:c r="O103" s="39" t="n">
        <x:f>O102-N102</x:f>
        <x:v>98626.60743077472</x:v>
      </x:c>
      <x:c r="P103" s="39" t="n">
        <x:f>P102-O102</x:f>
        <x:v>100209.93292461336</x:v>
      </x:c>
      <x:c r="Q103" s="39" t="n">
        <x:f>Q102-P102</x:f>
        <x:v>252434.1779270023</x:v>
      </x:c>
      <x:c r="R103" s="39" t="n">
        <x:f>R102-Q102</x:f>
        <x:v>409780.40534679964</x:v>
      </x:c>
      <x:c r="S103" s="39" t="n">
        <x:f>S102-R102</x:f>
        <x:v>-268348.1794251725</x:v>
      </x:c>
      <x:c r="T103" s="39" t="n">
        <x:f>T102-S102</x:f>
        <x:v>-1826163.2954348363</x:v>
      </x:c>
      <x:c r="U103" s="39" t="n">
        <x:f>U102-T102</x:f>
        <x:v>-367896.168885231</x:v>
      </x:c>
      <x:c r="V103" s="39" t="n">
        <x:f>V102-U102</x:f>
        <x:v>-1186348.8002878502</x:v>
      </x:c>
      <x:c r="W103" s="39" t="n">
        <x:f>W102-V102</x:f>
        <x:v>-2035985.8955650162</x:v>
      </x:c>
      <x:c r="X103" s="39" t="n">
        <x:f>X102-W102</x:f>
        <x:v>-647514.1705334671</x:v>
      </x:c>
      <x:c r="Y103" s="39" t="n">
        <x:f>Y102-X102</x:f>
        <x:v>-208638.5445381049</x:v>
      </x:c>
      <x:c r="Z103" s="39" t="n">
        <x:f>Z102-Y102</x:f>
        <x:v>-185450.35113885626</x:v>
      </x:c>
      <x:c r="AA103" s="39" t="n">
        <x:f>AA102-Z102</x:f>
        <x:v>-2097246.931319924</x:v>
      </x:c>
      <x:c r="AB103" s="39" t="n">
        <x:f>AB102-AA102</x:f>
        <x:v>-3785873.706403382</x:v>
      </x:c>
      <x:c r="AC103" s="39" t="n">
        <x:f>AC102-AB102</x:f>
        <x:v>-3535223.583215435</x:v>
      </x:c>
      <x:c r="AD103" s="39" t="n">
        <x:f>AD102-AC102</x:f>
        <x:v>-663968.0994955064</x:v>
      </x:c>
      <x:c r="AE103" s="39" t="n">
        <x:f>AE102-AD102</x:f>
        <x:v>-107325.64200956514</x:v>
      </x:c>
      <x:c r="AF103" s="39" t="n">
        <x:f>AF102-AE102</x:f>
        <x:v>-1108074.2347249459</x:v>
      </x:c>
      <x:c r="AG103" s="39" t="n">
        <x:f>AG102-AF102</x:f>
        <x:v>-1797720.3551012236</x:v>
      </x:c>
      <x:c r="AH103" s="39" t="n">
        <x:f>AH102-AG102</x:f>
        <x:v>-255357.65951281623</x:v>
      </x:c>
      <x:c r="AI103" s="39" t="n">
        <x:f>AI102-AH102</x:f>
        <x:v>-821665.055095203</x:v>
      </x:c>
      <x:c r="AJ103" s="39" t="n">
        <x:f>AJ102-AI102</x:f>
        <x:v>0</x:v>
      </x:c>
      <x:c r="AK103" s="39" t="n">
        <x:f>AK102-AJ102</x:f>
        <x:v>0</x:v>
      </x:c>
      <x:c r="AL103" s="39" t="n">
        <x:f>AL102-AK102</x:f>
        <x:v>0</x:v>
      </x:c>
      <x:c r="AM103" s="39" t="n">
        <x:f>AM102-AL102</x:f>
        <x:v>0</x:v>
      </x:c>
      <x:c r="AN103" s="39" t="n">
        <x:f>AN102-AM102</x:f>
        <x:v>0</x:v>
      </x:c>
      <x:c r="AO103" s="39" t="n">
        <x:f>AO102-AN102</x:f>
        <x:v>0</x:v>
      </x:c>
      <x:c r="AP103" s="39" t="n">
        <x:f>AP102-AO102</x:f>
        <x:v>0</x:v>
      </x:c>
      <x:c r="AQ103" s="39" t="n">
        <x:f>AQ102-AP102</x:f>
        <x:v>0</x:v>
      </x:c>
    </x:row>
    <x:row r="104" ht="21" customHeight="1">
      <x:c r="A104" s="2"/>
      <x:c r="B104" s="2"/>
      <x:c r="C104" s="2" t="str">
        <x:v>PV sensitivity to one unit of rate multiplier</x:v>
      </x:c>
      <x:c r="D104" s="2"/>
      <x:c r="E104" s="37" t="n">
        <x:f>(E101*(1-'Assumptions'!$D$85)-E103)*E95</x:f>
        <x:v>39715010.63492818</x:v>
      </x:c>
      <x:c r="F104" s="37" t="n">
        <x:f>(F101*(1-'Assumptions'!$D$85)-F103)*F95</x:f>
        <x:v>64483775.347243585</x:v>
      </x:c>
      <x:c r="G104" s="37" t="n">
        <x:f>(G101*(1-'Assumptions'!$D$85)-G103)*G95</x:f>
        <x:v>63978156.23760263</x:v>
      </x:c>
      <x:c r="H104" s="37" t="n">
        <x:f>(H101*(1-'Assumptions'!$D$85)-H103)*H95</x:f>
        <x:v>63460113.43943839</x:v>
      </x:c>
      <x:c r="I104" s="37" t="n">
        <x:f>(I101*(1-'Assumptions'!$D$85)-I103)*I95</x:f>
        <x:v>62263288.89390376</x:v>
      </x:c>
      <x:c r="J104" s="37" t="n">
        <x:f>(J101*(1-'Assumptions'!$D$85)-J103)*J95</x:f>
        <x:v>60439158.190229</x:v>
      </x:c>
      <x:c r="K104" s="37" t="n">
        <x:f>(K101*(1-'Assumptions'!$D$85)-K103)*K95</x:f>
        <x:v>59312475.66904733</x:v>
      </x:c>
      <x:c r="L104" s="37" t="n">
        <x:f>(L101*(1-'Assumptions'!$D$85)-L103)*L95</x:f>
        <x:v>58832660.49018029</x:v>
      </x:c>
      <x:c r="M104" s="37" t="n">
        <x:f>(M101*(1-'Assumptions'!$D$85)-M103)*M95</x:f>
        <x:v>57723107.28679764</x:v>
      </x:c>
      <x:c r="N104" s="37" t="n">
        <x:f>(N101*(1-'Assumptions'!$D$85)-N103)*N95</x:f>
        <x:v>55428788.79230437</x:v>
      </x:c>
      <x:c r="O104" s="37" t="n">
        <x:f>(O101*(1-'Assumptions'!$D$85)-O103)*O95</x:f>
        <x:v>54999260.58813168</x:v>
      </x:c>
      <x:c r="P104" s="37" t="n">
        <x:f>(P101*(1-'Assumptions'!$D$85)-P103)*P95</x:f>
        <x:v>54553921.54543988</x:v>
      </x:c>
      <x:c r="Q104" s="37" t="n">
        <x:f>(Q101*(1-'Assumptions'!$D$85)-Q103)*Q95</x:f>
        <x:v>199317920.71235874</x:v>
      </x:c>
      <x:c r="R104" s="37" t="n">
        <x:f>(R101*(1-'Assumptions'!$D$85)-R103)*R95</x:f>
        <x:v>184727235.12609288</x:v>
      </x:c>
      <x:c r="S104" s="37" t="n">
        <x:f>(S101*(1-'Assumptions'!$D$85)-S103)*S95</x:f>
        <x:v>166569738.28692517</x:v>
      </x:c>
      <x:c r="T104" s="37" t="n">
        <x:f>(T101*(1-'Assumptions'!$D$85)-T103)*T95</x:f>
        <x:v>138459987.8523537</x:v>
      </x:c>
      <x:c r="U104" s="37" t="n">
        <x:f>(U101*(1-'Assumptions'!$D$85)-U103)*U95</x:f>
        <x:v>122744721.61906435</x:v>
      </x:c>
      <x:c r="V104" s="37" t="n">
        <x:f>(V101*(1-'Assumptions'!$D$85)-V103)*V95</x:f>
        <x:v>104763822.10647433</x:v>
      </x:c>
      <x:c r="W104" s="37" t="n">
        <x:f>(W101*(1-'Assumptions'!$D$85)-W103)*W95</x:f>
        <x:v>84588372.52506185</x:v>
      </x:c>
      <x:c r="X104" s="37" t="n">
        <x:f>(X101*(1-'Assumptions'!$D$85)-X103)*X95</x:f>
        <x:v>72969054.60565251</x:v>
      </x:c>
      <x:c r="Y104" s="37" t="n">
        <x:f>(Y101*(1-'Assumptions'!$D$85)-Y103)*Y95</x:f>
        <x:v>65248165.70829476</x:v>
      </x:c>
      <x:c r="Z104" s="37" t="n">
        <x:f>(Z101*(1-'Assumptions'!$D$85)-Z103)*Z95</x:f>
        <x:v>58544416.96995793</x:v>
      </x:c>
      <x:c r="AA104" s="37" t="n">
        <x:f>(AA101*(1-'Assumptions'!$D$85)-AA103)*AA95</x:f>
        <x:v>45970330.93105667</x:v>
      </x:c>
      <x:c r="AB104" s="37" t="n">
        <x:f>(AB101*(1-'Assumptions'!$D$85)-AB103)*AB95</x:f>
        <x:v>29174028.72568677</x:v>
      </x:c>
      <x:c r="AC104" s="37" t="n">
        <x:f>(AC101*(1-'Assumptions'!$D$85)-AC103)*AC95</x:f>
        <x:v>15508300.712988924</x:v>
      </x:c>
      <x:c r="AD104" s="37" t="n">
        <x:f>(AD101*(1-'Assumptions'!$D$85)-AD103)*AD95</x:f>
        <x:v>11658075.193300817</x:v>
      </x:c>
      <x:c r="AE104" s="37" t="n">
        <x:f>(AE101*(1-'Assumptions'!$D$85)-AE103)*AE95</x:f>
        <x:v>10248243.808369132</x:v>
      </x:c>
      <x:c r="AF104" s="37" t="n">
        <x:f>(AF101*(1-'Assumptions'!$D$85)-AF103)*AF95</x:f>
        <x:v>6875066.304701293</x:v>
      </x:c>
      <x:c r="AG104" s="37" t="n">
        <x:f>(AG101*(1-'Assumptions'!$D$85)-AG103)*AG95</x:f>
        <x:v>2547473.305759517</x:v>
      </x:c>
      <x:c r="AH104" s="37" t="n">
        <x:f>(AH101*(1-'Assumptions'!$D$85)-AH103)*AH95</x:f>
        <x:v>1615698.7485477086</x:v>
      </x:c>
      <x:c r="AI104" s="37" t="n">
        <x:f>(AI101*(1-'Assumptions'!$D$85)-AI103)*AI95</x:f>
        <x:v>101096.5118495717</x:v>
      </x:c>
      <x:c r="AJ104" s="37" t="n">
        <x:f>(AJ101*(1-'Assumptions'!$D$85)-AJ103)*AJ95</x:f>
        <x:v>0</x:v>
      </x:c>
      <x:c r="AK104" s="37" t="n">
        <x:f>(AK101*(1-'Assumptions'!$D$85)-AK103)*AK95</x:f>
        <x:v>0</x:v>
      </x:c>
      <x:c r="AL104" s="37" t="n">
        <x:f>(AL101*(1-'Assumptions'!$D$85)-AL103)*AL95</x:f>
        <x:v>0</x:v>
      </x:c>
      <x:c r="AM104" s="37" t="n">
        <x:f>(AM101*(1-'Assumptions'!$D$85)-AM103)*AM95</x:f>
        <x:v>0</x:v>
      </x:c>
      <x:c r="AN104" s="37" t="n">
        <x:f>(AN101*(1-'Assumptions'!$D$85)-AN103)*AN95</x:f>
        <x:v>0</x:v>
      </x:c>
      <x:c r="AO104" s="37" t="n">
        <x:f>(AO101*(1-'Assumptions'!$D$85)-AO103)*AO95</x:f>
        <x:v>0</x:v>
      </x:c>
      <x:c r="AP104" s="37" t="n">
        <x:f>(AP101*(1-'Assumptions'!$D$85)-AP103)*AP95</x:f>
        <x:v>0</x:v>
      </x:c>
      <x:c r="AQ104" s="37" t="n">
        <x:f>(AQ101*(1-'Assumptions'!$D$85)-AQ103)*AQ95</x:f>
        <x:v>0</x:v>
      </x:c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</x:row>
    <x:row r="108" ht="21" customHeight="1">
      <x:c r="A108" s="2"/>
      <x:c r="B108" s="2"/>
      <x:c r="C108" s="2" t="str">
        <x:v>Cash figures are USD millions; TCE is USD/day. No perpetual terminal value.</x:v>
      </x:c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</x:row>
    <x:row r="109" ht="21" customHeight="1">
      <x:c r="A109" s="2"/>
      <x:c r="B109" s="2"/>
      <x:c r="C109" s="2" t="str">
        <x:v>Drydocking uses an annual budget. Charter-in activity is assumed to have zero net value.</x:v>
      </x:c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21" customHeight="1">
      <x:c r="A2" s="2"/>
      <x:c r="B2" s="2"/>
      <x:c r="C2" s="3" t="str">
        <x:v>Debt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</x:row>
    <x:row r="6" ht="28" customHeight="1">
      <x:c r="A6" s="2"/>
      <x:c r="B6" s="2"/>
      <x:c r="C6" s="2"/>
      <x:c r="D6" s="2"/>
      <x:c r="E6" s="25" t="str">
        <x:v>Q4:26 stub</x:v>
      </x:c>
      <x:c r="F6" s="25" t="str">
        <x:v>Q1:27</x:v>
      </x:c>
      <x:c r="G6" s="25" t="str">
        <x:v>Q2:27</x:v>
      </x:c>
      <x:c r="H6" s="25" t="str">
        <x:v>Q3:27</x:v>
      </x:c>
      <x:c r="I6" s="25" t="str">
        <x:v>Q4:27</x:v>
      </x:c>
      <x:c r="J6" s="25" t="str">
        <x:v>Q1:28</x:v>
      </x:c>
      <x:c r="K6" s="25" t="str">
        <x:v>Q2:28</x:v>
      </x:c>
      <x:c r="L6" s="25" t="str">
        <x:v>Q3:28</x:v>
      </x:c>
      <x:c r="M6" s="25" t="str">
        <x:v>Q4:28</x:v>
      </x:c>
      <x:c r="N6" s="25" t="str">
        <x:v>Q1:29</x:v>
      </x:c>
      <x:c r="O6" s="25" t="str">
        <x:v>Q2:29</x:v>
      </x:c>
      <x:c r="P6" s="25" t="str">
        <x:v>Q3:29</x:v>
      </x:c>
      <x:c r="Q6" s="25" t="str">
        <x:v>Sep-30</x:v>
      </x:c>
      <x:c r="R6" s="25" t="str">
        <x:v>Sep-31</x:v>
      </x:c>
      <x:c r="S6" s="25" t="str">
        <x:v>Sep-32</x:v>
      </x:c>
      <x:c r="T6" s="25" t="str">
        <x:v>Sep-33</x:v>
      </x:c>
      <x:c r="U6" s="25" t="str">
        <x:v>Sep-34</x:v>
      </x:c>
      <x:c r="V6" s="25" t="str">
        <x:v>Sep-35</x:v>
      </x:c>
      <x:c r="W6" s="25" t="str">
        <x:v>Sep-36</x:v>
      </x:c>
      <x:c r="X6" s="25" t="str">
        <x:v>Sep-37</x:v>
      </x:c>
      <x:c r="Y6" s="25" t="str">
        <x:v>Sep-38</x:v>
      </x:c>
      <x:c r="Z6" s="25" t="str">
        <x:v>Sep-39</x:v>
      </x:c>
      <x:c r="AA6" s="25" t="str">
        <x:v>Sep-40</x:v>
      </x:c>
      <x:c r="AB6" s="25" t="str">
        <x:v>Sep-41</x:v>
      </x:c>
      <x:c r="AC6" s="25" t="str">
        <x:v>Sep-42</x:v>
      </x:c>
      <x:c r="AD6" s="25" t="str">
        <x:v>Sep-43</x:v>
      </x:c>
      <x:c r="AE6" s="25" t="str">
        <x:v>Sep-44</x:v>
      </x:c>
      <x:c r="AF6" s="25" t="str">
        <x:v>Sep-45</x:v>
      </x:c>
      <x:c r="AG6" s="25" t="str">
        <x:v>Sep-46</x:v>
      </x:c>
      <x:c r="AH6" s="25" t="str">
        <x:v>Sep-47</x:v>
      </x:c>
      <x:c r="AI6" s="25" t="str">
        <x:v>Sep-48</x:v>
      </x:c>
      <x:c r="AJ6" s="25" t="str">
        <x:v>Sep-49</x:v>
      </x:c>
      <x:c r="AK6" s="25" t="str">
        <x:v>Sep-50</x:v>
      </x:c>
      <x:c r="AL6" s="25" t="str">
        <x:v>Sep-51</x:v>
      </x:c>
      <x:c r="AM6" s="25" t="str">
        <x:v>Sep-52</x:v>
      </x:c>
      <x:c r="AN6" s="25" t="str">
        <x:v>Sep-53</x:v>
      </x:c>
      <x:c r="AO6" s="25" t="str">
        <x:v>Sep-54</x:v>
      </x:c>
      <x:c r="AP6" s="25" t="str">
        <x:v>Sep-55</x:v>
      </x:c>
      <x:c r="AQ6" s="25" t="str">
        <x:v>Sep-56</x:v>
      </x:c>
    </x:row>
    <x:row r="7" ht="21" customHeight="1">
      <x:c r="A7" s="2"/>
      <x:c r="B7" s="2"/>
      <x:c r="C7" s="2" t="str">
        <x:v>Period starts</x:v>
      </x:c>
      <x:c r="D7" s="2"/>
      <x:c r="E7" s="28" t="n">
        <x:v>46308</x:v>
      </x:c>
      <x:c r="F7" s="28" t="n">
        <x:v>46388</x:v>
      </x:c>
      <x:c r="G7" s="28" t="n">
        <x:v>46478</x:v>
      </x:c>
      <x:c r="H7" s="28" t="n">
        <x:v>46569</x:v>
      </x:c>
      <x:c r="I7" s="28" t="n">
        <x:v>46661</x:v>
      </x:c>
      <x:c r="J7" s="28" t="n">
        <x:v>46753</x:v>
      </x:c>
      <x:c r="K7" s="28" t="n">
        <x:v>46844</x:v>
      </x:c>
      <x:c r="L7" s="28" t="n">
        <x:v>46935</x:v>
      </x:c>
      <x:c r="M7" s="28" t="n">
        <x:v>47027</x:v>
      </x:c>
      <x:c r="N7" s="28" t="n">
        <x:v>47119</x:v>
      </x:c>
      <x:c r="O7" s="28" t="n">
        <x:v>47209</x:v>
      </x:c>
      <x:c r="P7" s="28" t="n">
        <x:v>47300</x:v>
      </x:c>
      <x:c r="Q7" s="28" t="n">
        <x:v>47392</x:v>
      </x:c>
      <x:c r="R7" s="28" t="n">
        <x:v>47757</x:v>
      </x:c>
      <x:c r="S7" s="28" t="n">
        <x:v>48122</x:v>
      </x:c>
      <x:c r="T7" s="28" t="n">
        <x:v>48488</x:v>
      </x:c>
      <x:c r="U7" s="28" t="n">
        <x:v>48853</x:v>
      </x:c>
      <x:c r="V7" s="28" t="n">
        <x:v>49218</x:v>
      </x:c>
      <x:c r="W7" s="28" t="n">
        <x:v>49583</x:v>
      </x:c>
      <x:c r="X7" s="28" t="n">
        <x:v>49949</x:v>
      </x:c>
      <x:c r="Y7" s="28" t="n">
        <x:v>50314</x:v>
      </x:c>
      <x:c r="Z7" s="28" t="n">
        <x:v>50679</x:v>
      </x:c>
      <x:c r="AA7" s="28" t="n">
        <x:v>51044</x:v>
      </x:c>
      <x:c r="AB7" s="28" t="n">
        <x:v>51410</x:v>
      </x:c>
      <x:c r="AC7" s="28" t="n">
        <x:v>51775</x:v>
      </x:c>
      <x:c r="AD7" s="28" t="n">
        <x:v>52140</x:v>
      </x:c>
      <x:c r="AE7" s="28" t="n">
        <x:v>52505</x:v>
      </x:c>
      <x:c r="AF7" s="28" t="n">
        <x:v>52871</x:v>
      </x:c>
      <x:c r="AG7" s="28" t="n">
        <x:v>53236</x:v>
      </x:c>
      <x:c r="AH7" s="28" t="n">
        <x:v>53601</x:v>
      </x:c>
      <x:c r="AI7" s="28" t="n">
        <x:v>53966</x:v>
      </x:c>
      <x:c r="AJ7" s="28" t="n">
        <x:v>54332</x:v>
      </x:c>
      <x:c r="AK7" s="28" t="n">
        <x:v>54697</x:v>
      </x:c>
      <x:c r="AL7" s="28" t="n">
        <x:v>55062</x:v>
      </x:c>
      <x:c r="AM7" s="28" t="n">
        <x:v>55427</x:v>
      </x:c>
      <x:c r="AN7" s="28" t="n">
        <x:v>55793</x:v>
      </x:c>
      <x:c r="AO7" s="28" t="n">
        <x:v>56158</x:v>
      </x:c>
      <x:c r="AP7" s="28" t="n">
        <x:v>56523</x:v>
      </x:c>
      <x:c r="AQ7" s="28" t="n">
        <x:v>56888</x:v>
      </x:c>
    </x:row>
    <x:row r="8" ht="21" customHeight="1">
      <x:c r="A8" s="2"/>
      <x:c r="B8" s="2"/>
      <x:c r="C8" s="2" t="str">
        <x:v>Period ends</x:v>
      </x:c>
      <x:c r="D8" s="2"/>
      <x:c r="E8" s="28" t="n">
        <x:v>46387</x:v>
      </x:c>
      <x:c r="F8" s="28" t="n">
        <x:v>46477</x:v>
      </x:c>
      <x:c r="G8" s="28" t="n">
        <x:v>46568</x:v>
      </x:c>
      <x:c r="H8" s="28" t="n">
        <x:v>46660</x:v>
      </x:c>
      <x:c r="I8" s="28" t="n">
        <x:v>46752</x:v>
      </x:c>
      <x:c r="J8" s="28" t="n">
        <x:v>46843</x:v>
      </x:c>
      <x:c r="K8" s="28" t="n">
        <x:v>46934</x:v>
      </x:c>
      <x:c r="L8" s="28" t="n">
        <x:v>47026</x:v>
      </x:c>
      <x:c r="M8" s="28" t="n">
        <x:v>47118</x:v>
      </x:c>
      <x:c r="N8" s="28" t="n">
        <x:v>47208</x:v>
      </x:c>
      <x:c r="O8" s="28" t="n">
        <x:v>47299</x:v>
      </x:c>
      <x:c r="P8" s="28" t="n">
        <x:v>47391</x:v>
      </x:c>
      <x:c r="Q8" s="28" t="n">
        <x:v>47756</x:v>
      </x:c>
      <x:c r="R8" s="28" t="n">
        <x:v>48121</x:v>
      </x:c>
      <x:c r="S8" s="28" t="n">
        <x:v>48487</x:v>
      </x:c>
      <x:c r="T8" s="28" t="n">
        <x:v>48852</x:v>
      </x:c>
      <x:c r="U8" s="28" t="n">
        <x:v>49217</x:v>
      </x:c>
      <x:c r="V8" s="28" t="n">
        <x:v>49582</x:v>
      </x:c>
      <x:c r="W8" s="28" t="n">
        <x:v>49948</x:v>
      </x:c>
      <x:c r="X8" s="28" t="n">
        <x:v>50313</x:v>
      </x:c>
      <x:c r="Y8" s="28" t="n">
        <x:v>50678</x:v>
      </x:c>
      <x:c r="Z8" s="28" t="n">
        <x:v>51043</x:v>
      </x:c>
      <x:c r="AA8" s="28" t="n">
        <x:v>51409</x:v>
      </x:c>
      <x:c r="AB8" s="28" t="n">
        <x:v>51774</x:v>
      </x:c>
      <x:c r="AC8" s="28" t="n">
        <x:v>52139</x:v>
      </x:c>
      <x:c r="AD8" s="28" t="n">
        <x:v>52504</x:v>
      </x:c>
      <x:c r="AE8" s="28" t="n">
        <x:v>52870</x:v>
      </x:c>
      <x:c r="AF8" s="28" t="n">
        <x:v>53235</x:v>
      </x:c>
      <x:c r="AG8" s="28" t="n">
        <x:v>53600</x:v>
      </x:c>
      <x:c r="AH8" s="28" t="n">
        <x:v>53965</x:v>
      </x:c>
      <x:c r="AI8" s="28" t="n">
        <x:v>54331</x:v>
      </x:c>
      <x:c r="AJ8" s="28" t="n">
        <x:v>54696</x:v>
      </x:c>
      <x:c r="AK8" s="28" t="n">
        <x:v>55061</x:v>
      </x:c>
      <x:c r="AL8" s="28" t="n">
        <x:v>55426</x:v>
      </x:c>
      <x:c r="AM8" s="28" t="n">
        <x:v>55792</x:v>
      </x:c>
      <x:c r="AN8" s="28" t="n">
        <x:v>56157</x:v>
      </x:c>
      <x:c r="AO8" s="28" t="n">
        <x:v>56522</x:v>
      </x:c>
      <x:c r="AP8" s="28" t="n">
        <x:v>56887</x:v>
      </x:c>
      <x:c r="AQ8" s="28" t="n">
        <x:v>57253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</x:row>
    <x:row r="10" ht="25" customHeight="1">
      <x:c r="A10" s="2"/>
      <x:c r="B10" s="2"/>
      <x:c r="C10" s="30" t="str">
        <x:v>Debt and retained cash (USD millions)</x:v>
      </x:c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</x:row>
    <x:row r="12" ht="21" customHeight="1">
      <x:c r="A12" s="2"/>
      <x:c r="B12" s="2"/>
      <x:c r="C12" s="2" t="str">
        <x:v>Opening debt</x:v>
      </x:c>
      <x:c r="D12" s="2"/>
      <x:c r="E12" s="37" t="n">
        <x:f>'NAV'!D20</x:f>
        <x:v>380000000</x:v>
      </x:c>
      <x:c r="F12" s="39" t="n">
        <x:f>E14</x:f>
        <x:v>380000000</x:v>
      </x:c>
      <x:c r="G12" s="39" t="n">
        <x:f>F14</x:f>
        <x:v>380000000</x:v>
      </x:c>
      <x:c r="H12" s="39" t="n">
        <x:f>G14</x:f>
        <x:v>380000000</x:v>
      </x:c>
      <x:c r="I12" s="39" t="n">
        <x:f>H14</x:f>
        <x:v>380000000</x:v>
      </x:c>
      <x:c r="J12" s="39" t="n">
        <x:f>I14</x:f>
        <x:v>380000000</x:v>
      </x:c>
      <x:c r="K12" s="39" t="n">
        <x:f>J14</x:f>
        <x:v>380000000</x:v>
      </x:c>
      <x:c r="L12" s="39" t="n">
        <x:f>K14</x:f>
        <x:v>380000000</x:v>
      </x:c>
      <x:c r="M12" s="39" t="n">
        <x:f>L14</x:f>
        <x:v>380000000</x:v>
      </x:c>
      <x:c r="N12" s="39" t="n">
        <x:f>M14</x:f>
        <x:v>380000000</x:v>
      </x:c>
      <x:c r="O12" s="39" t="n">
        <x:f>N14</x:f>
        <x:v>380000000</x:v>
      </x:c>
      <x:c r="P12" s="39" t="n">
        <x:f>O14</x:f>
        <x:v>380000000</x:v>
      </x:c>
      <x:c r="Q12" s="39" t="n">
        <x:f>P14</x:f>
        <x:v>380000000</x:v>
      </x:c>
      <x:c r="R12" s="39" t="n">
        <x:f>Q14</x:f>
        <x:v>380000000</x:v>
      </x:c>
      <x:c r="S12" s="39" t="n">
        <x:f>R14</x:f>
        <x:v>380000000</x:v>
      </x:c>
      <x:c r="T12" s="39" t="n">
        <x:f>S14</x:f>
        <x:v>0</x:v>
      </x:c>
      <x:c r="U12" s="39" t="n">
        <x:f>T14</x:f>
        <x:v>0</x:v>
      </x:c>
      <x:c r="V12" s="39" t="n">
        <x:f>U14</x:f>
        <x:v>0</x:v>
      </x:c>
      <x:c r="W12" s="39" t="n">
        <x:f>V14</x:f>
        <x:v>0</x:v>
      </x:c>
      <x:c r="X12" s="39" t="n">
        <x:f>W14</x:f>
        <x:v>0</x:v>
      </x:c>
      <x:c r="Y12" s="39" t="n">
        <x:f>X14</x:f>
        <x:v>0</x:v>
      </x:c>
      <x:c r="Z12" s="39" t="n">
        <x:f>Y14</x:f>
        <x:v>0</x:v>
      </x:c>
      <x:c r="AA12" s="39" t="n">
        <x:f>Z14</x:f>
        <x:v>0</x:v>
      </x:c>
      <x:c r="AB12" s="39" t="n">
        <x:f>AA14</x:f>
        <x:v>0</x:v>
      </x:c>
      <x:c r="AC12" s="39" t="n">
        <x:f>AB14</x:f>
        <x:v>0</x:v>
      </x:c>
      <x:c r="AD12" s="39" t="n">
        <x:f>AC14</x:f>
        <x:v>0</x:v>
      </x:c>
      <x:c r="AE12" s="39" t="n">
        <x:f>AD14</x:f>
        <x:v>0</x:v>
      </x:c>
      <x:c r="AF12" s="39" t="n">
        <x:f>AE14</x:f>
        <x:v>0</x:v>
      </x:c>
      <x:c r="AG12" s="39" t="n">
        <x:f>AF14</x:f>
        <x:v>0</x:v>
      </x:c>
      <x:c r="AH12" s="39" t="n">
        <x:f>AG14</x:f>
        <x:v>0</x:v>
      </x:c>
      <x:c r="AI12" s="39" t="n">
        <x:f>AH14</x:f>
        <x:v>0</x:v>
      </x:c>
      <x:c r="AJ12" s="39" t="n">
        <x:f>AI14</x:f>
        <x:v>0</x:v>
      </x:c>
      <x:c r="AK12" s="39" t="n">
        <x:f>AJ14</x:f>
        <x:v>0</x:v>
      </x:c>
      <x:c r="AL12" s="39" t="n">
        <x:f>AK14</x:f>
        <x:v>0</x:v>
      </x:c>
      <x:c r="AM12" s="39" t="n">
        <x:f>AL14</x:f>
        <x:v>0</x:v>
      </x:c>
      <x:c r="AN12" s="39" t="n">
        <x:f>AM14</x:f>
        <x:v>0</x:v>
      </x:c>
      <x:c r="AO12" s="39" t="n">
        <x:f>AN14</x:f>
        <x:v>0</x:v>
      </x:c>
      <x:c r="AP12" s="39" t="n">
        <x:f>AO14</x:f>
        <x:v>0</x:v>
      </x:c>
      <x:c r="AQ12" s="39" t="n">
        <x:f>AP14</x:f>
        <x:v>0</x:v>
      </x:c>
    </x:row>
    <x:row r="13" ht="21" customHeight="1">
      <x:c r="A13" s="2"/>
      <x:c r="B13" s="2"/>
      <x:c r="C13" s="2" t="str">
        <x:v>Principal paid</x:v>
      </x:c>
      <x:c r="D13" s="2"/>
      <x:c r="E13" s="39" t="n">
        <x:f>MIN(E12,SUMIFS($D$31:$D$31,$C$31:$C$31,"&gt;="&amp;E$7,$C$31:$C$31,"&lt;="&amp;E$8))</x:f>
        <x:v>0</x:v>
      </x:c>
      <x:c r="F13" s="39" t="n">
        <x:f>MIN(F12,SUMIFS($D$31:$D$31,$C$31:$C$31,"&gt;="&amp;F$7,$C$31:$C$31,"&lt;="&amp;F$8))</x:f>
        <x:v>0</x:v>
      </x:c>
      <x:c r="G13" s="39" t="n">
        <x:f>MIN(G12,SUMIFS($D$31:$D$31,$C$31:$C$31,"&gt;="&amp;G$7,$C$31:$C$31,"&lt;="&amp;G$8))</x:f>
        <x:v>0</x:v>
      </x:c>
      <x:c r="H13" s="39" t="n">
        <x:f>MIN(H12,SUMIFS($D$31:$D$31,$C$31:$C$31,"&gt;="&amp;H$7,$C$31:$C$31,"&lt;="&amp;H$8))</x:f>
        <x:v>0</x:v>
      </x:c>
      <x:c r="I13" s="39" t="n">
        <x:f>MIN(I12,SUMIFS($D$31:$D$31,$C$31:$C$31,"&gt;="&amp;I$7,$C$31:$C$31,"&lt;="&amp;I$8))</x:f>
        <x:v>0</x:v>
      </x:c>
      <x:c r="J13" s="39" t="n">
        <x:f>MIN(J12,SUMIFS($D$31:$D$31,$C$31:$C$31,"&gt;="&amp;J$7,$C$31:$C$31,"&lt;="&amp;J$8))</x:f>
        <x:v>0</x:v>
      </x:c>
      <x:c r="K13" s="39" t="n">
        <x:f>MIN(K12,SUMIFS($D$31:$D$31,$C$31:$C$31,"&gt;="&amp;K$7,$C$31:$C$31,"&lt;="&amp;K$8))</x:f>
        <x:v>0</x:v>
      </x:c>
      <x:c r="L13" s="39" t="n">
        <x:f>MIN(L12,SUMIFS($D$31:$D$31,$C$31:$C$31,"&gt;="&amp;L$7,$C$31:$C$31,"&lt;="&amp;L$8))</x:f>
        <x:v>0</x:v>
      </x:c>
      <x:c r="M13" s="39" t="n">
        <x:f>MIN(M12,SUMIFS($D$31:$D$31,$C$31:$C$31,"&gt;="&amp;M$7,$C$31:$C$31,"&lt;="&amp;M$8))</x:f>
        <x:v>0</x:v>
      </x:c>
      <x:c r="N13" s="39" t="n">
        <x:f>MIN(N12,SUMIFS($D$31:$D$31,$C$31:$C$31,"&gt;="&amp;N$7,$C$31:$C$31,"&lt;="&amp;N$8))</x:f>
        <x:v>0</x:v>
      </x:c>
      <x:c r="O13" s="39" t="n">
        <x:f>MIN(O12,SUMIFS($D$31:$D$31,$C$31:$C$31,"&gt;="&amp;O$7,$C$31:$C$31,"&lt;="&amp;O$8))</x:f>
        <x:v>0</x:v>
      </x:c>
      <x:c r="P13" s="39" t="n">
        <x:f>MIN(P12,SUMIFS($D$31:$D$31,$C$31:$C$31,"&gt;="&amp;P$7,$C$31:$C$31,"&lt;="&amp;P$8))</x:f>
        <x:v>0</x:v>
      </x:c>
      <x:c r="Q13" s="39" t="n">
        <x:f>MIN(Q12,SUMIFS($D$31:$D$31,$C$31:$C$31,"&gt;="&amp;Q$7,$C$31:$C$31,"&lt;="&amp;Q$8))</x:f>
        <x:v>0</x:v>
      </x:c>
      <x:c r="R13" s="39" t="n">
        <x:f>MIN(R12,SUMIFS($D$31:$D$31,$C$31:$C$31,"&gt;="&amp;R$7,$C$31:$C$31,"&lt;="&amp;R$8))</x:f>
        <x:v>0</x:v>
      </x:c>
      <x:c r="S13" s="39" t="n">
        <x:f>MIN(S12,SUMIFS($D$31:$D$31,$C$31:$C$31,"&gt;="&amp;S$7,$C$31:$C$31,"&lt;="&amp;S$8))</x:f>
        <x:v>380000000</x:v>
      </x:c>
      <x:c r="T13" s="39" t="n">
        <x:f>MIN(T12,SUMIFS($D$31:$D$31,$C$31:$C$31,"&gt;="&amp;T$7,$C$31:$C$31,"&lt;="&amp;T$8))</x:f>
        <x:v>0</x:v>
      </x:c>
      <x:c r="U13" s="39" t="n">
        <x:f>MIN(U12,SUMIFS($D$31:$D$31,$C$31:$C$31,"&gt;="&amp;U$7,$C$31:$C$31,"&lt;="&amp;U$8))</x:f>
        <x:v>0</x:v>
      </x:c>
      <x:c r="V13" s="39" t="n">
        <x:f>MIN(V12,SUMIFS($D$31:$D$31,$C$31:$C$31,"&gt;="&amp;V$7,$C$31:$C$31,"&lt;="&amp;V$8))</x:f>
        <x:v>0</x:v>
      </x:c>
      <x:c r="W13" s="39" t="n">
        <x:f>MIN(W12,SUMIFS($D$31:$D$31,$C$31:$C$31,"&gt;="&amp;W$7,$C$31:$C$31,"&lt;="&amp;W$8))</x:f>
        <x:v>0</x:v>
      </x:c>
      <x:c r="X13" s="39" t="n">
        <x:f>MIN(X12,SUMIFS($D$31:$D$31,$C$31:$C$31,"&gt;="&amp;X$7,$C$31:$C$31,"&lt;="&amp;X$8))</x:f>
        <x:v>0</x:v>
      </x:c>
      <x:c r="Y13" s="39" t="n">
        <x:f>MIN(Y12,SUMIFS($D$31:$D$31,$C$31:$C$31,"&gt;="&amp;Y$7,$C$31:$C$31,"&lt;="&amp;Y$8))</x:f>
        <x:v>0</x:v>
      </x:c>
      <x:c r="Z13" s="39" t="n">
        <x:f>MIN(Z12,SUMIFS($D$31:$D$31,$C$31:$C$31,"&gt;="&amp;Z$7,$C$31:$C$31,"&lt;="&amp;Z$8))</x:f>
        <x:v>0</x:v>
      </x:c>
      <x:c r="AA13" s="39" t="n">
        <x:f>MIN(AA12,SUMIFS($D$31:$D$31,$C$31:$C$31,"&gt;="&amp;AA$7,$C$31:$C$31,"&lt;="&amp;AA$8))</x:f>
        <x:v>0</x:v>
      </x:c>
      <x:c r="AB13" s="39" t="n">
        <x:f>MIN(AB12,SUMIFS($D$31:$D$31,$C$31:$C$31,"&gt;="&amp;AB$7,$C$31:$C$31,"&lt;="&amp;AB$8))</x:f>
        <x:v>0</x:v>
      </x:c>
      <x:c r="AC13" s="39" t="n">
        <x:f>MIN(AC12,SUMIFS($D$31:$D$31,$C$31:$C$31,"&gt;="&amp;AC$7,$C$31:$C$31,"&lt;="&amp;AC$8))</x:f>
        <x:v>0</x:v>
      </x:c>
      <x:c r="AD13" s="39" t="n">
        <x:f>MIN(AD12,SUMIFS($D$31:$D$31,$C$31:$C$31,"&gt;="&amp;AD$7,$C$31:$C$31,"&lt;="&amp;AD$8))</x:f>
        <x:v>0</x:v>
      </x:c>
      <x:c r="AE13" s="39" t="n">
        <x:f>MIN(AE12,SUMIFS($D$31:$D$31,$C$31:$C$31,"&gt;="&amp;AE$7,$C$31:$C$31,"&lt;="&amp;AE$8))</x:f>
        <x:v>0</x:v>
      </x:c>
      <x:c r="AF13" s="39" t="n">
        <x:f>MIN(AF12,SUMIFS($D$31:$D$31,$C$31:$C$31,"&gt;="&amp;AF$7,$C$31:$C$31,"&lt;="&amp;AF$8))</x:f>
        <x:v>0</x:v>
      </x:c>
      <x:c r="AG13" s="39" t="n">
        <x:f>MIN(AG12,SUMIFS($D$31:$D$31,$C$31:$C$31,"&gt;="&amp;AG$7,$C$31:$C$31,"&lt;="&amp;AG$8))</x:f>
        <x:v>0</x:v>
      </x:c>
      <x:c r="AH13" s="39" t="n">
        <x:f>MIN(AH12,SUMIFS($D$31:$D$31,$C$31:$C$31,"&gt;="&amp;AH$7,$C$31:$C$31,"&lt;="&amp;AH$8))</x:f>
        <x:v>0</x:v>
      </x:c>
      <x:c r="AI13" s="39" t="n">
        <x:f>MIN(AI12,SUMIFS($D$31:$D$31,$C$31:$C$31,"&gt;="&amp;AI$7,$C$31:$C$31,"&lt;="&amp;AI$8))</x:f>
        <x:v>0</x:v>
      </x:c>
      <x:c r="AJ13" s="39" t="n">
        <x:f>MIN(AJ12,SUMIFS($D$31:$D$31,$C$31:$C$31,"&gt;="&amp;AJ$7,$C$31:$C$31,"&lt;="&amp;AJ$8))</x:f>
        <x:v>0</x:v>
      </x:c>
      <x:c r="AK13" s="39" t="n">
        <x:f>MIN(AK12,SUMIFS($D$31:$D$31,$C$31:$C$31,"&gt;="&amp;AK$7,$C$31:$C$31,"&lt;="&amp;AK$8))</x:f>
        <x:v>0</x:v>
      </x:c>
      <x:c r="AL13" s="39" t="n">
        <x:f>MIN(AL12,SUMIFS($D$31:$D$31,$C$31:$C$31,"&gt;="&amp;AL$7,$C$31:$C$31,"&lt;="&amp;AL$8))</x:f>
        <x:v>0</x:v>
      </x:c>
      <x:c r="AM13" s="39" t="n">
        <x:f>MIN(AM12,SUMIFS($D$31:$D$31,$C$31:$C$31,"&gt;="&amp;AM$7,$C$31:$C$31,"&lt;="&amp;AM$8))</x:f>
        <x:v>0</x:v>
      </x:c>
      <x:c r="AN13" s="39" t="n">
        <x:f>MIN(AN12,SUMIFS($D$31:$D$31,$C$31:$C$31,"&gt;="&amp;AN$7,$C$31:$C$31,"&lt;="&amp;AN$8))</x:f>
        <x:v>0</x:v>
      </x:c>
      <x:c r="AO13" s="39" t="n">
        <x:f>MIN(AO12,SUMIFS($D$31:$D$31,$C$31:$C$31,"&gt;="&amp;AO$7,$C$31:$C$31,"&lt;="&amp;AO$8))</x:f>
        <x:v>0</x:v>
      </x:c>
      <x:c r="AP13" s="39" t="n">
        <x:f>MIN(AP12,SUMIFS($D$31:$D$31,$C$31:$C$31,"&gt;="&amp;AP$7,$C$31:$C$31,"&lt;="&amp;AP$8))</x:f>
        <x:v>0</x:v>
      </x:c>
      <x:c r="AQ13" s="39" t="n">
        <x:f>MIN(AQ12,SUMIFS($D$31:$D$31,$C$31:$C$31,"&gt;="&amp;AQ$7,$C$31:$C$31,"&lt;="&amp;AQ$8))</x:f>
        <x:v>0</x:v>
      </x:c>
    </x:row>
    <x:row r="14" ht="21" customHeight="1">
      <x:c r="A14" s="2"/>
      <x:c r="B14" s="2"/>
      <x:c r="C14" s="2" t="str">
        <x:v>Closing debt</x:v>
      </x:c>
      <x:c r="D14" s="2"/>
      <x:c r="E14" s="39" t="n">
        <x:f>E12-E13</x:f>
        <x:v>380000000</x:v>
      </x:c>
      <x:c r="F14" s="39" t="n">
        <x:f>F12-F13</x:f>
        <x:v>380000000</x:v>
      </x:c>
      <x:c r="G14" s="39" t="n">
        <x:f>G12-G13</x:f>
        <x:v>380000000</x:v>
      </x:c>
      <x:c r="H14" s="39" t="n">
        <x:f>H12-H13</x:f>
        <x:v>380000000</x:v>
      </x:c>
      <x:c r="I14" s="39" t="n">
        <x:f>I12-I13</x:f>
        <x:v>380000000</x:v>
      </x:c>
      <x:c r="J14" s="39" t="n">
        <x:f>J12-J13</x:f>
        <x:v>380000000</x:v>
      </x:c>
      <x:c r="K14" s="39" t="n">
        <x:f>K12-K13</x:f>
        <x:v>380000000</x:v>
      </x:c>
      <x:c r="L14" s="39" t="n">
        <x:f>L12-L13</x:f>
        <x:v>380000000</x:v>
      </x:c>
      <x:c r="M14" s="39" t="n">
        <x:f>M12-M13</x:f>
        <x:v>380000000</x:v>
      </x:c>
      <x:c r="N14" s="39" t="n">
        <x:f>N12-N13</x:f>
        <x:v>380000000</x:v>
      </x:c>
      <x:c r="O14" s="39" t="n">
        <x:f>O12-O13</x:f>
        <x:v>380000000</x:v>
      </x:c>
      <x:c r="P14" s="39" t="n">
        <x:f>P12-P13</x:f>
        <x:v>380000000</x:v>
      </x:c>
      <x:c r="Q14" s="39" t="n">
        <x:f>Q12-Q13</x:f>
        <x:v>380000000</x:v>
      </x:c>
      <x:c r="R14" s="39" t="n">
        <x:f>R12-R13</x:f>
        <x:v>380000000</x:v>
      </x:c>
      <x:c r="S14" s="39" t="n">
        <x:f>S12-S13</x:f>
        <x:v>0</x:v>
      </x:c>
      <x:c r="T14" s="39" t="n">
        <x:f>T12-T13</x:f>
        <x:v>0</x:v>
      </x:c>
      <x:c r="U14" s="39" t="n">
        <x:f>U12-U13</x:f>
        <x:v>0</x:v>
      </x:c>
      <x:c r="V14" s="39" t="n">
        <x:f>V12-V13</x:f>
        <x:v>0</x:v>
      </x:c>
      <x:c r="W14" s="39" t="n">
        <x:f>W12-W13</x:f>
        <x:v>0</x:v>
      </x:c>
      <x:c r="X14" s="39" t="n">
        <x:f>X12-X13</x:f>
        <x:v>0</x:v>
      </x:c>
      <x:c r="Y14" s="39" t="n">
        <x:f>Y12-Y13</x:f>
        <x:v>0</x:v>
      </x:c>
      <x:c r="Z14" s="39" t="n">
        <x:f>Z12-Z13</x:f>
        <x:v>0</x:v>
      </x:c>
      <x:c r="AA14" s="39" t="n">
        <x:f>AA12-AA13</x:f>
        <x:v>0</x:v>
      </x:c>
      <x:c r="AB14" s="39" t="n">
        <x:f>AB12-AB13</x:f>
        <x:v>0</x:v>
      </x:c>
      <x:c r="AC14" s="39" t="n">
        <x:f>AC12-AC13</x:f>
        <x:v>0</x:v>
      </x:c>
      <x:c r="AD14" s="39" t="n">
        <x:f>AD12-AD13</x:f>
        <x:v>0</x:v>
      </x:c>
      <x:c r="AE14" s="39" t="n">
        <x:f>AE12-AE13</x:f>
        <x:v>0</x:v>
      </x:c>
      <x:c r="AF14" s="39" t="n">
        <x:f>AF12-AF13</x:f>
        <x:v>0</x:v>
      </x:c>
      <x:c r="AG14" s="39" t="n">
        <x:f>AG12-AG13</x:f>
        <x:v>0</x:v>
      </x:c>
      <x:c r="AH14" s="39" t="n">
        <x:f>AH12-AH13</x:f>
        <x:v>0</x:v>
      </x:c>
      <x:c r="AI14" s="39" t="n">
        <x:f>AI12-AI13</x:f>
        <x:v>0</x:v>
      </x:c>
      <x:c r="AJ14" s="39" t="n">
        <x:f>AJ12-AJ13</x:f>
        <x:v>0</x:v>
      </x:c>
      <x:c r="AK14" s="39" t="n">
        <x:f>AK12-AK13</x:f>
        <x:v>0</x:v>
      </x:c>
      <x:c r="AL14" s="39" t="n">
        <x:f>AL12-AL13</x:f>
        <x:v>0</x:v>
      </x:c>
      <x:c r="AM14" s="39" t="n">
        <x:f>AM12-AM13</x:f>
        <x:v>0</x:v>
      </x:c>
      <x:c r="AN14" s="39" t="n">
        <x:f>AN12-AN13</x:f>
        <x:v>0</x:v>
      </x:c>
      <x:c r="AO14" s="39" t="n">
        <x:f>AO12-AO13</x:f>
        <x:v>0</x:v>
      </x:c>
      <x:c r="AP14" s="39" t="n">
        <x:f>AP12-AP13</x:f>
        <x:v>0</x:v>
      </x:c>
      <x:c r="AQ14" s="39" t="n">
        <x:f>AQ12-AQ13</x:f>
        <x:v>0</x:v>
      </x:c>
    </x:row>
    <x:row r="15" ht="21" customHeight="1">
      <x:c r="A15" s="2"/>
      <x:c r="B15" s="2"/>
      <x:c r="C15" s="2" t="str">
        <x:v>Cash interest</x:v>
      </x:c>
      <x:c r="D15" s="2"/>
      <x:c r="E15" s="37" t="n">
        <x:f>AVERAGE(E12,E14)*'Assumptions'!$D$90*(E$8-E$7+1)/365</x:f>
        <x:v>4789041.095890411</x:v>
      </x:c>
      <x:c r="F15" s="37" t="n">
        <x:f>AVERAGE(F12,F14)*'Assumptions'!$D$90*(F$8-F$7+1)/365</x:f>
        <x:v>5387671.232876712</x:v>
      </x:c>
      <x:c r="G15" s="37" t="n">
        <x:f>AVERAGE(G12,G14)*'Assumptions'!$D$90*(G$8-G$7+1)/365</x:f>
        <x:v>5447534.2465753425</x:v>
      </x:c>
      <x:c r="H15" s="37" t="n">
        <x:f>AVERAGE(H12,H14)*'Assumptions'!$D$90*(H$8-H$7+1)/365</x:f>
        <x:v>5507397.2602739725</x:v>
      </x:c>
      <x:c r="I15" s="37" t="n">
        <x:f>AVERAGE(I12,I14)*'Assumptions'!$D$90*(I$8-I$7+1)/365</x:f>
        <x:v>5507397.2602739725</x:v>
      </x:c>
      <x:c r="J15" s="37" t="n">
        <x:f>AVERAGE(J12,J14)*'Assumptions'!$D$90*(J$8-J$7+1)/365</x:f>
        <x:v>5447534.2465753425</x:v>
      </x:c>
      <x:c r="K15" s="37" t="n">
        <x:f>AVERAGE(K12,K14)*'Assumptions'!$D$90*(K$8-K$7+1)/365</x:f>
        <x:v>5447534.2465753425</x:v>
      </x:c>
      <x:c r="L15" s="37" t="n">
        <x:f>AVERAGE(L12,L14)*'Assumptions'!$D$90*(L$8-L$7+1)/365</x:f>
        <x:v>5507397.2602739725</x:v>
      </x:c>
      <x:c r="M15" s="37" t="n">
        <x:f>AVERAGE(M12,M14)*'Assumptions'!$D$90*(M$8-M$7+1)/365</x:f>
        <x:v>5507397.2602739725</x:v>
      </x:c>
      <x:c r="N15" s="37" t="n">
        <x:f>AVERAGE(N12,N14)*'Assumptions'!$D$90*(N$8-N$7+1)/365</x:f>
        <x:v>5387671.232876712</x:v>
      </x:c>
      <x:c r="O15" s="37" t="n">
        <x:f>AVERAGE(O12,O14)*'Assumptions'!$D$90*(O$8-O$7+1)/365</x:f>
        <x:v>5447534.2465753425</x:v>
      </x:c>
      <x:c r="P15" s="37" t="n">
        <x:f>AVERAGE(P12,P14)*'Assumptions'!$D$90*(P$8-P$7+1)/365</x:f>
        <x:v>5507397.2602739725</x:v>
      </x:c>
      <x:c r="Q15" s="37" t="n">
        <x:f>AVERAGE(Q12,Q14)*'Assumptions'!$D$90*(Q$8-Q$7+1)/365</x:f>
        <x:v>21850000</x:v>
      </x:c>
      <x:c r="R15" s="37" t="n">
        <x:f>AVERAGE(R12,R14)*'Assumptions'!$D$90*(R$8-R$7+1)/365</x:f>
        <x:v>21850000</x:v>
      </x:c>
      <x:c r="S15" s="37" t="n">
        <x:f>AVERAGE(S12,S14)*'Assumptions'!$D$90*(S$8-S$7+1)/365</x:f>
        <x:v>10954931.506849315</x:v>
      </x:c>
      <x:c r="T15" s="37" t="n">
        <x:f>AVERAGE(T12,T14)*'Assumptions'!$D$90*(T$8-T$7+1)/365</x:f>
        <x:v>0</x:v>
      </x:c>
      <x:c r="U15" s="37" t="n">
        <x:f>AVERAGE(U12,U14)*'Assumptions'!$D$90*(U$8-U$7+1)/365</x:f>
        <x:v>0</x:v>
      </x:c>
      <x:c r="V15" s="37" t="n">
        <x:f>AVERAGE(V12,V14)*'Assumptions'!$D$90*(V$8-V$7+1)/365</x:f>
        <x:v>0</x:v>
      </x:c>
      <x:c r="W15" s="37" t="n">
        <x:f>AVERAGE(W12,W14)*'Assumptions'!$D$90*(W$8-W$7+1)/365</x:f>
        <x:v>0</x:v>
      </x:c>
      <x:c r="X15" s="37" t="n">
        <x:f>AVERAGE(X12,X14)*'Assumptions'!$D$90*(X$8-X$7+1)/365</x:f>
        <x:v>0</x:v>
      </x:c>
      <x:c r="Y15" s="37" t="n">
        <x:f>AVERAGE(Y12,Y14)*'Assumptions'!$D$90*(Y$8-Y$7+1)/365</x:f>
        <x:v>0</x:v>
      </x:c>
      <x:c r="Z15" s="37" t="n">
        <x:f>AVERAGE(Z12,Z14)*'Assumptions'!$D$90*(Z$8-Z$7+1)/365</x:f>
        <x:v>0</x:v>
      </x:c>
      <x:c r="AA15" s="37" t="n">
        <x:f>AVERAGE(AA12,AA14)*'Assumptions'!$D$90*(AA$8-AA$7+1)/365</x:f>
        <x:v>0</x:v>
      </x:c>
      <x:c r="AB15" s="37" t="n">
        <x:f>AVERAGE(AB12,AB14)*'Assumptions'!$D$90*(AB$8-AB$7+1)/365</x:f>
        <x:v>0</x:v>
      </x:c>
      <x:c r="AC15" s="37" t="n">
        <x:f>AVERAGE(AC12,AC14)*'Assumptions'!$D$90*(AC$8-AC$7+1)/365</x:f>
        <x:v>0</x:v>
      </x:c>
      <x:c r="AD15" s="37" t="n">
        <x:f>AVERAGE(AD12,AD14)*'Assumptions'!$D$90*(AD$8-AD$7+1)/365</x:f>
        <x:v>0</x:v>
      </x:c>
      <x:c r="AE15" s="37" t="n">
        <x:f>AVERAGE(AE12,AE14)*'Assumptions'!$D$90*(AE$8-AE$7+1)/365</x:f>
        <x:v>0</x:v>
      </x:c>
      <x:c r="AF15" s="37" t="n">
        <x:f>AVERAGE(AF12,AF14)*'Assumptions'!$D$90*(AF$8-AF$7+1)/365</x:f>
        <x:v>0</x:v>
      </x:c>
      <x:c r="AG15" s="37" t="n">
        <x:f>AVERAGE(AG12,AG14)*'Assumptions'!$D$90*(AG$8-AG$7+1)/365</x:f>
        <x:v>0</x:v>
      </x:c>
      <x:c r="AH15" s="37" t="n">
        <x:f>AVERAGE(AH12,AH14)*'Assumptions'!$D$90*(AH$8-AH$7+1)/365</x:f>
        <x:v>0</x:v>
      </x:c>
      <x:c r="AI15" s="37" t="n">
        <x:f>AVERAGE(AI12,AI14)*'Assumptions'!$D$90*(AI$8-AI$7+1)/365</x:f>
        <x:v>0</x:v>
      </x:c>
      <x:c r="AJ15" s="37" t="n">
        <x:f>AVERAGE(AJ12,AJ14)*'Assumptions'!$D$90*(AJ$8-AJ$7+1)/365</x:f>
        <x:v>0</x:v>
      </x:c>
      <x:c r="AK15" s="37" t="n">
        <x:f>AVERAGE(AK12,AK14)*'Assumptions'!$D$90*(AK$8-AK$7+1)/365</x:f>
        <x:v>0</x:v>
      </x:c>
      <x:c r="AL15" s="37" t="n">
        <x:f>AVERAGE(AL12,AL14)*'Assumptions'!$D$90*(AL$8-AL$7+1)/365</x:f>
        <x:v>0</x:v>
      </x:c>
      <x:c r="AM15" s="37" t="n">
        <x:f>AVERAGE(AM12,AM14)*'Assumptions'!$D$90*(AM$8-AM$7+1)/365</x:f>
        <x:v>0</x:v>
      </x:c>
      <x:c r="AN15" s="37" t="n">
        <x:f>AVERAGE(AN12,AN14)*'Assumptions'!$D$90*(AN$8-AN$7+1)/365</x:f>
        <x:v>0</x:v>
      </x:c>
      <x:c r="AO15" s="37" t="n">
        <x:f>AVERAGE(AO12,AO14)*'Assumptions'!$D$90*(AO$8-AO$7+1)/365</x:f>
        <x:v>0</x:v>
      </x:c>
      <x:c r="AP15" s="37" t="n">
        <x:f>AVERAGE(AP12,AP14)*'Assumptions'!$D$90*(AP$8-AP$7+1)/365</x:f>
        <x:v>0</x:v>
      </x:c>
      <x:c r="AQ15" s="37" t="n">
        <x:f>AVERAGE(AQ12,AQ14)*'Assumptions'!$D$90*(AQ$8-AQ$7+1)/365</x:f>
        <x:v>0</x:v>
      </x:c>
    </x:row>
    <x:row r="16" ht="21" customHeight="1">
      <x:c r="A16" s="2"/>
      <x:c r="B16" s="2"/>
      <x:c r="C16" s="2"/>
      <x:c r="D16" s="2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</x:row>
    <x:row r="17" ht="21" customHeight="1">
      <x:c r="A17" s="2"/>
      <x:c r="B17" s="2"/>
      <x:c r="C17" s="2" t="str">
        <x:v>Unlevered free cash flow</x:v>
      </x:c>
      <x:c r="D17" s="2"/>
      <x:c r="E17" s="37" t="n">
        <x:f>'Cash Flow'!E94</x:f>
        <x:v>26066355.69747327</x:v>
      </x:c>
      <x:c r="F17" s="37" t="n">
        <x:f>'Cash Flow'!F94</x:f>
        <x:v>34932972.69888663</x:v>
      </x:c>
      <x:c r="G17" s="37" t="n">
        <x:f>'Cash Flow'!G94</x:f>
        <x:v>35489562.95743702</x:v>
      </x:c>
      <x:c r="H17" s="37" t="n">
        <x:f>'Cash Flow'!H94</x:f>
        <x:v>36058111.41059844</x:v>
      </x:c>
      <x:c r="I17" s="37" t="n">
        <x:f>'Cash Flow'!I94</x:f>
        <x:v>36237940.44283843</x:v>
      </x:c>
      <x:c r="J17" s="37" t="n">
        <x:f>'Cash Flow'!J94</x:f>
        <x:v>36021824.522985406</x:v>
      </x:c>
      <x:c r="K17" s="37" t="n">
        <x:f>'Cash Flow'!K94</x:f>
        <x:v>36200712.78840005</x:v>
      </x:c>
      <x:c r="L17" s="37" t="n">
        <x:f>'Cash Flow'!L94</x:f>
        <x:v>36781269.10731912</x:v>
      </x:c>
      <x:c r="M17" s="37" t="n">
        <x:f>'Cash Flow'!M94</x:f>
        <x:v>36964704.67200551</x:v>
      </x:c>
      <x:c r="N17" s="37" t="n">
        <x:f>'Cash Flow'!N94</x:f>
        <x:v>36338861.358503915</x:v>
      </x:c>
      <x:c r="O17" s="37" t="n">
        <x:f>'Cash Flow'!O94</x:f>
        <x:v>36925344.585852504</x:v>
      </x:c>
      <x:c r="P17" s="37" t="n">
        <x:f>'Cash Flow'!P94</x:f>
        <x:v>37516894.4894655</x:v>
      </x:c>
      <x:c r="Q17" s="37" t="n">
        <x:f>'Cash Flow'!Q94</x:f>
        <x:v>150871433.6909067</x:v>
      </x:c>
      <x:c r="R17" s="37" t="n">
        <x:f>'Cash Flow'!R94</x:f>
        <x:v>153715834.4513976</x:v>
      </x:c>
      <x:c r="S17" s="37" t="n">
        <x:f>'Cash Flow'!S94</x:f>
        <x:v>206108856.61551103</x:v>
      </x:c>
      <x:c r="T17" s="37" t="n">
        <x:f>'Cash Flow'!T94</x:f>
        <x:v>150210953.54914007</x:v>
      </x:c>
      <x:c r="U17" s="37" t="n">
        <x:f>'Cash Flow'!U94</x:f>
        <x:v>145241395.4523274</x:v>
      </x:c>
      <x:c r="V17" s="37" t="n">
        <x:f>'Cash Flow'!V94</x:f>
        <x:v>168313287.3232569</x:v>
      </x:c>
      <x:c r="W17" s="37" t="n">
        <x:f>'Cash Flow'!W94</x:f>
        <x:v>130783427.19378768</x:v>
      </x:c>
      <x:c r="X17" s="37" t="n">
        <x:f>'Cash Flow'!X94</x:f>
        <x:v>119608396.4199524</x:v>
      </x:c>
      <x:c r="Y17" s="37" t="n">
        <x:f>'Cash Flow'!Y94</x:f>
        <x:v>104238644.43400015</x:v>
      </x:c>
      <x:c r="Z17" s="37" t="n">
        <x:f>'Cash Flow'!Z94</x:f>
        <x:v>120880985.12066273</x:v>
      </x:c>
      <x:c r="AA17" s="37" t="n">
        <x:f>'Cash Flow'!AA94</x:f>
        <x:v>139091657.49534038</x:v>
      </x:c>
      <x:c r="AB17" s="37" t="n">
        <x:f>'Cash Flow'!AB94</x:f>
        <x:v>135954697.96269935</x:v>
      </x:c>
      <x:c r="AC17" s="37" t="n">
        <x:f>'Cash Flow'!AC94</x:f>
        <x:v>43381507.84533985</x:v>
      </x:c>
      <x:c r="AD17" s="37" t="n">
        <x:f>'Cash Flow'!AD94</x:f>
        <x:v>27017656.975843787</x:v>
      </x:c>
      <x:c r="AE17" s="37" t="n">
        <x:f>'Cash Flow'!AE94</x:f>
        <x:v>38013605.43923158</x:v>
      </x:c>
      <x:c r="AF17" s="37" t="n">
        <x:f>'Cash Flow'!AF94</x:f>
        <x:v>58005230.24071778</x:v>
      </x:c>
      <x:c r="AG17" s="37" t="n">
        <x:f>'Cash Flow'!AG94</x:f>
        <x:v>128558.12327641249</x:v>
      </x:c>
      <x:c r="AH17" s="37" t="n">
        <x:f>'Cash Flow'!AH94</x:f>
        <x:v>5193445.663896015</x:v>
      </x:c>
      <x:c r="AI17" s="37" t="n">
        <x:f>'Cash Flow'!AI94</x:f>
        <x:v>954459.4074338216</x:v>
      </x:c>
      <x:c r="AJ17" s="37" t="n">
        <x:f>'Cash Flow'!AJ94</x:f>
        <x:v>0</x:v>
      </x:c>
      <x:c r="AK17" s="37" t="n">
        <x:f>'Cash Flow'!AK94</x:f>
        <x:v>0</x:v>
      </x:c>
      <x:c r="AL17" s="37" t="n">
        <x:f>'Cash Flow'!AL94</x:f>
        <x:v>0</x:v>
      </x:c>
      <x:c r="AM17" s="37" t="n">
        <x:f>'Cash Flow'!AM94</x:f>
        <x:v>0</x:v>
      </x:c>
      <x:c r="AN17" s="37" t="n">
        <x:f>'Cash Flow'!AN94</x:f>
        <x:v>0</x:v>
      </x:c>
      <x:c r="AO17" s="37" t="n">
        <x:f>'Cash Flow'!AO94</x:f>
        <x:v>0</x:v>
      </x:c>
      <x:c r="AP17" s="37" t="n">
        <x:f>'Cash Flow'!AP94</x:f>
        <x:v>0</x:v>
      </x:c>
      <x:c r="AQ17" s="37" t="n">
        <x:f>'Cash Flow'!AQ94</x:f>
        <x:v>0</x:v>
      </x:c>
    </x:row>
    <x:row r="18" ht="21" customHeight="1">
      <x:c r="A18" s="2"/>
      <x:c r="B18" s="2"/>
      <x:c r="C18" s="2" t="str">
        <x:v>Cash after financing, before dividends</x:v>
      </x:c>
      <x:c r="D18" s="2"/>
      <x:c r="E18" s="39" t="n">
        <x:f>E17-E13-E15</x:f>
        <x:v>21277314.60158286</x:v>
      </x:c>
      <x:c r="F18" s="39" t="n">
        <x:f>F17-F13-F15</x:f>
        <x:v>29545301.466009922</x:v>
      </x:c>
      <x:c r="G18" s="39" t="n">
        <x:f>G17-G13-G15</x:f>
        <x:v>30042028.710861683</x:v>
      </x:c>
      <x:c r="H18" s="39" t="n">
        <x:f>H17-H13-H15</x:f>
        <x:v>30550714.15032447</x:v>
      </x:c>
      <x:c r="I18" s="39" t="n">
        <x:f>I17-I13-I15</x:f>
        <x:v>30730543.18256446</x:v>
      </x:c>
      <x:c r="J18" s="39" t="n">
        <x:f>J17-J13-J15</x:f>
        <x:v>30574290.276410066</x:v>
      </x:c>
      <x:c r="K18" s="39" t="n">
        <x:f>K17-K13-K15</x:f>
        <x:v>30753178.541824706</x:v>
      </x:c>
      <x:c r="L18" s="39" t="n">
        <x:f>L17-L13-L15</x:f>
        <x:v>31273871.847045146</x:v>
      </x:c>
      <x:c r="M18" s="39" t="n">
        <x:f>M17-M13-M15</x:f>
        <x:v>31457307.41173154</x:v>
      </x:c>
      <x:c r="N18" s="39" t="n">
        <x:f>N17-N13-N15</x:f>
        <x:v>30951190.125627205</x:v>
      </x:c>
      <x:c r="O18" s="39" t="n">
        <x:f>O17-O13-O15</x:f>
        <x:v>31477810.339277163</x:v>
      </x:c>
      <x:c r="P18" s="39" t="n">
        <x:f>P17-P13-P15</x:f>
        <x:v>32009497.229191527</x:v>
      </x:c>
      <x:c r="Q18" s="39" t="n">
        <x:f>Q17-Q13-Q15</x:f>
        <x:v>129021433.6909067</x:v>
      </x:c>
      <x:c r="R18" s="39" t="n">
        <x:f>R17-R13-R15</x:f>
        <x:v>131865834.4513976</x:v>
      </x:c>
      <x:c r="S18" s="39" t="n">
        <x:f>S17-S13-S15</x:f>
        <x:v>-184846074.8913383</x:v>
      </x:c>
      <x:c r="T18" s="39" t="n">
        <x:f>T17-T13-T15</x:f>
        <x:v>150210953.54914007</x:v>
      </x:c>
      <x:c r="U18" s="39" t="n">
        <x:f>U17-U13-U15</x:f>
        <x:v>145241395.4523274</x:v>
      </x:c>
      <x:c r="V18" s="39" t="n">
        <x:f>V17-V13-V15</x:f>
        <x:v>168313287.3232569</x:v>
      </x:c>
      <x:c r="W18" s="39" t="n">
        <x:f>W17-W13-W15</x:f>
        <x:v>130783427.19378768</x:v>
      </x:c>
      <x:c r="X18" s="39" t="n">
        <x:f>X17-X13-X15</x:f>
        <x:v>119608396.4199524</x:v>
      </x:c>
      <x:c r="Y18" s="39" t="n">
        <x:f>Y17-Y13-Y15</x:f>
        <x:v>104238644.43400015</x:v>
      </x:c>
      <x:c r="Z18" s="39" t="n">
        <x:f>Z17-Z13-Z15</x:f>
        <x:v>120880985.12066273</x:v>
      </x:c>
      <x:c r="AA18" s="39" t="n">
        <x:f>AA17-AA13-AA15</x:f>
        <x:v>139091657.49534038</x:v>
      </x:c>
      <x:c r="AB18" s="39" t="n">
        <x:f>AB17-AB13-AB15</x:f>
        <x:v>135954697.96269935</x:v>
      </x:c>
      <x:c r="AC18" s="39" t="n">
        <x:f>AC17-AC13-AC15</x:f>
        <x:v>43381507.84533985</x:v>
      </x:c>
      <x:c r="AD18" s="39" t="n">
        <x:f>AD17-AD13-AD15</x:f>
        <x:v>27017656.975843787</x:v>
      </x:c>
      <x:c r="AE18" s="39" t="n">
        <x:f>AE17-AE13-AE15</x:f>
        <x:v>38013605.43923158</x:v>
      </x:c>
      <x:c r="AF18" s="39" t="n">
        <x:f>AF17-AF13-AF15</x:f>
        <x:v>58005230.24071778</x:v>
      </x:c>
      <x:c r="AG18" s="39" t="n">
        <x:f>AG17-AG13-AG15</x:f>
        <x:v>128558.12327641249</x:v>
      </x:c>
      <x:c r="AH18" s="39" t="n">
        <x:f>AH17-AH13-AH15</x:f>
        <x:v>5193445.663896015</x:v>
      </x:c>
      <x:c r="AI18" s="39" t="n">
        <x:f>AI17-AI13-AI15</x:f>
        <x:v>954459.4074338216</x:v>
      </x:c>
      <x:c r="AJ18" s="39" t="n">
        <x:f>AJ17-AJ13-AJ15</x:f>
        <x:v>0</x:v>
      </x:c>
      <x:c r="AK18" s="39" t="n">
        <x:f>AK17-AK13-AK15</x:f>
        <x:v>0</x:v>
      </x:c>
      <x:c r="AL18" s="39" t="n">
        <x:f>AL17-AL13-AL15</x:f>
        <x:v>0</x:v>
      </x:c>
      <x:c r="AM18" s="39" t="n">
        <x:f>AM17-AM13-AM15</x:f>
        <x:v>0</x:v>
      </x:c>
      <x:c r="AN18" s="39" t="n">
        <x:f>AN17-AN13-AN15</x:f>
        <x:v>0</x:v>
      </x:c>
      <x:c r="AO18" s="39" t="n">
        <x:f>AO17-AO13-AO15</x:f>
        <x:v>0</x:v>
      </x:c>
      <x:c r="AP18" s="39" t="n">
        <x:f>AP17-AP13-AP15</x:f>
        <x:v>0</x:v>
      </x:c>
      <x:c r="AQ18" s="39" t="n">
        <x:f>AQ17-AQ13-AQ15</x:f>
        <x:v>0</x:v>
      </x:c>
    </x:row>
    <x:row r="19" ht="21" customHeight="1">
      <x:c r="A19" s="2"/>
      <x:c r="B19" s="2"/>
      <x:c r="C19" s="2"/>
      <x:c r="D19" s="2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</x:row>
    <x:row r="20" ht="21" customHeight="1">
      <x:c r="A20" s="2"/>
      <x:c r="B20" s="2"/>
      <x:c r="C20" s="2" t="str">
        <x:v>Opening retained cash</x:v>
      </x:c>
      <x:c r="D20" s="2"/>
      <x:c r="E20" s="37" t="n">
        <x:f>'NAV'!D17</x:f>
        <x:v>63717716</x:v>
      </x:c>
      <x:c r="F20" s="39" t="n">
        <x:f>E21</x:f>
        <x:v>84995030.60158285</x:v>
      </x:c>
      <x:c r="G20" s="39" t="n">
        <x:f>F21</x:f>
        <x:v>114540332.06759277</x:v>
      </x:c>
      <x:c r="H20" s="39" t="n">
        <x:f>G21</x:f>
        <x:v>144582360.77845445</x:v>
      </x:c>
      <x:c r="I20" s="39" t="n">
        <x:f>H21</x:f>
        <x:v>175133074.92877892</x:v>
      </x:c>
      <x:c r="J20" s="39" t="n">
        <x:f>I21</x:f>
        <x:v>205863618.11134338</x:v>
      </x:c>
      <x:c r="K20" s="39" t="n">
        <x:f>J21</x:f>
        <x:v>236437908.38775346</x:v>
      </x:c>
      <x:c r="L20" s="39" t="n">
        <x:f>K21</x:f>
        <x:v>267191086.92957816</x:v>
      </x:c>
      <x:c r="M20" s="39" t="n">
        <x:f>L21</x:f>
        <x:v>298464958.7766233</x:v>
      </x:c>
      <x:c r="N20" s="39" t="n">
        <x:f>M21</x:f>
        <x:v>329922266.18835485</x:v>
      </x:c>
      <x:c r="O20" s="39" t="n">
        <x:f>N21</x:f>
        <x:v>360873456.31398207</x:v>
      </x:c>
      <x:c r="P20" s="39" t="n">
        <x:f>O21</x:f>
        <x:v>392351266.6532592</x:v>
      </x:c>
      <x:c r="Q20" s="39" t="n">
        <x:f>P21</x:f>
        <x:v>424360763.88245076</x:v>
      </x:c>
      <x:c r="R20" s="39" t="n">
        <x:f>Q21</x:f>
        <x:v>553382197.5733575</x:v>
      </x:c>
      <x:c r="S20" s="39" t="n">
        <x:f>R21</x:f>
        <x:v>685248032.024755</x:v>
      </x:c>
      <x:c r="T20" s="39" t="n">
        <x:f>S21</x:f>
        <x:v>500401957.1334167</x:v>
      </x:c>
      <x:c r="U20" s="39" t="n">
        <x:f>T21</x:f>
        <x:v>650612910.6825567</x:v>
      </x:c>
      <x:c r="V20" s="39" t="n">
        <x:f>U21</x:f>
        <x:v>795854306.1348841</x:v>
      </x:c>
      <x:c r="W20" s="39" t="n">
        <x:f>V21</x:f>
        <x:v>964167593.4581411</x:v>
      </x:c>
      <x:c r="X20" s="39" t="n">
        <x:f>W21</x:f>
        <x:v>1094951020.6519287</x:v>
      </x:c>
      <x:c r="Y20" s="39" t="n">
        <x:f>X21</x:f>
        <x:v>1214559417.071881</x:v>
      </x:c>
      <x:c r="Z20" s="39" t="n">
        <x:f>Y21</x:f>
        <x:v>1318798061.5058813</x:v>
      </x:c>
      <x:c r="AA20" s="39" t="n">
        <x:f>Z21</x:f>
        <x:v>1439679046.626544</x:v>
      </x:c>
      <x:c r="AB20" s="39" t="n">
        <x:f>AA21</x:f>
        <x:v>1578770704.1218843</x:v>
      </x:c>
      <x:c r="AC20" s="39" t="n">
        <x:f>AB21</x:f>
        <x:v>1714725402.0845838</x:v>
      </x:c>
      <x:c r="AD20" s="39" t="n">
        <x:f>AC21</x:f>
        <x:v>1758106909.9299235</x:v>
      </x:c>
      <x:c r="AE20" s="39" t="n">
        <x:f>AD21</x:f>
        <x:v>1785124566.9057674</x:v>
      </x:c>
      <x:c r="AF20" s="39" t="n">
        <x:f>AE21</x:f>
        <x:v>1823138172.344999</x:v>
      </x:c>
      <x:c r="AG20" s="39" t="n">
        <x:f>AF21</x:f>
        <x:v>1881143402.585717</x:v>
      </x:c>
      <x:c r="AH20" s="39" t="n">
        <x:f>AG21</x:f>
        <x:v>1881271960.7089934</x:v>
      </x:c>
      <x:c r="AI20" s="39" t="n">
        <x:f>AH21</x:f>
        <x:v>1886465406.3728895</x:v>
      </x:c>
      <x:c r="AJ20" s="39" t="n">
        <x:f>AI21</x:f>
        <x:v>1887419865.7803233</x:v>
      </x:c>
      <x:c r="AK20" s="39" t="n">
        <x:f>AJ21</x:f>
        <x:v>1887419865.7803233</x:v>
      </x:c>
      <x:c r="AL20" s="39" t="n">
        <x:f>AK21</x:f>
        <x:v>1887419865.7803233</x:v>
      </x:c>
      <x:c r="AM20" s="39" t="n">
        <x:f>AL21</x:f>
        <x:v>1887419865.7803233</x:v>
      </x:c>
      <x:c r="AN20" s="39" t="n">
        <x:f>AM21</x:f>
        <x:v>1887419865.7803233</x:v>
      </x:c>
      <x:c r="AO20" s="39" t="n">
        <x:f>AN21</x:f>
        <x:v>1887419865.7803233</x:v>
      </x:c>
      <x:c r="AP20" s="39" t="n">
        <x:f>AO21</x:f>
        <x:v>1887419865.7803233</x:v>
      </x:c>
      <x:c r="AQ20" s="39" t="n">
        <x:f>AP21</x:f>
        <x:v>1887419865.7803233</x:v>
      </x:c>
    </x:row>
    <x:row r="21" ht="21" customHeight="1">
      <x:c r="A21" s="2"/>
      <x:c r="B21" s="2"/>
      <x:c r="C21" s="2" t="str">
        <x:v>Closing retained cash</x:v>
      </x:c>
      <x:c r="D21" s="2"/>
      <x:c r="E21" s="39" t="n">
        <x:f>E20+E18</x:f>
        <x:v>84995030.60158285</x:v>
      </x:c>
      <x:c r="F21" s="39" t="n">
        <x:f>F20+F18</x:f>
        <x:v>114540332.06759277</x:v>
      </x:c>
      <x:c r="G21" s="39" t="n">
        <x:f>G20+G18</x:f>
        <x:v>144582360.77845445</x:v>
      </x:c>
      <x:c r="H21" s="39" t="n">
        <x:f>H20+H18</x:f>
        <x:v>175133074.92877892</x:v>
      </x:c>
      <x:c r="I21" s="39" t="n">
        <x:f>I20+I18</x:f>
        <x:v>205863618.11134338</x:v>
      </x:c>
      <x:c r="J21" s="39" t="n">
        <x:f>J20+J18</x:f>
        <x:v>236437908.38775346</x:v>
      </x:c>
      <x:c r="K21" s="39" t="n">
        <x:f>K20+K18</x:f>
        <x:v>267191086.92957816</x:v>
      </x:c>
      <x:c r="L21" s="39" t="n">
        <x:f>L20+L18</x:f>
        <x:v>298464958.7766233</x:v>
      </x:c>
      <x:c r="M21" s="39" t="n">
        <x:f>M20+M18</x:f>
        <x:v>329922266.18835485</x:v>
      </x:c>
      <x:c r="N21" s="39" t="n">
        <x:f>N20+N18</x:f>
        <x:v>360873456.31398207</x:v>
      </x:c>
      <x:c r="O21" s="39" t="n">
        <x:f>O20+O18</x:f>
        <x:v>392351266.6532592</x:v>
      </x:c>
      <x:c r="P21" s="39" t="n">
        <x:f>P20+P18</x:f>
        <x:v>424360763.88245076</x:v>
      </x:c>
      <x:c r="Q21" s="39" t="n">
        <x:f>Q20+Q18</x:f>
        <x:v>553382197.5733575</x:v>
      </x:c>
      <x:c r="R21" s="39" t="n">
        <x:f>R20+R18</x:f>
        <x:v>685248032.024755</x:v>
      </x:c>
      <x:c r="S21" s="39" t="n">
        <x:f>S20+S18</x:f>
        <x:v>500401957.1334167</x:v>
      </x:c>
      <x:c r="T21" s="39" t="n">
        <x:f>T20+T18</x:f>
        <x:v>650612910.6825567</x:v>
      </x:c>
      <x:c r="U21" s="39" t="n">
        <x:f>U20+U18</x:f>
        <x:v>795854306.1348841</x:v>
      </x:c>
      <x:c r="V21" s="39" t="n">
        <x:f>V20+V18</x:f>
        <x:v>964167593.4581411</x:v>
      </x:c>
      <x:c r="W21" s="39" t="n">
        <x:f>W20+W18</x:f>
        <x:v>1094951020.6519287</x:v>
      </x:c>
      <x:c r="X21" s="39" t="n">
        <x:f>X20+X18</x:f>
        <x:v>1214559417.071881</x:v>
      </x:c>
      <x:c r="Y21" s="39" t="n">
        <x:f>Y20+Y18</x:f>
        <x:v>1318798061.5058813</x:v>
      </x:c>
      <x:c r="Z21" s="39" t="n">
        <x:f>Z20+Z18</x:f>
        <x:v>1439679046.626544</x:v>
      </x:c>
      <x:c r="AA21" s="39" t="n">
        <x:f>AA20+AA18</x:f>
        <x:v>1578770704.1218843</x:v>
      </x:c>
      <x:c r="AB21" s="39" t="n">
        <x:f>AB20+AB18</x:f>
        <x:v>1714725402.0845838</x:v>
      </x:c>
      <x:c r="AC21" s="39" t="n">
        <x:f>AC20+AC18</x:f>
        <x:v>1758106909.9299235</x:v>
      </x:c>
      <x:c r="AD21" s="39" t="n">
        <x:f>AD20+AD18</x:f>
        <x:v>1785124566.9057674</x:v>
      </x:c>
      <x:c r="AE21" s="39" t="n">
        <x:f>AE20+AE18</x:f>
        <x:v>1823138172.344999</x:v>
      </x:c>
      <x:c r="AF21" s="39" t="n">
        <x:f>AF20+AF18</x:f>
        <x:v>1881143402.585717</x:v>
      </x:c>
      <x:c r="AG21" s="39" t="n">
        <x:f>AG20+AG18</x:f>
        <x:v>1881271960.7089934</x:v>
      </x:c>
      <x:c r="AH21" s="39" t="n">
        <x:f>AH20+AH18</x:f>
        <x:v>1886465406.3728895</x:v>
      </x:c>
      <x:c r="AI21" s="39" t="n">
        <x:f>AI20+AI18</x:f>
        <x:v>1887419865.7803233</x:v>
      </x:c>
      <x:c r="AJ21" s="39" t="n">
        <x:f>AJ20+AJ18</x:f>
        <x:v>1887419865.7803233</x:v>
      </x:c>
      <x:c r="AK21" s="39" t="n">
        <x:f>AK20+AK18</x:f>
        <x:v>1887419865.7803233</x:v>
      </x:c>
      <x:c r="AL21" s="39" t="n">
        <x:f>AL20+AL18</x:f>
        <x:v>1887419865.7803233</x:v>
      </x:c>
      <x:c r="AM21" s="39" t="n">
        <x:f>AM20+AM18</x:f>
        <x:v>1887419865.7803233</x:v>
      </x:c>
      <x:c r="AN21" s="39" t="n">
        <x:f>AN20+AN18</x:f>
        <x:v>1887419865.7803233</x:v>
      </x:c>
      <x:c r="AO21" s="39" t="n">
        <x:f>AO20+AO18</x:f>
        <x:v>1887419865.7803233</x:v>
      </x:c>
      <x:c r="AP21" s="39" t="n">
        <x:f>AP20+AP18</x:f>
        <x:v>1887419865.7803233</x:v>
      </x:c>
      <x:c r="AQ21" s="39" t="n">
        <x:f>AQ20+AQ18</x:f>
        <x:v>1887419865.7803233</x:v>
      </x:c>
    </x:row>
    <x:row r="22" ht="21" customHeight="1">
      <x:c r="A22" s="2"/>
      <x:c r="B22" s="2"/>
      <x:c r="C22" s="2" t="str">
        <x:v>Illustrative minimum cash</x:v>
      </x:c>
      <x:c r="D22" s="2"/>
      <x:c r="E22" s="37" t="n">
        <x:f>IF('Cash Flow'!E80=0,0,'Sources'!$D$35)</x:f>
        <x:v>30000000</x:v>
      </x:c>
      <x:c r="F22" s="37" t="n">
        <x:f>IF('Cash Flow'!F80=0,0,'Sources'!$D$35)</x:f>
        <x:v>30000000</x:v>
      </x:c>
      <x:c r="G22" s="37" t="n">
        <x:f>IF('Cash Flow'!G80=0,0,'Sources'!$D$35)</x:f>
        <x:v>30000000</x:v>
      </x:c>
      <x:c r="H22" s="37" t="n">
        <x:f>IF('Cash Flow'!H80=0,0,'Sources'!$D$35)</x:f>
        <x:v>30000000</x:v>
      </x:c>
      <x:c r="I22" s="37" t="n">
        <x:f>IF('Cash Flow'!I80=0,0,'Sources'!$D$35)</x:f>
        <x:v>30000000</x:v>
      </x:c>
      <x:c r="J22" s="37" t="n">
        <x:f>IF('Cash Flow'!J80=0,0,'Sources'!$D$35)</x:f>
        <x:v>30000000</x:v>
      </x:c>
      <x:c r="K22" s="37" t="n">
        <x:f>IF('Cash Flow'!K80=0,0,'Sources'!$D$35)</x:f>
        <x:v>30000000</x:v>
      </x:c>
      <x:c r="L22" s="37" t="n">
        <x:f>IF('Cash Flow'!L80=0,0,'Sources'!$D$35)</x:f>
        <x:v>30000000</x:v>
      </x:c>
      <x:c r="M22" s="37" t="n">
        <x:f>IF('Cash Flow'!M80=0,0,'Sources'!$D$35)</x:f>
        <x:v>30000000</x:v>
      </x:c>
      <x:c r="N22" s="37" t="n">
        <x:f>IF('Cash Flow'!N80=0,0,'Sources'!$D$35)</x:f>
        <x:v>30000000</x:v>
      </x:c>
      <x:c r="O22" s="37" t="n">
        <x:f>IF('Cash Flow'!O80=0,0,'Sources'!$D$35)</x:f>
        <x:v>30000000</x:v>
      </x:c>
      <x:c r="P22" s="37" t="n">
        <x:f>IF('Cash Flow'!P80=0,0,'Sources'!$D$35)</x:f>
        <x:v>30000000</x:v>
      </x:c>
      <x:c r="Q22" s="37" t="n">
        <x:f>IF('Cash Flow'!Q80=0,0,'Sources'!$D$35)</x:f>
        <x:v>30000000</x:v>
      </x:c>
      <x:c r="R22" s="37" t="n">
        <x:f>IF('Cash Flow'!R80=0,0,'Sources'!$D$35)</x:f>
        <x:v>30000000</x:v>
      </x:c>
      <x:c r="S22" s="37" t="n">
        <x:f>IF('Cash Flow'!S80=0,0,'Sources'!$D$35)</x:f>
        <x:v>30000000</x:v>
      </x:c>
      <x:c r="T22" s="37" t="n">
        <x:f>IF('Cash Flow'!T80=0,0,'Sources'!$D$35)</x:f>
        <x:v>30000000</x:v>
      </x:c>
      <x:c r="U22" s="37" t="n">
        <x:f>IF('Cash Flow'!U80=0,0,'Sources'!$D$35)</x:f>
        <x:v>30000000</x:v>
      </x:c>
      <x:c r="V22" s="37" t="n">
        <x:f>IF('Cash Flow'!V80=0,0,'Sources'!$D$35)</x:f>
        <x:v>30000000</x:v>
      </x:c>
      <x:c r="W22" s="37" t="n">
        <x:f>IF('Cash Flow'!W80=0,0,'Sources'!$D$35)</x:f>
        <x:v>30000000</x:v>
      </x:c>
      <x:c r="X22" s="37" t="n">
        <x:f>IF('Cash Flow'!X80=0,0,'Sources'!$D$35)</x:f>
        <x:v>30000000</x:v>
      </x:c>
      <x:c r="Y22" s="37" t="n">
        <x:f>IF('Cash Flow'!Y80=0,0,'Sources'!$D$35)</x:f>
        <x:v>30000000</x:v>
      </x:c>
      <x:c r="Z22" s="37" t="n">
        <x:f>IF('Cash Flow'!Z80=0,0,'Sources'!$D$35)</x:f>
        <x:v>30000000</x:v>
      </x:c>
      <x:c r="AA22" s="37" t="n">
        <x:f>IF('Cash Flow'!AA80=0,0,'Sources'!$D$35)</x:f>
        <x:v>30000000</x:v>
      </x:c>
      <x:c r="AB22" s="37" t="n">
        <x:f>IF('Cash Flow'!AB80=0,0,'Sources'!$D$35)</x:f>
        <x:v>30000000</x:v>
      </x:c>
      <x:c r="AC22" s="37" t="n">
        <x:f>IF('Cash Flow'!AC80=0,0,'Sources'!$D$35)</x:f>
        <x:v>30000000</x:v>
      </x:c>
      <x:c r="AD22" s="37" t="n">
        <x:f>IF('Cash Flow'!AD80=0,0,'Sources'!$D$35)</x:f>
        <x:v>30000000</x:v>
      </x:c>
      <x:c r="AE22" s="37" t="n">
        <x:f>IF('Cash Flow'!AE80=0,0,'Sources'!$D$35)</x:f>
        <x:v>30000000</x:v>
      </x:c>
      <x:c r="AF22" s="37" t="n">
        <x:f>IF('Cash Flow'!AF80=0,0,'Sources'!$D$35)</x:f>
        <x:v>30000000</x:v>
      </x:c>
      <x:c r="AG22" s="37" t="n">
        <x:f>IF('Cash Flow'!AG80=0,0,'Sources'!$D$35)</x:f>
        <x:v>30000000</x:v>
      </x:c>
      <x:c r="AH22" s="37" t="n">
        <x:f>IF('Cash Flow'!AH80=0,0,'Sources'!$D$35)</x:f>
        <x:v>30000000</x:v>
      </x:c>
      <x:c r="AI22" s="37" t="n">
        <x:f>IF('Cash Flow'!AI80=0,0,'Sources'!$D$35)</x:f>
        <x:v>0</x:v>
      </x:c>
      <x:c r="AJ22" s="37" t="n">
        <x:f>IF('Cash Flow'!AJ80=0,0,'Sources'!$D$35)</x:f>
        <x:v>0</x:v>
      </x:c>
      <x:c r="AK22" s="37" t="n">
        <x:f>IF('Cash Flow'!AK80=0,0,'Sources'!$D$35)</x:f>
        <x:v>0</x:v>
      </x:c>
      <x:c r="AL22" s="37" t="n">
        <x:f>IF('Cash Flow'!AL80=0,0,'Sources'!$D$35)</x:f>
        <x:v>0</x:v>
      </x:c>
      <x:c r="AM22" s="37" t="n">
        <x:f>IF('Cash Flow'!AM80=0,0,'Sources'!$D$35)</x:f>
        <x:v>0</x:v>
      </x:c>
      <x:c r="AN22" s="37" t="n">
        <x:f>IF('Cash Flow'!AN80=0,0,'Sources'!$D$35)</x:f>
        <x:v>0</x:v>
      </x:c>
      <x:c r="AO22" s="37" t="n">
        <x:f>IF('Cash Flow'!AO80=0,0,'Sources'!$D$35)</x:f>
        <x:v>0</x:v>
      </x:c>
      <x:c r="AP22" s="37" t="n">
        <x:f>IF('Cash Flow'!AP80=0,0,'Sources'!$D$35)</x:f>
        <x:v>0</x:v>
      </x:c>
      <x:c r="AQ22" s="37" t="n">
        <x:f>IF('Cash Flow'!AQ80=0,0,'Sources'!$D$35)</x:f>
        <x:v>0</x:v>
      </x:c>
    </x:row>
    <x:row r="23" ht="21" customHeight="1">
      <x:c r="A23" s="2"/>
      <x:c r="B23" s="2"/>
      <x:c r="C23" s="2" t="str">
        <x:v>Cash above / (below) minimum</x:v>
      </x:c>
      <x:c r="D23" s="2"/>
      <x:c r="E23" s="39" t="n">
        <x:f>E21-E22</x:f>
        <x:v>54995030.601582855</x:v>
      </x:c>
      <x:c r="F23" s="39" t="n">
        <x:f>F21-F22</x:f>
        <x:v>84540332.06759277</x:v>
      </x:c>
      <x:c r="G23" s="39" t="n">
        <x:f>G21-G22</x:f>
        <x:v>114582360.77845445</x:v>
      </x:c>
      <x:c r="H23" s="39" t="n">
        <x:f>H21-H22</x:f>
        <x:v>145133074.92877892</x:v>
      </x:c>
      <x:c r="I23" s="39" t="n">
        <x:f>I21-I22</x:f>
        <x:v>175863618.11134338</x:v>
      </x:c>
      <x:c r="J23" s="39" t="n">
        <x:f>J21-J22</x:f>
        <x:v>206437908.38775346</x:v>
      </x:c>
      <x:c r="K23" s="39" t="n">
        <x:f>K21-K22</x:f>
        <x:v>237191086.92957816</x:v>
      </x:c>
      <x:c r="L23" s="39" t="n">
        <x:f>L21-L22</x:f>
        <x:v>268464958.7766233</x:v>
      </x:c>
      <x:c r="M23" s="39" t="n">
        <x:f>M21-M22</x:f>
        <x:v>299922266.18835485</x:v>
      </x:c>
      <x:c r="N23" s="39" t="n">
        <x:f>N21-N22</x:f>
        <x:v>330873456.31398207</x:v>
      </x:c>
      <x:c r="O23" s="39" t="n">
        <x:f>O21-O22</x:f>
        <x:v>362351266.6532592</x:v>
      </x:c>
      <x:c r="P23" s="39" t="n">
        <x:f>P21-P22</x:f>
        <x:v>394360763.88245076</x:v>
      </x:c>
      <x:c r="Q23" s="39" t="n">
        <x:f>Q21-Q22</x:f>
        <x:v>523382197.57335746</x:v>
      </x:c>
      <x:c r="R23" s="39" t="n">
        <x:f>R21-R22</x:f>
        <x:v>655248032.024755</x:v>
      </x:c>
      <x:c r="S23" s="39" t="n">
        <x:f>S21-S22</x:f>
        <x:v>470401957.1334167</x:v>
      </x:c>
      <x:c r="T23" s="39" t="n">
        <x:f>T21-T22</x:f>
        <x:v>620612910.6825567</x:v>
      </x:c>
      <x:c r="U23" s="39" t="n">
        <x:f>U21-U22</x:f>
        <x:v>765854306.1348841</x:v>
      </x:c>
      <x:c r="V23" s="39" t="n">
        <x:f>V21-V22</x:f>
        <x:v>934167593.4581411</x:v>
      </x:c>
      <x:c r="W23" s="39" t="n">
        <x:f>W21-W22</x:f>
        <x:v>1064951020.6519287</x:v>
      </x:c>
      <x:c r="X23" s="39" t="n">
        <x:f>X21-X22</x:f>
        <x:v>1184559417.071881</x:v>
      </x:c>
      <x:c r="Y23" s="39" t="n">
        <x:f>Y21-Y22</x:f>
        <x:v>1288798061.5058813</x:v>
      </x:c>
      <x:c r="Z23" s="39" t="n">
        <x:f>Z21-Z22</x:f>
        <x:v>1409679046.626544</x:v>
      </x:c>
      <x:c r="AA23" s="39" t="n">
        <x:f>AA21-AA22</x:f>
        <x:v>1548770704.1218843</x:v>
      </x:c>
      <x:c r="AB23" s="39" t="n">
        <x:f>AB21-AB22</x:f>
        <x:v>1684725402.0845838</x:v>
      </x:c>
      <x:c r="AC23" s="39" t="n">
        <x:f>AC21-AC22</x:f>
        <x:v>1728106909.9299235</x:v>
      </x:c>
      <x:c r="AD23" s="39" t="n">
        <x:f>AD21-AD22</x:f>
        <x:v>1755124566.9057674</x:v>
      </x:c>
      <x:c r="AE23" s="39" t="n">
        <x:f>AE21-AE22</x:f>
        <x:v>1793138172.344999</x:v>
      </x:c>
      <x:c r="AF23" s="39" t="n">
        <x:f>AF21-AF22</x:f>
        <x:v>1851143402.585717</x:v>
      </x:c>
      <x:c r="AG23" s="39" t="n">
        <x:f>AG21-AG22</x:f>
        <x:v>1851271960.7089934</x:v>
      </x:c>
      <x:c r="AH23" s="39" t="n">
        <x:f>AH21-AH22</x:f>
        <x:v>1856465406.3728895</x:v>
      </x:c>
      <x:c r="AI23" s="39" t="n">
        <x:f>AI21-AI22</x:f>
        <x:v>1887419865.7803233</x:v>
      </x:c>
      <x:c r="AJ23" s="39" t="n">
        <x:f>AJ21-AJ22</x:f>
        <x:v>1887419865.7803233</x:v>
      </x:c>
      <x:c r="AK23" s="39" t="n">
        <x:f>AK21-AK22</x:f>
        <x:v>1887419865.7803233</x:v>
      </x:c>
      <x:c r="AL23" s="39" t="n">
        <x:f>AL21-AL22</x:f>
        <x:v>1887419865.7803233</x:v>
      </x:c>
      <x:c r="AM23" s="39" t="n">
        <x:f>AM21-AM22</x:f>
        <x:v>1887419865.7803233</x:v>
      </x:c>
      <x:c r="AN23" s="39" t="n">
        <x:f>AN21-AN22</x:f>
        <x:v>1887419865.7803233</x:v>
      </x:c>
      <x:c r="AO23" s="39" t="n">
        <x:f>AO21-AO22</x:f>
        <x:v>1887419865.7803233</x:v>
      </x:c>
      <x:c r="AP23" s="39" t="n">
        <x:f>AP21-AP22</x:f>
        <x:v>1887419865.7803233</x:v>
      </x:c>
      <x:c r="AQ23" s="39" t="n">
        <x:f>AQ21-AQ22</x:f>
        <x:v>1887419865.7803233</x:v>
      </x:c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</x:row>
    <x:row r="28" ht="25" customHeight="1">
      <x:c r="A28" s="2"/>
      <x:c r="B28" s="2"/>
      <x:c r="C28" s="30" t="str">
        <x:v>Repayment inputs (USD millions)</x:v>
      </x:c>
      <x:c r="D28" s="30"/>
      <x:c r="E28" s="30"/>
      <x:c r="F28" s="30"/>
      <x:c r="G28" s="30"/>
      <x:c r="H28" s="30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</x:row>
    <x:row r="30" ht="28" customHeight="1">
      <x:c r="A30" s="2"/>
      <x:c r="B30" s="2"/>
      <x:c r="C30" s="25" t="str">
        <x:v>Assumed pay date</x:v>
      </x:c>
      <x:c r="D30" s="25" t="str">
        <x:v>Principal</x:v>
      </x:c>
      <x:c r="E30" s="25" t="str">
        <x:v>Source</x:v>
      </x:c>
      <x:c r="F30" s="25" t="str">
        <x:v>Basis</x:v>
      </x:c>
      <x:c r="G30" s="25" t="str">
        <x:v>Notes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</x:row>
    <x:row r="31" ht="21" customHeight="1">
      <x:c r="A31" s="2"/>
      <x:c r="B31" s="2"/>
      <x:c r="C31" s="28" t="n">
        <x:v>48167</x:v>
      </x:c>
      <x:c r="D31" s="38" t="n">
        <x:v>380000000</x:v>
      </x:c>
      <x:c r="E31" s="2" t="str">
        <x:v>GNK_Q2_10Q</x:v>
      </x:c>
      <x:c r="F31" s="2" t="str">
        <x:v>estimated</x:v>
      </x:c>
      <x:c r="G31" s="2" t="str">
        <x:v>Facility modeled as bullet at stated maturity; includes July draw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</x:row>
    <x:row r="39" ht="21" customHeight="1">
      <x:c r="A39" s="2"/>
      <x:c r="B39" s="2"/>
      <x:c r="C39" s="2" t="str">
        <x:v>No refinancing or future dividends assumed; annual maturity buckets paid at endpoint.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</x:row>
    <x:row r="40" ht="21" customHeight="1">
      <x:c r="A40" s="2"/>
      <x:c r="B40" s="2"/>
      <x:c r="C40" s="2" t="str">
        <x:v>Average-balance interest is an approximation. This is a financing scenario, not a covenant forecast.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</x:row>
  </x:sheetData>
  <x:conditionalFormatting sqref="E23:AQ23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5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23" hidden="0" customWidth="1"/>
    <x:col min="11" max="11" width="12" hidden="0" customWidth="1"/>
    <x:col min="12" max="12" width="16" hidden="0" customWidth="1"/>
    <x:col min="13" max="13" width="35" hidden="0" customWidth="1"/>
    <x:col min="14" max="14" width="16" hidden="0" customWidth="1"/>
    <x:col min="18" max="18" width="70" hidden="0" customWidth="1"/>
    <x:col min="15" max="15" width="18" hidden="0" customWidth="1"/>
    <x:col min="16" max="16" width="24" hidden="0" customWidth="1"/>
    <x:col min="17" max="17" width="2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Fleet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8" customHeight="1">
      <x:c r="A6" s="2"/>
      <x:c r="B6" s="2"/>
      <x:c r="C6" s="25" t="str">
        <x:v>Vessel</x:v>
      </x:c>
      <x:c r="D6" s="25" t="str">
        <x:v>Class</x:v>
      </x:c>
      <x:c r="E6" s="25" t="str">
        <x:v>DWT</x:v>
      </x:c>
      <x:c r="F6" s="25" t="str">
        <x:v>Built</x:v>
      </x:c>
      <x:c r="G6" s="25" t="str">
        <x:v>Delivery</x:v>
      </x:c>
      <x:c r="H6" s="25" t="str">
        <x:v>Value date</x:v>
      </x:c>
      <x:c r="I6" s="25" t="str">
        <x:v>Fleet value USD</x:v>
      </x:c>
      <x:c r="J6" s="25" t="str">
        <x:v>Remaining capex USD</x:v>
      </x:c>
      <x:c r="K6" s="25" t="str">
        <x:v>Scrubber</x:v>
      </x:c>
      <x:c r="L6" s="25" t="str">
        <x:v>Source IMO</x:v>
      </x:c>
      <x:c r="M6" s="25" t="str">
        <x:v>Source IDs</x:v>
      </x:c>
      <x:c r="N6" s="25" t="str">
        <x:v>Delivery basis</x:v>
      </x:c>
      <x:c r="O6" s="25" t="str">
        <x:v>Retirement</x:v>
      </x:c>
      <x:c r="P6" s="25" t="str">
        <x:v>Scenario value USD</x:v>
      </x:c>
      <x:c r="Q6" s="25" t="str">
        <x:v>Future capex USD</x:v>
      </x:c>
      <x:c r="R6" s="25" t="str">
        <x:v>Notes</x:v>
      </x:c>
    </x:row>
    <x:row r="7" ht="21" customHeight="1">
      <x:c r="A7" s="2"/>
      <x:c r="B7" s="2"/>
      <x:c r="C7" s="2" t="str">
        <x:v>Genco Stars and Stripes</x:v>
      </x:c>
      <x:c r="D7" s="2" t="str">
        <x:v>Newcastlemax</x:v>
      </x:c>
      <x:c r="E7" s="26" t="n">
        <x:v>208000</x:v>
      </x:c>
      <x:c r="F7" s="26" t="n">
        <x:v>2020</x:v>
      </x:c>
      <x:c r="G7" s="35" t="n">
        <x:v>44013</x:v>
      </x:c>
      <x:c r="H7" s="35" t="n">
        <x:v>46218</x:v>
      </x:c>
      <x:c r="I7" s="36" t="n">
        <x:v>97983784</x:v>
      </x:c>
      <x:c r="J7" s="36" t="n">
        <x:v>0</x:v>
      </x:c>
      <x:c r="K7" s="36" t="n">
        <x:v>1</x:v>
      </x:c>
      <x:c r="L7" s="2" t="str"/>
      <x:c r="M7" s="2" t="str">
        <x:v>GNK_FLEET;GNK_Q2_10Q;GNK_Q2_RELEASE</x:v>
      </x:c>
      <x:c r="N7" s="2" t="str">
        <x:v>observed</x:v>
      </x:c>
      <x:c r="O7" s="32" t="n">
        <x:f>DATE(F7+'Assumptions'!$D$40,7,1)</x:f>
        <x:v>53144</x:v>
      </x:c>
      <x:c r="P7" s="34" t="n">
        <x:f>I7*'Assumptions'!$D$35</x:f>
        <x:v>97983784</x:v>
      </x:c>
      <x:c r="Q7" s="34" t="n">
        <x:f>J7*'Assumptions'!$D$100</x:f>
        <x:v>0</x:v>
      </x:c>
      <x:c r="R7" s="2" t="str">
        <x:v>Allocated share of aggregate broker-valuation anchor</x:v>
      </x:c>
    </x:row>
    <x:row r="8" ht="21" customHeight="1">
      <x:c r="A8" s="2"/>
      <x:c r="B8" s="2"/>
      <x:c r="C8" s="2" t="str">
        <x:v>Genco Valkyrie</x:v>
      </x:c>
      <x:c r="D8" s="2" t="str">
        <x:v>Newcastlemax</x:v>
      </x:c>
      <x:c r="E8" s="26" t="n">
        <x:v>208000</x:v>
      </x:c>
      <x:c r="F8" s="26" t="n">
        <x:v>2020</x:v>
      </x:c>
      <x:c r="G8" s="35" t="n">
        <x:v>44013</x:v>
      </x:c>
      <x:c r="H8" s="35" t="n">
        <x:v>46218</x:v>
      </x:c>
      <x:c r="I8" s="36" t="n">
        <x:v>98063855</x:v>
      </x:c>
      <x:c r="J8" s="36" t="n">
        <x:v>0</x:v>
      </x:c>
      <x:c r="K8" s="36" t="n">
        <x:v>1</x:v>
      </x:c>
      <x:c r="L8" s="2" t="str"/>
      <x:c r="M8" s="2" t="str">
        <x:v>GNK_FLEET;GNK_Q2_10Q;GNK_Q2_RELEASE</x:v>
      </x:c>
      <x:c r="N8" s="2" t="str">
        <x:v>observed</x:v>
      </x:c>
      <x:c r="O8" s="32" t="n">
        <x:f>DATE(F8+'Assumptions'!$D$40,7,1)</x:f>
        <x:v>53144</x:v>
      </x:c>
      <x:c r="P8" s="34" t="n">
        <x:f>I8*'Assumptions'!$D$35</x:f>
        <x:v>98063855</x:v>
      </x:c>
      <x:c r="Q8" s="34" t="n">
        <x:f>J8*'Assumptions'!$D$100</x:f>
        <x:v>0</x:v>
      </x:c>
      <x:c r="R8" s="2" t="str">
        <x:v>Allocated share of aggregate broker-valuation anchor</x:v>
      </x:c>
    </x:row>
    <x:row r="9" ht="21" customHeight="1">
      <x:c r="A9" s="2"/>
      <x:c r="B9" s="2"/>
      <x:c r="C9" s="2" t="str">
        <x:v>Genco Courageous</x:v>
      </x:c>
      <x:c r="D9" s="2" t="str">
        <x:v>Capesize</x:v>
      </x:c>
      <x:c r="E9" s="26" t="n">
        <x:v>182868</x:v>
      </x:c>
      <x:c r="F9" s="26" t="n">
        <x:v>2020</x:v>
      </x:c>
      <x:c r="G9" s="35" t="n">
        <x:v>44013</x:v>
      </x:c>
      <x:c r="H9" s="35" t="n">
        <x:v>46218</x:v>
      </x:c>
      <x:c r="I9" s="36" t="n">
        <x:v>84614648</x:v>
      </x:c>
      <x:c r="J9" s="36" t="n">
        <x:v>0</x:v>
      </x:c>
      <x:c r="K9" s="36" t="n">
        <x:v>1</x:v>
      </x:c>
      <x:c r="L9" s="2" t="str"/>
      <x:c r="M9" s="2" t="str">
        <x:v>GNK_FLEET;GNK_Q2_10Q;GNK_Q2_RELEASE</x:v>
      </x:c>
      <x:c r="N9" s="2" t="str">
        <x:v>observed</x:v>
      </x:c>
      <x:c r="O9" s="32" t="n">
        <x:f>DATE(F9+'Assumptions'!$D$40,7,1)</x:f>
        <x:v>53144</x:v>
      </x:c>
      <x:c r="P9" s="34" t="n">
        <x:f>I9*'Assumptions'!$D$35</x:f>
        <x:v>84614648</x:v>
      </x:c>
      <x:c r="Q9" s="34" t="n">
        <x:f>J9*'Assumptions'!$D$100</x:f>
        <x:v>0</x:v>
      </x:c>
      <x:c r="R9" s="2" t="str">
        <x:v>Allocated share of aggregate broker-valuation anchor</x:v>
      </x:c>
    </x:row>
    <x:row r="10" ht="21" customHeight="1">
      <x:c r="A10" s="2"/>
      <x:c r="B10" s="2"/>
      <x:c r="C10" s="2" t="str">
        <x:v>Genco Volunteer</x:v>
      </x:c>
      <x:c r="D10" s="2" t="str">
        <x:v>Capesize</x:v>
      </x:c>
      <x:c r="E10" s="26" t="n">
        <x:v>182000</x:v>
      </x:c>
      <x:c r="F10" s="26" t="n">
        <x:v>2019</x:v>
      </x:c>
      <x:c r="G10" s="35" t="n">
        <x:v>46246</x:v>
      </x:c>
      <x:c r="H10" s="35" t="n">
        <x:v>46246</x:v>
      </x:c>
      <x:c r="I10" s="36" t="n">
        <x:v>64000000</x:v>
      </x:c>
      <x:c r="J10" s="36" t="n">
        <x:v>0</x:v>
      </x:c>
      <x:c r="K10" s="36" t="n">
        <x:v>1</x:v>
      </x:c>
      <x:c r="L10" s="2" t="str"/>
      <x:c r="M10" s="2" t="str">
        <x:v>GNK_VOLUNTEER;GNK_FLEET;GNK_Q2_10Q</x:v>
      </x:c>
      <x:c r="N10" s="2" t="str">
        <x:v>observed</x:v>
      </x:c>
      <x:c r="O10" s="32" t="n">
        <x:f>DATE(F10+'Assumptions'!$D$40,7,1)</x:f>
        <x:v>52779</x:v>
      </x:c>
      <x:c r="P10" s="34" t="n">
        <x:f>I10*'Assumptions'!$D$35</x:f>
        <x:v>64000000</x:v>
      </x:c>
      <x:c r="Q10" s="34" t="n">
        <x:f>J10*'Assumptions'!$D$100</x:f>
        <x:v>0</x:v>
      </x:c>
      <x:c r="R10" s="2" t="str">
        <x:v>Purchase-cost proxy, net of disclosed delay adjustment</x:v>
      </x:c>
    </x:row>
    <x:row r="11" ht="21" customHeight="1">
      <x:c r="A11" s="2"/>
      <x:c r="B11" s="2"/>
      <x:c r="C11" s="2" t="str">
        <x:v>Genco Reliance</x:v>
      </x:c>
      <x:c r="D11" s="2" t="str">
        <x:v>Capesize</x:v>
      </x:c>
      <x:c r="E11" s="26" t="n">
        <x:v>181146</x:v>
      </x:c>
      <x:c r="F11" s="26" t="n">
        <x:v>2016</x:v>
      </x:c>
      <x:c r="G11" s="35" t="n">
        <x:v>42552</x:v>
      </x:c>
      <x:c r="H11" s="35" t="n">
        <x:v>46218</x:v>
      </x:c>
      <x:c r="I11" s="36" t="n">
        <x:v>53377473</x:v>
      </x:c>
      <x:c r="J11" s="36" t="n">
        <x:v>0</x:v>
      </x:c>
      <x:c r="K11" s="36" t="n">
        <x:v>0</x:v>
      </x:c>
      <x:c r="L11" s="2" t="str"/>
      <x:c r="M11" s="2" t="str">
        <x:v>GNK_FLEET;GNK_Q2_10Q;GNK_Q2_RELEASE</x:v>
      </x:c>
      <x:c r="N11" s="2" t="str">
        <x:v>observed</x:v>
      </x:c>
      <x:c r="O11" s="32" t="n">
        <x:f>DATE(F11+'Assumptions'!$D$40,7,1)</x:f>
        <x:v>51683</x:v>
      </x:c>
      <x:c r="P11" s="34" t="n">
        <x:f>I11*'Assumptions'!$D$35</x:f>
        <x:v>53377473</x:v>
      </x:c>
      <x:c r="Q11" s="34" t="n">
        <x:f>J11*'Assumptions'!$D$100</x:f>
        <x:v>0</x:v>
      </x:c>
      <x:c r="R11" s="2" t="str">
        <x:v>Allocated share of aggregate broker-valuation anchor</x:v>
      </x:c>
    </x:row>
    <x:row r="12" ht="21" customHeight="1">
      <x:c r="A12" s="2"/>
      <x:c r="B12" s="2"/>
      <x:c r="C12" s="2" t="str">
        <x:v>Genco Resolute</x:v>
      </x:c>
      <x:c r="D12" s="2" t="str">
        <x:v>Capesize</x:v>
      </x:c>
      <x:c r="E12" s="26" t="n">
        <x:v>181060</x:v>
      </x:c>
      <x:c r="F12" s="26" t="n">
        <x:v>2015</x:v>
      </x:c>
      <x:c r="G12" s="35" t="n">
        <x:v>42186</x:v>
      </x:c>
      <x:c r="H12" s="35" t="n">
        <x:v>46218</x:v>
      </x:c>
      <x:c r="I12" s="36" t="n">
        <x:v>48793072</x:v>
      </x:c>
      <x:c r="J12" s="36" t="n">
        <x:v>0</x:v>
      </x:c>
      <x:c r="K12" s="36" t="n">
        <x:v>0</x:v>
      </x:c>
      <x:c r="L12" s="2" t="str"/>
      <x:c r="M12" s="2" t="str">
        <x:v>GNK_FLEET;GNK_Q2_10Q;GNK_Q2_RELEASE</x:v>
      </x:c>
      <x:c r="N12" s="2" t="str">
        <x:v>observed</x:v>
      </x:c>
      <x:c r="O12" s="32" t="n">
        <x:f>DATE(F12+'Assumptions'!$D$40,7,1)</x:f>
        <x:v>51318</x:v>
      </x:c>
      <x:c r="P12" s="34" t="n">
        <x:f>I12*'Assumptions'!$D$35</x:f>
        <x:v>48793072</x:v>
      </x:c>
      <x:c r="Q12" s="34" t="n">
        <x:f>J12*'Assumptions'!$D$100</x:f>
        <x:v>0</x:v>
      </x:c>
      <x:c r="R12" s="2" t="str">
        <x:v>Allocated share of aggregate broker-valuation anchor</x:v>
      </x:c>
    </x:row>
    <x:row r="13" ht="21" customHeight="1">
      <x:c r="A13" s="2"/>
      <x:c r="B13" s="2"/>
      <x:c r="C13" s="2" t="str">
        <x:v>Genco Endeavour</x:v>
      </x:c>
      <x:c r="D13" s="2" t="str">
        <x:v>Capesize</x:v>
      </x:c>
      <x:c r="E13" s="26" t="n">
        <x:v>181057</x:v>
      </x:c>
      <x:c r="F13" s="26" t="n">
        <x:v>2015</x:v>
      </x:c>
      <x:c r="G13" s="35" t="n">
        <x:v>42186</x:v>
      </x:c>
      <x:c r="H13" s="35" t="n">
        <x:v>46218</x:v>
      </x:c>
      <x:c r="I13" s="36" t="n">
        <x:v>48247503</x:v>
      </x:c>
      <x:c r="J13" s="36" t="n">
        <x:v>0</x:v>
      </x:c>
      <x:c r="K13" s="36" t="n">
        <x:v>0</x:v>
      </x:c>
      <x:c r="L13" s="2" t="str"/>
      <x:c r="M13" s="2" t="str">
        <x:v>GNK_FLEET;GNK_Q2_10Q;GNK_Q2_RELEASE</x:v>
      </x:c>
      <x:c r="N13" s="2" t="str">
        <x:v>observed</x:v>
      </x:c>
      <x:c r="O13" s="32" t="n">
        <x:f>DATE(F13+'Assumptions'!$D$40,7,1)</x:f>
        <x:v>51318</x:v>
      </x:c>
      <x:c r="P13" s="34" t="n">
        <x:f>I13*'Assumptions'!$D$35</x:f>
        <x:v>48247503</x:v>
      </x:c>
      <x:c r="Q13" s="34" t="n">
        <x:f>J13*'Assumptions'!$D$100</x:f>
        <x:v>0</x:v>
      </x:c>
      <x:c r="R13" s="2" t="str">
        <x:v>Allocated share of aggregate broker-valuation anchor</x:v>
      </x:c>
    </x:row>
    <x:row r="14" ht="21" customHeight="1">
      <x:c r="A14" s="2"/>
      <x:c r="B14" s="2"/>
      <x:c r="C14" s="2" t="str">
        <x:v>Genco Ranger</x:v>
      </x:c>
      <x:c r="D14" s="2" t="str">
        <x:v>Capesize</x:v>
      </x:c>
      <x:c r="E14" s="26" t="n">
        <x:v>180882</x:v>
      </x:c>
      <x:c r="F14" s="26" t="n">
        <x:v>2016</x:v>
      </x:c>
      <x:c r="G14" s="35" t="n">
        <x:v>42552</x:v>
      </x:c>
      <x:c r="H14" s="35" t="n">
        <x:v>46218</x:v>
      </x:c>
      <x:c r="I14" s="36" t="n">
        <x:v>53571544</x:v>
      </x:c>
      <x:c r="J14" s="36" t="n">
        <x:v>0</x:v>
      </x:c>
      <x:c r="K14" s="36" t="n">
        <x:v>0</x:v>
      </x:c>
      <x:c r="L14" s="2" t="str"/>
      <x:c r="M14" s="2" t="str">
        <x:v>GNK_FLEET;GNK_Q2_10Q;GNK_Q2_RELEASE</x:v>
      </x:c>
      <x:c r="N14" s="2" t="str">
        <x:v>observed</x:v>
      </x:c>
      <x:c r="O14" s="32" t="n">
        <x:f>DATE(F14+'Assumptions'!$D$40,7,1)</x:f>
        <x:v>51683</x:v>
      </x:c>
      <x:c r="P14" s="34" t="n">
        <x:f>I14*'Assumptions'!$D$35</x:f>
        <x:v>53571544</x:v>
      </x:c>
      <x:c r="Q14" s="34" t="n">
        <x:f>J14*'Assumptions'!$D$100</x:f>
        <x:v>0</x:v>
      </x:c>
      <x:c r="R14" s="2" t="str">
        <x:v>Allocated share of aggregate broker-valuation anchor</x:v>
      </x:c>
    </x:row>
    <x:row r="15" ht="21" customHeight="1">
      <x:c r="A15" s="2"/>
      <x:c r="B15" s="2"/>
      <x:c r="C15" s="2" t="str">
        <x:v>Genco Constantine</x:v>
      </x:c>
      <x:c r="D15" s="2" t="str">
        <x:v>Capesize</x:v>
      </x:c>
      <x:c r="E15" s="26" t="n">
        <x:v>180183</x:v>
      </x:c>
      <x:c r="F15" s="26" t="n">
        <x:v>2008</x:v>
      </x:c>
      <x:c r="G15" s="35" t="n">
        <x:v>39630</x:v>
      </x:c>
      <x:c r="H15" s="35" t="n">
        <x:v>46218</x:v>
      </x:c>
      <x:c r="I15" s="36" t="n">
        <x:v>32886093</x:v>
      </x:c>
      <x:c r="J15" s="36" t="n">
        <x:v>0</x:v>
      </x:c>
      <x:c r="K15" s="36" t="n">
        <x:v>0</x:v>
      </x:c>
      <x:c r="L15" s="2" t="str"/>
      <x:c r="M15" s="2" t="str">
        <x:v>GNK_FLEET;GNK_Q2_10Q;GNK_Q2_RELEASE</x:v>
      </x:c>
      <x:c r="N15" s="2" t="str">
        <x:v>observed</x:v>
      </x:c>
      <x:c r="O15" s="32" t="n">
        <x:f>DATE(F15+'Assumptions'!$D$40,7,1)</x:f>
        <x:v>48761</x:v>
      </x:c>
      <x:c r="P15" s="34" t="n">
        <x:f>I15*'Assumptions'!$D$35</x:f>
        <x:v>32886093</x:v>
      </x:c>
      <x:c r="Q15" s="34" t="n">
        <x:f>J15*'Assumptions'!$D$100</x:f>
        <x:v>0</x:v>
      </x:c>
      <x:c r="R15" s="2" t="str">
        <x:v>Allocated share of aggregate broker-valuation anchor</x:v>
      </x:c>
    </x:row>
    <x:row r="16" ht="21" customHeight="1">
      <x:c r="A16" s="2"/>
      <x:c r="B16" s="2"/>
      <x:c r="C16" s="2" t="str">
        <x:v>Genco Augustus</x:v>
      </x:c>
      <x:c r="D16" s="2" t="str">
        <x:v>Capesize</x:v>
      </x:c>
      <x:c r="E16" s="26" t="n">
        <x:v>180151</x:v>
      </x:c>
      <x:c r="F16" s="26" t="n">
        <x:v>2007</x:v>
      </x:c>
      <x:c r="G16" s="35" t="n">
        <x:v>39264</x:v>
      </x:c>
      <x:c r="H16" s="35" t="n">
        <x:v>46218</x:v>
      </x:c>
      <x:c r="I16" s="36" t="n">
        <x:v>29460685</x:v>
      </x:c>
      <x:c r="J16" s="36" t="n">
        <x:v>0</x:v>
      </x:c>
      <x:c r="K16" s="36" t="n">
        <x:v>0</x:v>
      </x:c>
      <x:c r="L16" s="2" t="str"/>
      <x:c r="M16" s="2" t="str">
        <x:v>GNK_FLEET;GNK_Q2_10Q;GNK_Q2_RELEASE</x:v>
      </x:c>
      <x:c r="N16" s="2" t="str">
        <x:v>observed</x:v>
      </x:c>
      <x:c r="O16" s="32" t="n">
        <x:f>DATE(F16+'Assumptions'!$D$40,7,1)</x:f>
        <x:v>48396</x:v>
      </x:c>
      <x:c r="P16" s="34" t="n">
        <x:f>I16*'Assumptions'!$D$35</x:f>
        <x:v>29460685</x:v>
      </x:c>
      <x:c r="Q16" s="34" t="n">
        <x:f>J16*'Assumptions'!$D$100</x:f>
        <x:v>0</x:v>
      </x:c>
      <x:c r="R16" s="2" t="str">
        <x:v>Allocated share of aggregate broker-valuation anchor</x:v>
      </x:c>
    </x:row>
    <x:row r="17" ht="21" customHeight="1">
      <x:c r="A17" s="2"/>
      <x:c r="B17" s="2"/>
      <x:c r="C17" s="2" t="str">
        <x:v>Genco Liberty</x:v>
      </x:c>
      <x:c r="D17" s="2" t="str">
        <x:v>Capesize</x:v>
      </x:c>
      <x:c r="E17" s="26" t="n">
        <x:v>180032</x:v>
      </x:c>
      <x:c r="F17" s="26" t="n">
        <x:v>2016</x:v>
      </x:c>
      <x:c r="G17" s="35" t="n">
        <x:v>42552</x:v>
      </x:c>
      <x:c r="H17" s="35" t="n">
        <x:v>46218</x:v>
      </x:c>
      <x:c r="I17" s="36" t="n">
        <x:v>52403051</x:v>
      </x:c>
      <x:c r="J17" s="36" t="n">
        <x:v>0</x:v>
      </x:c>
      <x:c r="K17" s="36" t="n">
        <x:v>0</x:v>
      </x:c>
      <x:c r="L17" s="2" t="str"/>
      <x:c r="M17" s="2" t="str">
        <x:v>GNK_FLEET;GNK_Q2_10Q;GNK_Q2_RELEASE</x:v>
      </x:c>
      <x:c r="N17" s="2" t="str">
        <x:v>observed</x:v>
      </x:c>
      <x:c r="O17" s="32" t="n">
        <x:f>DATE(F17+'Assumptions'!$D$40,7,1)</x:f>
        <x:v>51683</x:v>
      </x:c>
      <x:c r="P17" s="34" t="n">
        <x:f>I17*'Assumptions'!$D$35</x:f>
        <x:v>52403051</x:v>
      </x:c>
      <x:c r="Q17" s="34" t="n">
        <x:f>J17*'Assumptions'!$D$100</x:f>
        <x:v>0</x:v>
      </x:c>
      <x:c r="R17" s="2" t="str">
        <x:v>Allocated share of aggregate broker-valuation anchor</x:v>
      </x:c>
    </x:row>
    <x:row r="18" ht="21" customHeight="1">
      <x:c r="A18" s="2"/>
      <x:c r="B18" s="2"/>
      <x:c r="C18" s="2" t="str">
        <x:v>Genco Defender</x:v>
      </x:c>
      <x:c r="D18" s="2" t="str">
        <x:v>Capesize</x:v>
      </x:c>
      <x:c r="E18" s="26" t="n">
        <x:v>180021</x:v>
      </x:c>
      <x:c r="F18" s="26" t="n">
        <x:v>2016</x:v>
      </x:c>
      <x:c r="G18" s="35" t="n">
        <x:v>42552</x:v>
      </x:c>
      <x:c r="H18" s="35" t="n">
        <x:v>46218</x:v>
      </x:c>
      <x:c r="I18" s="36" t="n">
        <x:v>52154695</x:v>
      </x:c>
      <x:c r="J18" s="36" t="n">
        <x:v>0</x:v>
      </x:c>
      <x:c r="K18" s="36" t="n">
        <x:v>0</x:v>
      </x:c>
      <x:c r="L18" s="2" t="str"/>
      <x:c r="M18" s="2" t="str">
        <x:v>GNK_FLEET;GNK_Q2_10Q;GNK_Q2_RELEASE</x:v>
      </x:c>
      <x:c r="N18" s="2" t="str">
        <x:v>observed</x:v>
      </x:c>
      <x:c r="O18" s="32" t="n">
        <x:f>DATE(F18+'Assumptions'!$D$40,7,1)</x:f>
        <x:v>51683</x:v>
      </x:c>
      <x:c r="P18" s="34" t="n">
        <x:f>I18*'Assumptions'!$D$35</x:f>
        <x:v>52154695</x:v>
      </x:c>
      <x:c r="Q18" s="34" t="n">
        <x:f>J18*'Assumptions'!$D$100</x:f>
        <x:v>0</x:v>
      </x:c>
      <x:c r="R18" s="2" t="str">
        <x:v>Allocated share of aggregate broker-valuation anchor</x:v>
      </x:c>
    </x:row>
    <x:row r="19" ht="21" customHeight="1">
      <x:c r="A19" s="2"/>
      <x:c r="B19" s="2"/>
      <x:c r="C19" s="2" t="str">
        <x:v>Genco Intrepid</x:v>
      </x:c>
      <x:c r="D19" s="2" t="str">
        <x:v>Capesize</x:v>
      </x:c>
      <x:c r="E19" s="26" t="n">
        <x:v>180007</x:v>
      </x:c>
      <x:c r="F19" s="26" t="n">
        <x:v>2016</x:v>
      </x:c>
      <x:c r="G19" s="35" t="n">
        <x:v>42552</x:v>
      </x:c>
      <x:c r="H19" s="35" t="n">
        <x:v>46218</x:v>
      </x:c>
      <x:c r="I19" s="36" t="n">
        <x:v>63009060</x:v>
      </x:c>
      <x:c r="J19" s="36" t="n">
        <x:v>0</x:v>
      </x:c>
      <x:c r="K19" s="36" t="n">
        <x:v>0</x:v>
      </x:c>
      <x:c r="L19" s="2" t="str"/>
      <x:c r="M19" s="2" t="str">
        <x:v>GNK_FLEET;GNK_Q2_10Q;GNK_Q2_RELEASE</x:v>
      </x:c>
      <x:c r="N19" s="2" t="str">
        <x:v>observed</x:v>
      </x:c>
      <x:c r="O19" s="32" t="n">
        <x:f>DATE(F19+'Assumptions'!$D$40,7,1)</x:f>
        <x:v>51683</x:v>
      </x:c>
      <x:c r="P19" s="34" t="n">
        <x:f>I19*'Assumptions'!$D$35</x:f>
        <x:v>63009060</x:v>
      </x:c>
      <x:c r="Q19" s="34" t="n">
        <x:f>J19*'Assumptions'!$D$100</x:f>
        <x:v>0</x:v>
      </x:c>
      <x:c r="R19" s="2" t="str">
        <x:v>Allocated share of aggregate broker-valuation anchor</x:v>
      </x:c>
    </x:row>
    <x:row r="20" ht="21" customHeight="1">
      <x:c r="A20" s="2"/>
      <x:c r="B20" s="2"/>
      <x:c r="C20" s="2" t="str">
        <x:v>Genco Lion</x:v>
      </x:c>
      <x:c r="D20" s="2" t="str">
        <x:v>Capesize</x:v>
      </x:c>
      <x:c r="E20" s="26" t="n">
        <x:v>179185</x:v>
      </x:c>
      <x:c r="F20" s="26" t="n">
        <x:v>2012</x:v>
      </x:c>
      <x:c r="G20" s="35" t="n">
        <x:v>41091</x:v>
      </x:c>
      <x:c r="H20" s="35" t="n">
        <x:v>46218</x:v>
      </x:c>
      <x:c r="I20" s="36" t="n">
        <x:v>34110229</x:v>
      </x:c>
      <x:c r="J20" s="36" t="n">
        <x:v>0</x:v>
      </x:c>
      <x:c r="K20" s="36" t="n">
        <x:v>0</x:v>
      </x:c>
      <x:c r="L20" s="2" t="str"/>
      <x:c r="M20" s="2" t="str">
        <x:v>GNK_FLEET;GNK_Q2_10Q;GNK_Q2_RELEASE</x:v>
      </x:c>
      <x:c r="N20" s="2" t="str">
        <x:v>observed</x:v>
      </x:c>
      <x:c r="O20" s="32" t="n">
        <x:f>DATE(F20+'Assumptions'!$D$40,7,1)</x:f>
        <x:v>50222</x:v>
      </x:c>
      <x:c r="P20" s="34" t="n">
        <x:f>I20*'Assumptions'!$D$35</x:f>
        <x:v>34110229</x:v>
      </x:c>
      <x:c r="Q20" s="34" t="n">
        <x:f>J20*'Assumptions'!$D$100</x:f>
        <x:v>0</x:v>
      </x:c>
      <x:c r="R20" s="2" t="str">
        <x:v>Allocated share of aggregate broker-valuation anchor</x:v>
      </x:c>
    </x:row>
    <x:row r="21" ht="21" customHeight="1">
      <x:c r="A21" s="2"/>
      <x:c r="B21" s="2"/>
      <x:c r="C21" s="2" t="str">
        <x:v>Genco Tiger</x:v>
      </x:c>
      <x:c r="D21" s="2" t="str">
        <x:v>Capesize</x:v>
      </x:c>
      <x:c r="E21" s="26" t="n">
        <x:v>179185</x:v>
      </x:c>
      <x:c r="F21" s="26" t="n">
        <x:v>2011</x:v>
      </x:c>
      <x:c r="G21" s="35" t="n">
        <x:v>40725</x:v>
      </x:c>
      <x:c r="H21" s="35" t="n">
        <x:v>46218</x:v>
      </x:c>
      <x:c r="I21" s="36" t="n">
        <x:v>32411096</x:v>
      </x:c>
      <x:c r="J21" s="36" t="n">
        <x:v>0</x:v>
      </x:c>
      <x:c r="K21" s="36" t="n">
        <x:v>0</x:v>
      </x:c>
      <x:c r="L21" s="2" t="str"/>
      <x:c r="M21" s="2" t="str">
        <x:v>GNK_FLEET;GNK_Q2_10Q;GNK_Q2_RELEASE</x:v>
      </x:c>
      <x:c r="N21" s="2" t="str">
        <x:v>observed</x:v>
      </x:c>
      <x:c r="O21" s="32" t="n">
        <x:f>DATE(F21+'Assumptions'!$D$40,7,1)</x:f>
        <x:v>49857</x:v>
      </x:c>
      <x:c r="P21" s="34" t="n">
        <x:f>I21*'Assumptions'!$D$35</x:f>
        <x:v>32411096</x:v>
      </x:c>
      <x:c r="Q21" s="34" t="n">
        <x:f>J21*'Assumptions'!$D$100</x:f>
        <x:v>0</x:v>
      </x:c>
      <x:c r="R21" s="2" t="str">
        <x:v>Allocated share of aggregate broker-valuation anchor</x:v>
      </x:c>
    </x:row>
    <x:row r="22" ht="21" customHeight="1">
      <x:c r="A22" s="2"/>
      <x:c r="B22" s="2"/>
      <x:c r="C22" s="2" t="str">
        <x:v>Genco London</x:v>
      </x:c>
      <x:c r="D22" s="2" t="str">
        <x:v>Capesize</x:v>
      </x:c>
      <x:c r="E22" s="26" t="n">
        <x:v>177833</x:v>
      </x:c>
      <x:c r="F22" s="26" t="n">
        <x:v>2007</x:v>
      </x:c>
      <x:c r="G22" s="35" t="n">
        <x:v>39264</x:v>
      </x:c>
      <x:c r="H22" s="35" t="n">
        <x:v>46218</x:v>
      </x:c>
      <x:c r="I22" s="36" t="n">
        <x:v>31081104</x:v>
      </x:c>
      <x:c r="J22" s="36" t="n">
        <x:v>0</x:v>
      </x:c>
      <x:c r="K22" s="36" t="n">
        <x:v>0</x:v>
      </x:c>
      <x:c r="L22" s="2" t="str"/>
      <x:c r="M22" s="2" t="str">
        <x:v>GNK_FLEET;GNK_Q2_10Q;GNK_Q2_RELEASE</x:v>
      </x:c>
      <x:c r="N22" s="2" t="str">
        <x:v>observed</x:v>
      </x:c>
      <x:c r="O22" s="32" t="n">
        <x:f>DATE(F22+'Assumptions'!$D$40,7,1)</x:f>
        <x:v>48396</x:v>
      </x:c>
      <x:c r="P22" s="34" t="n">
        <x:f>I22*'Assumptions'!$D$35</x:f>
        <x:v>31081104</x:v>
      </x:c>
      <x:c r="Q22" s="34" t="n">
        <x:f>J22*'Assumptions'!$D$100</x:f>
        <x:v>0</x:v>
      </x:c>
      <x:c r="R22" s="2" t="str">
        <x:v>Allocated share of aggregate broker-valuation anchor</x:v>
      </x:c>
    </x:row>
    <x:row r="23" ht="21" customHeight="1">
      <x:c r="A23" s="2"/>
      <x:c r="B23" s="2"/>
      <x:c r="C23" s="2" t="str">
        <x:v>Genco Wolf</x:v>
      </x:c>
      <x:c r="D23" s="2" t="str">
        <x:v>Capesize</x:v>
      </x:c>
      <x:c r="E23" s="26" t="n">
        <x:v>177752</x:v>
      </x:c>
      <x:c r="F23" s="26" t="n">
        <x:v>2010</x:v>
      </x:c>
      <x:c r="G23" s="35" t="n">
        <x:v>40360</x:v>
      </x:c>
      <x:c r="H23" s="35" t="n">
        <x:v>46218</x:v>
      </x:c>
      <x:c r="I23" s="36" t="n">
        <x:v>39504840</x:v>
      </x:c>
      <x:c r="J23" s="36" t="n">
        <x:v>0</x:v>
      </x:c>
      <x:c r="K23" s="36" t="n">
        <x:v>0</x:v>
      </x:c>
      <x:c r="L23" s="2" t="str"/>
      <x:c r="M23" s="2" t="str">
        <x:v>GNK_FLEET;GNK_Q2_10Q;GNK_Q2_RELEASE</x:v>
      </x:c>
      <x:c r="N23" s="2" t="str">
        <x:v>observed</x:v>
      </x:c>
      <x:c r="O23" s="32" t="n">
        <x:f>DATE(F23+'Assumptions'!$D$40,7,1)</x:f>
        <x:v>49491</x:v>
      </x:c>
      <x:c r="P23" s="34" t="n">
        <x:f>I23*'Assumptions'!$D$35</x:f>
        <x:v>39504840</x:v>
      </x:c>
      <x:c r="Q23" s="34" t="n">
        <x:f>J23*'Assumptions'!$D$100</x:f>
        <x:v>0</x:v>
      </x:c>
      <x:c r="R23" s="2" t="str">
        <x:v>Allocated share of aggregate broker-valuation anchor</x:v>
      </x:c>
    </x:row>
    <x:row r="24" ht="21" customHeight="1">
      <x:c r="A24" s="2"/>
      <x:c r="B24" s="2"/>
      <x:c r="C24" s="2" t="str">
        <x:v>Genco Titus</x:v>
      </x:c>
      <x:c r="D24" s="2" t="str">
        <x:v>Capesize</x:v>
      </x:c>
      <x:c r="E24" s="26" t="n">
        <x:v>177729</x:v>
      </x:c>
      <x:c r="F24" s="26" t="n">
        <x:v>2007</x:v>
      </x:c>
      <x:c r="G24" s="35" t="n">
        <x:v>39264</x:v>
      </x:c>
      <x:c r="H24" s="35" t="n">
        <x:v>46218</x:v>
      </x:c>
      <x:c r="I24" s="36" t="n">
        <x:v>31617172</x:v>
      </x:c>
      <x:c r="J24" s="36" t="n">
        <x:v>0</x:v>
      </x:c>
      <x:c r="K24" s="36" t="n">
        <x:v>0</x:v>
      </x:c>
      <x:c r="L24" s="2" t="str"/>
      <x:c r="M24" s="2" t="str">
        <x:v>GNK_FLEET;GNK_Q2_10Q;GNK_Q2_RELEASE</x:v>
      </x:c>
      <x:c r="N24" s="2" t="str">
        <x:v>observed</x:v>
      </x:c>
      <x:c r="O24" s="32" t="n">
        <x:f>DATE(F24+'Assumptions'!$D$40,7,1)</x:f>
        <x:v>48396</x:v>
      </x:c>
      <x:c r="P24" s="34" t="n">
        <x:f>I24*'Assumptions'!$D$35</x:f>
        <x:v>31617172</x:v>
      </x:c>
      <x:c r="Q24" s="34" t="n">
        <x:f>J24*'Assumptions'!$D$100</x:f>
        <x:v>0</x:v>
      </x:c>
      <x:c r="R24" s="2" t="str">
        <x:v>Allocated share of aggregate broker-valuation anchor</x:v>
      </x:c>
    </x:row>
    <x:row r="25" ht="21" customHeight="1">
      <x:c r="A25" s="2"/>
      <x:c r="B25" s="2"/>
      <x:c r="C25" s="2" t="str">
        <x:v>Genco Bear</x:v>
      </x:c>
      <x:c r="D25" s="2" t="str">
        <x:v>Capesize</x:v>
      </x:c>
      <x:c r="E25" s="26" t="n">
        <x:v>177717</x:v>
      </x:c>
      <x:c r="F25" s="26" t="n">
        <x:v>2010</x:v>
      </x:c>
      <x:c r="G25" s="35" t="n">
        <x:v>40360</x:v>
      </x:c>
      <x:c r="H25" s="35" t="n">
        <x:v>46218</x:v>
      </x:c>
      <x:c r="I25" s="36" t="n">
        <x:v>38790987</x:v>
      </x:c>
      <x:c r="J25" s="36" t="n">
        <x:v>0</x:v>
      </x:c>
      <x:c r="K25" s="36" t="n">
        <x:v>0</x:v>
      </x:c>
      <x:c r="L25" s="2" t="str"/>
      <x:c r="M25" s="2" t="str">
        <x:v>GNK_FLEET;GNK_Q2_10Q;GNK_Q2_RELEASE</x:v>
      </x:c>
      <x:c r="N25" s="2" t="str">
        <x:v>observed</x:v>
      </x:c>
      <x:c r="O25" s="32" t="n">
        <x:f>DATE(F25+'Assumptions'!$D$40,7,1)</x:f>
        <x:v>49491</x:v>
      </x:c>
      <x:c r="P25" s="34" t="n">
        <x:f>I25*'Assumptions'!$D$35</x:f>
        <x:v>38790987</x:v>
      </x:c>
      <x:c r="Q25" s="34" t="n">
        <x:f>J25*'Assumptions'!$D$100</x:f>
        <x:v>0</x:v>
      </x:c>
      <x:c r="R25" s="2" t="str">
        <x:v>Allocated share of aggregate broker-valuation anchor</x:v>
      </x:c>
    </x:row>
    <x:row r="26" ht="21" customHeight="1">
      <x:c r="A26" s="2"/>
      <x:c r="B26" s="2"/>
      <x:c r="C26" s="2" t="str">
        <x:v>Genco Tiberius</x:v>
      </x:c>
      <x:c r="D26" s="2" t="str">
        <x:v>Capesize</x:v>
      </x:c>
      <x:c r="E26" s="26" t="n">
        <x:v>175874</x:v>
      </x:c>
      <x:c r="F26" s="26" t="n">
        <x:v>2007</x:v>
      </x:c>
      <x:c r="G26" s="35" t="n">
        <x:v>39264</x:v>
      </x:c>
      <x:c r="H26" s="35" t="n">
        <x:v>46218</x:v>
      </x:c>
      <x:c r="I26" s="36" t="n">
        <x:v>29210972</x:v>
      </x:c>
      <x:c r="J26" s="36" t="n">
        <x:v>0</x:v>
      </x:c>
      <x:c r="K26" s="36" t="n">
        <x:v>0</x:v>
      </x:c>
      <x:c r="L26" s="2" t="str"/>
      <x:c r="M26" s="2" t="str">
        <x:v>GNK_FLEET;GNK_Q2_10Q;GNK_Q2_RELEASE</x:v>
      </x:c>
      <x:c r="N26" s="2" t="str">
        <x:v>observed</x:v>
      </x:c>
      <x:c r="O26" s="32" t="n">
        <x:f>DATE(F26+'Assumptions'!$D$40,7,1)</x:f>
        <x:v>48396</x:v>
      </x:c>
      <x:c r="P26" s="34" t="n">
        <x:f>I26*'Assumptions'!$D$35</x:f>
        <x:v>29210972</x:v>
      </x:c>
      <x:c r="Q26" s="34" t="n">
        <x:f>J26*'Assumptions'!$D$100</x:f>
        <x:v>0</x:v>
      </x:c>
      <x:c r="R26" s="2" t="str">
        <x:v>Allocated share of aggregate broker-valuation anchor</x:v>
      </x:c>
    </x:row>
    <x:row r="27" ht="21" customHeight="1">
      <x:c r="A27" s="2"/>
      <x:c r="B27" s="2"/>
      <x:c r="C27" s="2" t="str">
        <x:v>Genco Freedom</x:v>
      </x:c>
      <x:c r="D27" s="2" t="str">
        <x:v>Ultramax</x:v>
      </x:c>
      <x:c r="E27" s="26" t="n">
        <x:v>63667</x:v>
      </x:c>
      <x:c r="F27" s="26" t="n">
        <x:v>2015</x:v>
      </x:c>
      <x:c r="G27" s="35" t="n">
        <x:v>42186</x:v>
      </x:c>
      <x:c r="H27" s="35" t="n">
        <x:v>46218</x:v>
      </x:c>
      <x:c r="I27" s="36" t="n">
        <x:v>18214108</x:v>
      </x:c>
      <x:c r="J27" s="36" t="n">
        <x:v>0</x:v>
      </x:c>
      <x:c r="K27" s="36" t="n">
        <x:v>0</x:v>
      </x:c>
      <x:c r="L27" s="2" t="str"/>
      <x:c r="M27" s="2" t="str">
        <x:v>GNK_FLEET;GNK_Q2_10Q;GNK_Q2_RELEASE</x:v>
      </x:c>
      <x:c r="N27" s="2" t="str">
        <x:v>observed</x:v>
      </x:c>
      <x:c r="O27" s="32" t="n">
        <x:f>DATE(F27+'Assumptions'!$D$40,7,1)</x:f>
        <x:v>51318</x:v>
      </x:c>
      <x:c r="P27" s="34" t="n">
        <x:f>I27*'Assumptions'!$D$35</x:f>
        <x:v>18214108</x:v>
      </x:c>
      <x:c r="Q27" s="34" t="n">
        <x:f>J27*'Assumptions'!$D$100</x:f>
        <x:v>0</x:v>
      </x:c>
      <x:c r="R27" s="2" t="str">
        <x:v>Allocated share of aggregate broker-valuation anchor</x:v>
      </x:c>
    </x:row>
    <x:row r="28" ht="21" customHeight="1">
      <x:c r="A28" s="2"/>
      <x:c r="B28" s="2"/>
      <x:c r="C28" s="2" t="str">
        <x:v>Genco Hornet</x:v>
      </x:c>
      <x:c r="D28" s="2" t="str">
        <x:v>Ultramax</x:v>
      </x:c>
      <x:c r="E28" s="26" t="n">
        <x:v>63574</x:v>
      </x:c>
      <x:c r="F28" s="26" t="n">
        <x:v>2014</x:v>
      </x:c>
      <x:c r="G28" s="35" t="n">
        <x:v>41821</x:v>
      </x:c>
      <x:c r="H28" s="35" t="n">
        <x:v>46218</x:v>
      </x:c>
      <x:c r="I28" s="36" t="n">
        <x:v>24037574</x:v>
      </x:c>
      <x:c r="J28" s="36" t="n">
        <x:v>0</x:v>
      </x:c>
      <x:c r="K28" s="36" t="n">
        <x:v>0</x:v>
      </x:c>
      <x:c r="L28" s="2" t="str"/>
      <x:c r="M28" s="2" t="str">
        <x:v>GNK_FLEET;GNK_Q2_10Q;GNK_Q2_RELEASE</x:v>
      </x:c>
      <x:c r="N28" s="2" t="str">
        <x:v>observed</x:v>
      </x:c>
      <x:c r="O28" s="32" t="n">
        <x:f>DATE(F28+'Assumptions'!$D$40,7,1)</x:f>
        <x:v>50952</x:v>
      </x:c>
      <x:c r="P28" s="34" t="n">
        <x:f>I28*'Assumptions'!$D$35</x:f>
        <x:v>24037574</x:v>
      </x:c>
      <x:c r="Q28" s="34" t="n">
        <x:f>J28*'Assumptions'!$D$100</x:f>
        <x:v>0</x:v>
      </x:c>
      <x:c r="R28" s="2" t="str">
        <x:v>Allocated share of aggregate broker-valuation anchor</x:v>
      </x:c>
    </x:row>
    <x:row r="29" ht="21" customHeight="1">
      <x:c r="A29" s="2"/>
      <x:c r="B29" s="2"/>
      <x:c r="C29" s="2" t="str">
        <x:v>Genco Vigilant</x:v>
      </x:c>
      <x:c r="D29" s="2" t="str">
        <x:v>Ultramax</x:v>
      </x:c>
      <x:c r="E29" s="26" t="n">
        <x:v>63498</x:v>
      </x:c>
      <x:c r="F29" s="26" t="n">
        <x:v>2015</x:v>
      </x:c>
      <x:c r="G29" s="35" t="n">
        <x:v>42186</x:v>
      </x:c>
      <x:c r="H29" s="35" t="n">
        <x:v>46218</x:v>
      </x:c>
      <x:c r="I29" s="36" t="n">
        <x:v>18163894</x:v>
      </x:c>
      <x:c r="J29" s="36" t="n">
        <x:v>0</x:v>
      </x:c>
      <x:c r="K29" s="36" t="n">
        <x:v>0</x:v>
      </x:c>
      <x:c r="L29" s="2" t="str"/>
      <x:c r="M29" s="2" t="str">
        <x:v>GNK_FLEET;GNK_Q2_10Q;GNK_Q2_RELEASE</x:v>
      </x:c>
      <x:c r="N29" s="2" t="str">
        <x:v>observed</x:v>
      </x:c>
      <x:c r="O29" s="32" t="n">
        <x:f>DATE(F29+'Assumptions'!$D$40,7,1)</x:f>
        <x:v>51318</x:v>
      </x:c>
      <x:c r="P29" s="34" t="n">
        <x:f>I29*'Assumptions'!$D$35</x:f>
        <x:v>18163894</x:v>
      </x:c>
      <x:c r="Q29" s="34" t="n">
        <x:f>J29*'Assumptions'!$D$100</x:f>
        <x:v>0</x:v>
      </x:c>
      <x:c r="R29" s="2" t="str">
        <x:v>Allocated share of aggregate broker-valuation anchor</x:v>
      </x:c>
    </x:row>
    <x:row r="30" ht="21" customHeight="1">
      <x:c r="A30" s="2"/>
      <x:c r="B30" s="2"/>
      <x:c r="C30" s="2" t="str">
        <x:v>Genco Enterprise</x:v>
      </x:c>
      <x:c r="D30" s="2" t="str">
        <x:v>Ultramax</x:v>
      </x:c>
      <x:c r="E30" s="26" t="n">
        <x:v>63472</x:v>
      </x:c>
      <x:c r="F30" s="26" t="n">
        <x:v>2016</x:v>
      </x:c>
      <x:c r="G30" s="35" t="n">
        <x:v>42552</x:v>
      </x:c>
      <x:c r="H30" s="35" t="n">
        <x:v>46218</x:v>
      </x:c>
      <x:c r="I30" s="36" t="n">
        <x:v>23041437</x:v>
      </x:c>
      <x:c r="J30" s="36" t="n">
        <x:v>0</x:v>
      </x:c>
      <x:c r="K30" s="36" t="n">
        <x:v>0</x:v>
      </x:c>
      <x:c r="L30" s="2" t="str"/>
      <x:c r="M30" s="2" t="str">
        <x:v>GNK_FLEET;GNK_Q2_10Q;GNK_Q2_RELEASE</x:v>
      </x:c>
      <x:c r="N30" s="2" t="str">
        <x:v>observed</x:v>
      </x:c>
      <x:c r="O30" s="32" t="n">
        <x:f>DATE(F30+'Assumptions'!$D$40,7,1)</x:f>
        <x:v>51683</x:v>
      </x:c>
      <x:c r="P30" s="34" t="n">
        <x:f>I30*'Assumptions'!$D$35</x:f>
        <x:v>23041437</x:v>
      </x:c>
      <x:c r="Q30" s="34" t="n">
        <x:f>J30*'Assumptions'!$D$100</x:f>
        <x:v>0</x:v>
      </x:c>
      <x:c r="R30" s="2" t="str">
        <x:v>Allocated share of aggregate broker-valuation anchor</x:v>
      </x:c>
    </x:row>
    <x:row r="31" ht="21" customHeight="1">
      <x:c r="A31" s="2"/>
      <x:c r="B31" s="2"/>
      <x:c r="C31" s="2" t="str">
        <x:v>Genco Mantis</x:v>
      </x:c>
      <x:c r="D31" s="2" t="str">
        <x:v>Ultramax</x:v>
      </x:c>
      <x:c r="E31" s="26" t="n">
        <x:v>63467</x:v>
      </x:c>
      <x:c r="F31" s="26" t="n">
        <x:v>2015</x:v>
      </x:c>
      <x:c r="G31" s="35" t="n">
        <x:v>42186</x:v>
      </x:c>
      <x:c r="H31" s="35" t="n">
        <x:v>46218</x:v>
      </x:c>
      <x:c r="I31" s="36" t="n">
        <x:v>26046133</x:v>
      </x:c>
      <x:c r="J31" s="36" t="n">
        <x:v>0</x:v>
      </x:c>
      <x:c r="K31" s="36" t="n">
        <x:v>0</x:v>
      </x:c>
      <x:c r="L31" s="2" t="str"/>
      <x:c r="M31" s="2" t="str">
        <x:v>GNK_FLEET;GNK_Q2_10Q;GNK_Q2_RELEASE</x:v>
      </x:c>
      <x:c r="N31" s="2" t="str">
        <x:v>observed</x:v>
      </x:c>
      <x:c r="O31" s="32" t="n">
        <x:f>DATE(F31+'Assumptions'!$D$40,7,1)</x:f>
        <x:v>51318</x:v>
      </x:c>
      <x:c r="P31" s="34" t="n">
        <x:f>I31*'Assumptions'!$D$35</x:f>
        <x:v>26046133</x:v>
      </x:c>
      <x:c r="Q31" s="34" t="n">
        <x:f>J31*'Assumptions'!$D$100</x:f>
        <x:v>0</x:v>
      </x:c>
      <x:c r="R31" s="2" t="str">
        <x:v>Allocated share of aggregate broker-valuation anchor</x:v>
      </x:c>
    </x:row>
    <x:row r="32" ht="21" customHeight="1">
      <x:c r="A32" s="2"/>
      <x:c r="B32" s="2"/>
      <x:c r="C32" s="2" t="str">
        <x:v>Genco Scorpion</x:v>
      </x:c>
      <x:c r="D32" s="2" t="str">
        <x:v>Ultramax</x:v>
      </x:c>
      <x:c r="E32" s="26" t="n">
        <x:v>63462</x:v>
      </x:c>
      <x:c r="F32" s="26" t="n">
        <x:v>2015</x:v>
      </x:c>
      <x:c r="G32" s="35" t="n">
        <x:v>42186</x:v>
      </x:c>
      <x:c r="H32" s="35" t="n">
        <x:v>46218</x:v>
      </x:c>
      <x:c r="I32" s="36" t="n">
        <x:v>25797778</x:v>
      </x:c>
      <x:c r="J32" s="36" t="n">
        <x:v>0</x:v>
      </x:c>
      <x:c r="K32" s="36" t="n">
        <x:v>0</x:v>
      </x:c>
      <x:c r="L32" s="2" t="str"/>
      <x:c r="M32" s="2" t="str">
        <x:v>GNK_FLEET;GNK_Q2_10Q;GNK_Q2_RELEASE</x:v>
      </x:c>
      <x:c r="N32" s="2" t="str">
        <x:v>observed</x:v>
      </x:c>
      <x:c r="O32" s="32" t="n">
        <x:f>DATE(F32+'Assumptions'!$D$40,7,1)</x:f>
        <x:v>51318</x:v>
      </x:c>
      <x:c r="P32" s="34" t="n">
        <x:f>I32*'Assumptions'!$D$35</x:f>
        <x:v>25797778</x:v>
      </x:c>
      <x:c r="Q32" s="34" t="n">
        <x:f>J32*'Assumptions'!$D$100</x:f>
        <x:v>0</x:v>
      </x:c>
      <x:c r="R32" s="2" t="str">
        <x:v>Allocated share of aggregate broker-valuation anchor</x:v>
      </x:c>
    </x:row>
    <x:row r="33" ht="21" customHeight="1">
      <x:c r="A33" s="2"/>
      <x:c r="B33" s="2"/>
      <x:c r="C33" s="2" t="str">
        <x:v>Genco Magic</x:v>
      </x:c>
      <x:c r="D33" s="2" t="str">
        <x:v>Ultramax</x:v>
      </x:c>
      <x:c r="E33" s="26" t="n">
        <x:v>63443</x:v>
      </x:c>
      <x:c r="F33" s="26" t="n">
        <x:v>2014</x:v>
      </x:c>
      <x:c r="G33" s="35" t="n">
        <x:v>41821</x:v>
      </x:c>
      <x:c r="H33" s="35" t="n">
        <x:v>46218</x:v>
      </x:c>
      <x:c r="I33" s="36" t="n">
        <x:v>16779616</x:v>
      </x:c>
      <x:c r="J33" s="36" t="n">
        <x:v>0</x:v>
      </x:c>
      <x:c r="K33" s="36" t="n">
        <x:v>0</x:v>
      </x:c>
      <x:c r="L33" s="2" t="str"/>
      <x:c r="M33" s="2" t="str">
        <x:v>GNK_FLEET;GNK_Q2_10Q;GNK_Q2_RELEASE</x:v>
      </x:c>
      <x:c r="N33" s="2" t="str">
        <x:v>observed</x:v>
      </x:c>
      <x:c r="O33" s="32" t="n">
        <x:f>DATE(F33+'Assumptions'!$D$40,7,1)</x:f>
        <x:v>50952</x:v>
      </x:c>
      <x:c r="P33" s="34" t="n">
        <x:f>I33*'Assumptions'!$D$35</x:f>
        <x:v>16779616</x:v>
      </x:c>
      <x:c r="Q33" s="34" t="n">
        <x:f>J33*'Assumptions'!$D$100</x:f>
        <x:v>0</x:v>
      </x:c>
      <x:c r="R33" s="2" t="str">
        <x:v>Allocated share of aggregate broker-valuation anchor</x:v>
      </x:c>
    </x:row>
    <x:row r="34" ht="21" customHeight="1">
      <x:c r="A34" s="2"/>
      <x:c r="B34" s="2"/>
      <x:c r="C34" s="2" t="str">
        <x:v>Genco Wasp</x:v>
      </x:c>
      <x:c r="D34" s="2" t="str">
        <x:v>Ultramax</x:v>
      </x:c>
      <x:c r="E34" s="26" t="n">
        <x:v>63389</x:v>
      </x:c>
      <x:c r="F34" s="26" t="n">
        <x:v>2015</x:v>
      </x:c>
      <x:c r="G34" s="35" t="n">
        <x:v>42186</x:v>
      </x:c>
      <x:c r="H34" s="35" t="n">
        <x:v>46218</x:v>
      </x:c>
      <x:c r="I34" s="36" t="n">
        <x:v>24368715</x:v>
      </x:c>
      <x:c r="J34" s="36" t="n">
        <x:v>0</x:v>
      </x:c>
      <x:c r="K34" s="36" t="n">
        <x:v>0</x:v>
      </x:c>
      <x:c r="L34" s="2" t="str"/>
      <x:c r="M34" s="2" t="str">
        <x:v>GNK_FLEET;GNK_Q2_10Q;GNK_Q2_RELEASE</x:v>
      </x:c>
      <x:c r="N34" s="2" t="str">
        <x:v>observed</x:v>
      </x:c>
      <x:c r="O34" s="32" t="n">
        <x:f>DATE(F34+'Assumptions'!$D$40,7,1)</x:f>
        <x:v>51318</x:v>
      </x:c>
      <x:c r="P34" s="34" t="n">
        <x:f>I34*'Assumptions'!$D$35</x:f>
        <x:v>24368715</x:v>
      </x:c>
      <x:c r="Q34" s="34" t="n">
        <x:f>J34*'Assumptions'!$D$100</x:f>
        <x:v>0</x:v>
      </x:c>
      <x:c r="R34" s="2" t="str">
        <x:v>Allocated share of aggregate broker-valuation anchor</x:v>
      </x:c>
    </x:row>
    <x:row r="35" ht="21" customHeight="1">
      <x:c r="A35" s="2"/>
      <x:c r="B35" s="2"/>
      <x:c r="C35" s="2" t="str">
        <x:v>Genco Constellation</x:v>
      </x:c>
      <x:c r="D35" s="2" t="str">
        <x:v>Ultramax</x:v>
      </x:c>
      <x:c r="E35" s="26" t="n">
        <x:v>63310</x:v>
      </x:c>
      <x:c r="F35" s="26" t="n">
        <x:v>2017</x:v>
      </x:c>
      <x:c r="G35" s="35" t="n">
        <x:v>42917</x:v>
      </x:c>
      <x:c r="H35" s="35" t="n">
        <x:v>46218</x:v>
      </x:c>
      <x:c r="I35" s="36" t="n">
        <x:v>28791617</x:v>
      </x:c>
      <x:c r="J35" s="36" t="n">
        <x:v>0</x:v>
      </x:c>
      <x:c r="K35" s="36" t="n">
        <x:v>0</x:v>
      </x:c>
      <x:c r="L35" s="2" t="str"/>
      <x:c r="M35" s="2" t="str">
        <x:v>GNK_FLEET;GNK_Q2_10Q;GNK_Q2_RELEASE</x:v>
      </x:c>
      <x:c r="N35" s="2" t="str">
        <x:v>observed</x:v>
      </x:c>
      <x:c r="O35" s="32" t="n">
        <x:f>DATE(F35+'Assumptions'!$D$40,7,1)</x:f>
        <x:v>52048</x:v>
      </x:c>
      <x:c r="P35" s="34" t="n">
        <x:f>I35*'Assumptions'!$D$35</x:f>
        <x:v>28791617</x:v>
      </x:c>
      <x:c r="Q35" s="34" t="n">
        <x:f>J35*'Assumptions'!$D$100</x:f>
        <x:v>0</x:v>
      </x:c>
      <x:c r="R35" s="2" t="str">
        <x:v>Allocated share of aggregate broker-valuation anchor</x:v>
      </x:c>
    </x:row>
    <x:row r="36" ht="21" customHeight="1">
      <x:c r="A36" s="2"/>
      <x:c r="B36" s="2"/>
      <x:c r="C36" s="2" t="str">
        <x:v>Genco Mayflower</x:v>
      </x:c>
      <x:c r="D36" s="2" t="str">
        <x:v>Ultramax</x:v>
      </x:c>
      <x:c r="E36" s="26" t="n">
        <x:v>63304</x:v>
      </x:c>
      <x:c r="F36" s="26" t="n">
        <x:v>2017</x:v>
      </x:c>
      <x:c r="G36" s="35" t="n">
        <x:v>42917</x:v>
      </x:c>
      <x:c r="H36" s="35" t="n">
        <x:v>46218</x:v>
      </x:c>
      <x:c r="I36" s="36" t="n">
        <x:v>29383328</x:v>
      </x:c>
      <x:c r="J36" s="36" t="n">
        <x:v>0</x:v>
      </x:c>
      <x:c r="K36" s="36" t="n">
        <x:v>0</x:v>
      </x:c>
      <x:c r="L36" s="2" t="str"/>
      <x:c r="M36" s="2" t="str">
        <x:v>GNK_FLEET;GNK_Q2_10Q;GNK_Q2_RELEASE</x:v>
      </x:c>
      <x:c r="N36" s="2" t="str">
        <x:v>observed</x:v>
      </x:c>
      <x:c r="O36" s="32" t="n">
        <x:f>DATE(F36+'Assumptions'!$D$40,7,1)</x:f>
        <x:v>52048</x:v>
      </x:c>
      <x:c r="P36" s="34" t="n">
        <x:f>I36*'Assumptions'!$D$35</x:f>
        <x:v>29383328</x:v>
      </x:c>
      <x:c r="Q36" s="34" t="n">
        <x:f>J36*'Assumptions'!$D$100</x:f>
        <x:v>0</x:v>
      </x:c>
      <x:c r="R36" s="2" t="str">
        <x:v>Allocated share of aggregate broker-valuation anchor</x:v>
      </x:c>
    </x:row>
    <x:row r="37" ht="21" customHeight="1">
      <x:c r="A37" s="2"/>
      <x:c r="B37" s="2"/>
      <x:c r="C37" s="2" t="str">
        <x:v>Genco Madeleine</x:v>
      </x:c>
      <x:c r="D37" s="2" t="str">
        <x:v>Ultramax</x:v>
      </x:c>
      <x:c r="E37" s="26" t="n">
        <x:v>63163</x:v>
      </x:c>
      <x:c r="F37" s="26" t="n">
        <x:v>2014</x:v>
      </x:c>
      <x:c r="G37" s="35" t="n">
        <x:v>41821</x:v>
      </x:c>
      <x:c r="H37" s="35" t="n">
        <x:v>46218</x:v>
      </x:c>
      <x:c r="I37" s="36" t="n">
        <x:v>25241352</x:v>
      </x:c>
      <x:c r="J37" s="36" t="n">
        <x:v>0</x:v>
      </x:c>
      <x:c r="K37" s="36" t="n">
        <x:v>0</x:v>
      </x:c>
      <x:c r="L37" s="2" t="str"/>
      <x:c r="M37" s="2" t="str">
        <x:v>GNK_FLEET;GNK_Q2_10Q;GNK_Q2_RELEASE</x:v>
      </x:c>
      <x:c r="N37" s="2" t="str">
        <x:v>observed</x:v>
      </x:c>
      <x:c r="O37" s="32" t="n">
        <x:f>DATE(F37+'Assumptions'!$D$40,7,1)</x:f>
        <x:v>50952</x:v>
      </x:c>
      <x:c r="P37" s="34" t="n">
        <x:f>I37*'Assumptions'!$D$35</x:f>
        <x:v>25241352</x:v>
      </x:c>
      <x:c r="Q37" s="34" t="n">
        <x:f>J37*'Assumptions'!$D$100</x:f>
        <x:v>0</x:v>
      </x:c>
      <x:c r="R37" s="2" t="str">
        <x:v>Allocated share of aggregate broker-valuation anchor</x:v>
      </x:c>
    </x:row>
    <x:row r="38" ht="21" customHeight="1">
      <x:c r="A38" s="2"/>
      <x:c r="B38" s="2"/>
      <x:c r="C38" s="2" t="str">
        <x:v>Genco Weatherly</x:v>
      </x:c>
      <x:c r="D38" s="2" t="str">
        <x:v>Ultramax</x:v>
      </x:c>
      <x:c r="E38" s="26" t="n">
        <x:v>61556</x:v>
      </x:c>
      <x:c r="F38" s="26" t="n">
        <x:v>2014</x:v>
      </x:c>
      <x:c r="G38" s="35" t="n">
        <x:v>41821</x:v>
      </x:c>
      <x:c r="H38" s="35" t="n">
        <x:v>46218</x:v>
      </x:c>
      <x:c r="I38" s="36" t="n">
        <x:v>21821372</x:v>
      </x:c>
      <x:c r="J38" s="36" t="n">
        <x:v>0</x:v>
      </x:c>
      <x:c r="K38" s="36" t="n">
        <x:v>0</x:v>
      </x:c>
      <x:c r="L38" s="2" t="str"/>
      <x:c r="M38" s="2" t="str">
        <x:v>GNK_FLEET;GNK_Q2_10Q;GNK_Q2_RELEASE</x:v>
      </x:c>
      <x:c r="N38" s="2" t="str">
        <x:v>observed</x:v>
      </x:c>
      <x:c r="O38" s="32" t="n">
        <x:f>DATE(F38+'Assumptions'!$D$40,7,1)</x:f>
        <x:v>50952</x:v>
      </x:c>
      <x:c r="P38" s="34" t="n">
        <x:f>I38*'Assumptions'!$D$35</x:f>
        <x:v>21821372</x:v>
      </x:c>
      <x:c r="Q38" s="34" t="n">
        <x:f>J38*'Assumptions'!$D$100</x:f>
        <x:v>0</x:v>
      </x:c>
      <x:c r="R38" s="2" t="str">
        <x:v>Allocated share of aggregate broker-valuation anchor</x:v>
      </x:c>
    </x:row>
    <x:row r="39" ht="21" customHeight="1">
      <x:c r="A39" s="2"/>
      <x:c r="B39" s="2"/>
      <x:c r="C39" s="2" t="str">
        <x:v>Genco Mary</x:v>
      </x:c>
      <x:c r="D39" s="2" t="str">
        <x:v>Ultramax</x:v>
      </x:c>
      <x:c r="E39" s="26" t="n">
        <x:v>61304</x:v>
      </x:c>
      <x:c r="F39" s="26" t="n">
        <x:v>2022</x:v>
      </x:c>
      <x:c r="G39" s="35" t="n">
        <x:v>44743</x:v>
      </x:c>
      <x:c r="H39" s="35" t="n">
        <x:v>46218</x:v>
      </x:c>
      <x:c r="I39" s="36" t="n">
        <x:v>34995081</x:v>
      </x:c>
      <x:c r="J39" s="36" t="n">
        <x:v>0</x:v>
      </x:c>
      <x:c r="K39" s="36" t="n">
        <x:v>0</x:v>
      </x:c>
      <x:c r="L39" s="2" t="str"/>
      <x:c r="M39" s="2" t="str">
        <x:v>GNK_FLEET;GNK_Q2_10Q;GNK_Q2_RELEASE</x:v>
      </x:c>
      <x:c r="N39" s="2" t="str">
        <x:v>observed</x:v>
      </x:c>
      <x:c r="O39" s="32" t="n">
        <x:f>DATE(F39+'Assumptions'!$D$40,7,1)</x:f>
        <x:v>53874</x:v>
      </x:c>
      <x:c r="P39" s="34" t="n">
        <x:f>I39*'Assumptions'!$D$35</x:f>
        <x:v>34995081</x:v>
      </x:c>
      <x:c r="Q39" s="34" t="n">
        <x:f>J39*'Assumptions'!$D$100</x:f>
        <x:v>0</x:v>
      </x:c>
      <x:c r="R39" s="2" t="str">
        <x:v>Allocated share of aggregate broker-valuation anchor</x:v>
      </x:c>
    </x:row>
    <x:row r="40" ht="21" customHeight="1">
      <x:c r="A40" s="2"/>
      <x:c r="B40" s="2"/>
      <x:c r="C40" s="2" t="str">
        <x:v>Genco Laddey</x:v>
      </x:c>
      <x:c r="D40" s="2" t="str">
        <x:v>Ultramax</x:v>
      </x:c>
      <x:c r="E40" s="26" t="n">
        <x:v>61303</x:v>
      </x:c>
      <x:c r="F40" s="26" t="n">
        <x:v>2022</x:v>
      </x:c>
      <x:c r="G40" s="35" t="n">
        <x:v>44743</x:v>
      </x:c>
      <x:c r="H40" s="35" t="n">
        <x:v>46218</x:v>
      </x:c>
      <x:c r="I40" s="36" t="n">
        <x:v>34957081</x:v>
      </x:c>
      <x:c r="J40" s="36" t="n">
        <x:v>0</x:v>
      </x:c>
      <x:c r="K40" s="36" t="n">
        <x:v>0</x:v>
      </x:c>
      <x:c r="L40" s="2" t="str"/>
      <x:c r="M40" s="2" t="str">
        <x:v>GNK_FLEET;GNK_Q2_10Q;GNK_Q2_RELEASE</x:v>
      </x:c>
      <x:c r="N40" s="2" t="str">
        <x:v>observed</x:v>
      </x:c>
      <x:c r="O40" s="32" t="n">
        <x:f>DATE(F40+'Assumptions'!$D$40,7,1)</x:f>
        <x:v>53874</x:v>
      </x:c>
      <x:c r="P40" s="34" t="n">
        <x:f>I40*'Assumptions'!$D$35</x:f>
        <x:v>34957081</x:v>
      </x:c>
      <x:c r="Q40" s="34" t="n">
        <x:f>J40*'Assumptions'!$D$100</x:f>
        <x:v>0</x:v>
      </x:c>
      <x:c r="R40" s="2" t="str">
        <x:v>Allocated share of aggregate broker-valuation anchor</x:v>
      </x:c>
    </x:row>
    <x:row r="41" ht="21" customHeight="1">
      <x:c r="A41" s="2"/>
      <x:c r="B41" s="2"/>
      <x:c r="C41" s="2" t="str">
        <x:v>Genco Columbia</x:v>
      </x:c>
      <x:c r="D41" s="2" t="str">
        <x:v>Ultramax</x:v>
      </x:c>
      <x:c r="E41" s="26" t="n">
        <x:v>60294</x:v>
      </x:c>
      <x:c r="F41" s="26" t="n">
        <x:v>2016</x:v>
      </x:c>
      <x:c r="G41" s="35" t="n">
        <x:v>42552</x:v>
      </x:c>
      <x:c r="H41" s="35" t="n">
        <x:v>46218</x:v>
      </x:c>
      <x:c r="I41" s="36" t="n">
        <x:v>27046342</x:v>
      </x:c>
      <x:c r="J41" s="36" t="n">
        <x:v>0</x:v>
      </x:c>
      <x:c r="K41" s="36" t="n">
        <x:v>0</x:v>
      </x:c>
      <x:c r="L41" s="2" t="str"/>
      <x:c r="M41" s="2" t="str">
        <x:v>GNK_FLEET;GNK_Q2_10Q;GNK_Q2_RELEASE</x:v>
      </x:c>
      <x:c r="N41" s="2" t="str">
        <x:v>observed</x:v>
      </x:c>
      <x:c r="O41" s="32" t="n">
        <x:f>DATE(F41+'Assumptions'!$D$40,7,1)</x:f>
        <x:v>51683</x:v>
      </x:c>
      <x:c r="P41" s="34" t="n">
        <x:f>I41*'Assumptions'!$D$35</x:f>
        <x:v>27046342</x:v>
      </x:c>
      <x:c r="Q41" s="34" t="n">
        <x:f>J41*'Assumptions'!$D$100</x:f>
        <x:v>0</x:v>
      </x:c>
      <x:c r="R41" s="2" t="str">
        <x:v>Allocated share of aggregate broker-valuation anchor</x:v>
      </x:c>
    </x:row>
    <x:row r="42" ht="21" customHeight="1">
      <x:c r="A42" s="2"/>
      <x:c r="B42" s="2"/>
      <x:c r="C42" s="2" t="str">
        <x:v>Genco Hunter</x:v>
      </x:c>
      <x:c r="D42" s="2" t="str">
        <x:v>Supramax</x:v>
      </x:c>
      <x:c r="E42" s="26" t="n">
        <x:v>58729</x:v>
      </x:c>
      <x:c r="F42" s="26" t="n">
        <x:v>2007</x:v>
      </x:c>
      <x:c r="G42" s="35" t="n">
        <x:v>39264</x:v>
      </x:c>
      <x:c r="H42" s="35" t="n">
        <x:v>46218</x:v>
      </x:c>
      <x:c r="I42" s="36" t="n">
        <x:v>8871591</x:v>
      </x:c>
      <x:c r="J42" s="36" t="n">
        <x:v>0</x:v>
      </x:c>
      <x:c r="K42" s="36" t="n">
        <x:v>0</x:v>
      </x:c>
      <x:c r="L42" s="2" t="str"/>
      <x:c r="M42" s="2" t="str">
        <x:v>GNK_FLEET;GNK_Q2_10Q;GNK_Q2_RELEASE</x:v>
      </x:c>
      <x:c r="N42" s="2" t="str">
        <x:v>observed</x:v>
      </x:c>
      <x:c r="O42" s="32" t="n">
        <x:f>DATE(F42+'Assumptions'!$D$40,7,1)</x:f>
        <x:v>48396</x:v>
      </x:c>
      <x:c r="P42" s="34" t="n">
        <x:f>I42*'Assumptions'!$D$35</x:f>
        <x:v>8871591</x:v>
      </x:c>
      <x:c r="Q42" s="34" t="n">
        <x:f>J42*'Assumptions'!$D$100</x:f>
        <x:v>0</x:v>
      </x:c>
      <x:c r="R42" s="2" t="str">
        <x:v>Allocated share of aggregate broker-valuation anchor</x:v>
      </x:c>
    </x:row>
    <x:row r="43" ht="21" customHeight="1">
      <x:c r="A43" s="2"/>
      <x:c r="B43" s="2"/>
      <x:c r="C43" s="2" t="str">
        <x:v>Genco Auvergne</x:v>
      </x:c>
      <x:c r="D43" s="2" t="str">
        <x:v>Supramax</x:v>
      </x:c>
      <x:c r="E43" s="26" t="n">
        <x:v>58020</x:v>
      </x:c>
      <x:c r="F43" s="26" t="n">
        <x:v>2009</x:v>
      </x:c>
      <x:c r="G43" s="35" t="n">
        <x:v>39995</x:v>
      </x:c>
      <x:c r="H43" s="35" t="n">
        <x:v>46218</x:v>
      </x:c>
      <x:c r="I43" s="36" t="n">
        <x:v>10052298</x:v>
      </x:c>
      <x:c r="J43" s="36" t="n">
        <x:v>0</x:v>
      </x:c>
      <x:c r="K43" s="36" t="n">
        <x:v>0</x:v>
      </x:c>
      <x:c r="L43" s="2" t="str"/>
      <x:c r="M43" s="2" t="str">
        <x:v>GNK_FLEET;GNK_Q2_10Q;GNK_Q2_RELEASE</x:v>
      </x:c>
      <x:c r="N43" s="2" t="str">
        <x:v>observed</x:v>
      </x:c>
      <x:c r="O43" s="32" t="n">
        <x:f>DATE(F43+'Assumptions'!$D$40,7,1)</x:f>
        <x:v>49126</x:v>
      </x:c>
      <x:c r="P43" s="34" t="n">
        <x:f>I43*'Assumptions'!$D$35</x:f>
        <x:v>10052298</x:v>
      </x:c>
      <x:c r="Q43" s="34" t="n">
        <x:f>J43*'Assumptions'!$D$100</x:f>
        <x:v>0</x:v>
      </x:c>
      <x:c r="R43" s="2" t="str">
        <x:v>Allocated share of aggregate broker-valuation anchor</x:v>
      </x:c>
    </x:row>
    <x:row r="44" ht="21" customHeight="1">
      <x:c r="A44" s="2"/>
      <x:c r="B44" s="2"/>
      <x:c r="C44" s="2" t="str">
        <x:v>Genco Bourgogne</x:v>
      </x:c>
      <x:c r="D44" s="2" t="str">
        <x:v>Supramax</x:v>
      </x:c>
      <x:c r="E44" s="26" t="n">
        <x:v>58018</x:v>
      </x:c>
      <x:c r="F44" s="26" t="n">
        <x:v>2010</x:v>
      </x:c>
      <x:c r="G44" s="35" t="n">
        <x:v>40360</x:v>
      </x:c>
      <x:c r="H44" s="35" t="n">
        <x:v>46218</x:v>
      </x:c>
      <x:c r="I44" s="36" t="n">
        <x:v>10724080</x:v>
      </x:c>
      <x:c r="J44" s="36" t="n">
        <x:v>0</x:v>
      </x:c>
      <x:c r="K44" s="36" t="n">
        <x:v>0</x:v>
      </x:c>
      <x:c r="L44" s="2" t="str"/>
      <x:c r="M44" s="2" t="str">
        <x:v>GNK_FLEET;GNK_Q2_10Q;GNK_Q2_RELEASE</x:v>
      </x:c>
      <x:c r="N44" s="2" t="str">
        <x:v>observed</x:v>
      </x:c>
      <x:c r="O44" s="32" t="n">
        <x:f>DATE(F44+'Assumptions'!$D$40,7,1)</x:f>
        <x:v>49491</x:v>
      </x:c>
      <x:c r="P44" s="34" t="n">
        <x:f>I44*'Assumptions'!$D$35</x:f>
        <x:v>10724080</x:v>
      </x:c>
      <x:c r="Q44" s="34" t="n">
        <x:f>J44*'Assumptions'!$D$100</x:f>
        <x:v>0</x:v>
      </x:c>
      <x:c r="R44" s="2" t="str">
        <x:v>Allocated share of aggregate broker-valuation anchor</x:v>
      </x:c>
    </x:row>
    <x:row r="45" ht="21" customHeight="1">
      <x:c r="A45" s="2"/>
      <x:c r="B45" s="2"/>
      <x:c r="C45" s="2" t="str">
        <x:v>Genco Languedoc</x:v>
      </x:c>
      <x:c r="D45" s="2" t="str">
        <x:v>Supramax</x:v>
      </x:c>
      <x:c r="E45" s="26" t="n">
        <x:v>58018</x:v>
      </x:c>
      <x:c r="F45" s="26" t="n">
        <x:v>2010</x:v>
      </x:c>
      <x:c r="G45" s="35" t="n">
        <x:v>40360</x:v>
      </x:c>
      <x:c r="H45" s="35" t="n">
        <x:v>46218</x:v>
      </x:c>
      <x:c r="I45" s="36" t="n">
        <x:v>10730866</x:v>
      </x:c>
      <x:c r="J45" s="36" t="n">
        <x:v>0</x:v>
      </x:c>
      <x:c r="K45" s="36" t="n">
        <x:v>0</x:v>
      </x:c>
      <x:c r="L45" s="2" t="str"/>
      <x:c r="M45" s="2" t="str">
        <x:v>GNK_FLEET;GNK_Q2_10Q;GNK_Q2_RELEASE</x:v>
      </x:c>
      <x:c r="N45" s="2" t="str">
        <x:v>observed</x:v>
      </x:c>
      <x:c r="O45" s="32" t="n">
        <x:f>DATE(F45+'Assumptions'!$D$40,7,1)</x:f>
        <x:v>49491</x:v>
      </x:c>
      <x:c r="P45" s="34" t="n">
        <x:f>I45*'Assumptions'!$D$35</x:f>
        <x:v>10730866</x:v>
      </x:c>
      <x:c r="Q45" s="34" t="n">
        <x:f>J45*'Assumptions'!$D$100</x:f>
        <x:v>0</x:v>
      </x:c>
      <x:c r="R45" s="2" t="str">
        <x:v>Allocated share of aggregate broker-valuation anchor</x:v>
      </x:c>
    </x:row>
    <x:row r="46" ht="21" customHeight="1">
      <x:c r="A46" s="2"/>
      <x:c r="B46" s="2"/>
      <x:c r="C46" s="2" t="str">
        <x:v>Genco Pyrenees</x:v>
      </x:c>
      <x:c r="D46" s="2" t="str">
        <x:v>Supramax</x:v>
      </x:c>
      <x:c r="E46" s="26" t="n">
        <x:v>58018</x:v>
      </x:c>
      <x:c r="F46" s="26" t="n">
        <x:v>2010</x:v>
      </x:c>
      <x:c r="G46" s="35" t="n">
        <x:v>40360</x:v>
      </x:c>
      <x:c r="H46" s="35" t="n">
        <x:v>46218</x:v>
      </x:c>
      <x:c r="I46" s="36" t="n">
        <x:v>11053864</x:v>
      </x:c>
      <x:c r="J46" s="36" t="n">
        <x:v>0</x:v>
      </x:c>
      <x:c r="K46" s="36" t="n">
        <x:v>0</x:v>
      </x:c>
      <x:c r="L46" s="2" t="str"/>
      <x:c r="M46" s="2" t="str">
        <x:v>GNK_FLEET;GNK_Q2_10Q;GNK_Q2_RELEASE</x:v>
      </x:c>
      <x:c r="N46" s="2" t="str">
        <x:v>observed</x:v>
      </x:c>
      <x:c r="O46" s="32" t="n">
        <x:f>DATE(F46+'Assumptions'!$D$40,7,1)</x:f>
        <x:v>49491</x:v>
      </x:c>
      <x:c r="P46" s="34" t="n">
        <x:f>I46*'Assumptions'!$D$35</x:f>
        <x:v>11053864</x:v>
      </x:c>
      <x:c r="Q46" s="34" t="n">
        <x:f>J46*'Assumptions'!$D$100</x:f>
        <x:v>0</x:v>
      </x:c>
      <x:c r="R46" s="2" t="str">
        <x:v>Allocated share of aggregate broker-valuation anchor</x:v>
      </x:c>
    </x:row>
    <x:row r="47" ht="21" customHeight="1">
      <x:c r="A47" s="2"/>
      <x:c r="B47" s="2"/>
      <x:c r="C47" s="2" t="str">
        <x:v>Genco Rhone</x:v>
      </x:c>
      <x:c r="D47" s="2" t="str">
        <x:v>Supramax</x:v>
      </x:c>
      <x:c r="E47" s="26" t="n">
        <x:v>58018</x:v>
      </x:c>
      <x:c r="F47" s="26" t="n">
        <x:v>2011</x:v>
      </x:c>
      <x:c r="G47" s="35" t="n">
        <x:v>40725</x:v>
      </x:c>
      <x:c r="H47" s="35" t="n">
        <x:v>46218</x:v>
      </x:c>
      <x:c r="I47" s="36" t="n">
        <x:v>12381142</x:v>
      </x:c>
      <x:c r="J47" s="36" t="n">
        <x:v>0</x:v>
      </x:c>
      <x:c r="K47" s="36" t="n">
        <x:v>0</x:v>
      </x:c>
      <x:c r="L47" s="2" t="str"/>
      <x:c r="M47" s="2" t="str">
        <x:v>GNK_FLEET;GNK_Q2_10Q;GNK_Q2_RELEASE</x:v>
      </x:c>
      <x:c r="N47" s="2" t="str">
        <x:v>observed</x:v>
      </x:c>
      <x:c r="O47" s="32" t="n">
        <x:f>DATE(F47+'Assumptions'!$D$40,7,1)</x:f>
        <x:v>49857</x:v>
      </x:c>
      <x:c r="P47" s="34" t="n">
        <x:f>I47*'Assumptions'!$D$35</x:f>
        <x:v>12381142</x:v>
      </x:c>
      <x:c r="Q47" s="34" t="n">
        <x:f>J47*'Assumptions'!$D$100</x:f>
        <x:v>0</x:v>
      </x:c>
      <x:c r="R47" s="2" t="str">
        <x:v>Allocated share of aggregate broker-valuation anchor</x:v>
      </x:c>
    </x:row>
    <x:row r="48" ht="21" customHeight="1">
      <x:c r="A48" s="2"/>
      <x:c r="B48" s="2"/>
      <x:c r="C48" s="2" t="str">
        <x:v>Genco Ardennes</x:v>
      </x:c>
      <x:c r="D48" s="2" t="str">
        <x:v>Supramax</x:v>
      </x:c>
      <x:c r="E48" s="26" t="n">
        <x:v>58014</x:v>
      </x:c>
      <x:c r="F48" s="26" t="n">
        <x:v>2009</x:v>
      </x:c>
      <x:c r="G48" s="35" t="n">
        <x:v>39995</x:v>
      </x:c>
      <x:c r="H48" s="35" t="n">
        <x:v>46218</x:v>
      </x:c>
      <x:c r="I48" s="36" t="n">
        <x:v>9998013</x:v>
      </x:c>
      <x:c r="J48" s="36" t="n">
        <x:v>0</x:v>
      </x:c>
      <x:c r="K48" s="36" t="n">
        <x:v>0</x:v>
      </x:c>
      <x:c r="L48" s="2" t="str"/>
      <x:c r="M48" s="2" t="str">
        <x:v>GNK_FLEET;GNK_Q2_10Q;GNK_Q2_RELEASE</x:v>
      </x:c>
      <x:c r="N48" s="2" t="str">
        <x:v>observed</x:v>
      </x:c>
      <x:c r="O48" s="32" t="n">
        <x:f>DATE(F48+'Assumptions'!$D$40,7,1)</x:f>
        <x:v>49126</x:v>
      </x:c>
      <x:c r="P48" s="34" t="n">
        <x:f>I48*'Assumptions'!$D$35</x:f>
        <x:v>9998013</x:v>
      </x:c>
      <x:c r="Q48" s="34" t="n">
        <x:f>J48*'Assumptions'!$D$100</x:f>
        <x:v>0</x:v>
      </x:c>
      <x:c r="R48" s="2" t="str">
        <x:v>Allocated share of aggregate broker-valuation anchor</x:v>
      </x:c>
    </x:row>
    <x:row r="49" ht="21" customHeight="1">
      <x:c r="A49" s="2"/>
      <x:c r="B49" s="2"/>
      <x:c r="C49" s="2" t="str">
        <x:v>Genco Brittany</x:v>
      </x:c>
      <x:c r="D49" s="2" t="str">
        <x:v>Supramax</x:v>
      </x:c>
      <x:c r="E49" s="26" t="n">
        <x:v>58014</x:v>
      </x:c>
      <x:c r="F49" s="26" t="n">
        <x:v>2010</x:v>
      </x:c>
      <x:c r="G49" s="35" t="n">
        <x:v>40360</x:v>
      </x:c>
      <x:c r="H49" s="35" t="n">
        <x:v>46218</x:v>
      </x:c>
      <x:c r="I49" s="36" t="n">
        <x:v>10760723</x:v>
      </x:c>
      <x:c r="J49" s="36" t="n">
        <x:v>0</x:v>
      </x:c>
      <x:c r="K49" s="36" t="n">
        <x:v>0</x:v>
      </x:c>
      <x:c r="L49" s="2" t="str"/>
      <x:c r="M49" s="2" t="str">
        <x:v>GNK_FLEET;GNK_Q2_10Q;GNK_Q2_RELEASE</x:v>
      </x:c>
      <x:c r="N49" s="2" t="str">
        <x:v>observed</x:v>
      </x:c>
      <x:c r="O49" s="32" t="n">
        <x:f>DATE(F49+'Assumptions'!$D$40,7,1)</x:f>
        <x:v>49491</x:v>
      </x:c>
      <x:c r="P49" s="34" t="n">
        <x:f>I49*'Assumptions'!$D$35</x:f>
        <x:v>10760723</x:v>
      </x:c>
      <x:c r="Q49" s="34" t="n">
        <x:f>J49*'Assumptions'!$D$100</x:f>
        <x:v>0</x:v>
      </x:c>
      <x:c r="R49" s="2" t="str">
        <x:v>Allocated share of aggregate broker-valuation anchor</x:v>
      </x:c>
    </x:row>
    <x:row r="50" ht="21" customHeight="1">
      <x:c r="A50" s="2"/>
      <x:c r="B50" s="2"/>
      <x:c r="C50" s="2" t="str">
        <x:v>Genco Aquitaine</x:v>
      </x:c>
      <x:c r="D50" s="2" t="str">
        <x:v>Supramax</x:v>
      </x:c>
      <x:c r="E50" s="26" t="n">
        <x:v>57981</x:v>
      </x:c>
      <x:c r="F50" s="26" t="n">
        <x:v>2009</x:v>
      </x:c>
      <x:c r="G50" s="35" t="n">
        <x:v>39995</x:v>
      </x:c>
      <x:c r="H50" s="35" t="n">
        <x:v>46218</x:v>
      </x:c>
      <x:c r="I50" s="36" t="n">
        <x:v>9966799</x:v>
      </x:c>
      <x:c r="J50" s="36" t="n">
        <x:v>0</x:v>
      </x:c>
      <x:c r="K50" s="36" t="n">
        <x:v>0</x:v>
      </x:c>
      <x:c r="L50" s="2" t="str"/>
      <x:c r="M50" s="2" t="str">
        <x:v>GNK_FLEET;GNK_Q2_10Q;GNK_Q2_RELEASE</x:v>
      </x:c>
      <x:c r="N50" s="2" t="str">
        <x:v>observed</x:v>
      </x:c>
      <x:c r="O50" s="32" t="n">
        <x:f>DATE(F50+'Assumptions'!$D$40,7,1)</x:f>
        <x:v>49126</x:v>
      </x:c>
      <x:c r="P50" s="34" t="n">
        <x:f>I50*'Assumptions'!$D$35</x:f>
        <x:v>9966799</x:v>
      </x:c>
      <x:c r="Q50" s="34" t="n">
        <x:f>J50*'Assumptions'!$D$100</x:f>
        <x:v>0</x:v>
      </x:c>
      <x:c r="R50" s="2" t="str">
        <x:v>Allocated share of aggregate broker-valuation anchor</x:v>
      </x:c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21" customHeight="1">
      <x:c r="A2" s="2"/>
      <x:c r="B2" s="2"/>
      <x:c r="C2" s="3" t="str">
        <x:v>Days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</x:row>
    <x:row r="6" ht="28" customHeight="1">
      <x:c r="A6" s="2"/>
      <x:c r="B6" s="2"/>
      <x:c r="C6" s="2"/>
      <x:c r="D6" s="2"/>
      <x:c r="E6" s="25" t="str">
        <x:v>Q4:26 stub</x:v>
      </x:c>
      <x:c r="F6" s="25" t="str">
        <x:v>Q1:27</x:v>
      </x:c>
      <x:c r="G6" s="25" t="str">
        <x:v>Q2:27</x:v>
      </x:c>
      <x:c r="H6" s="25" t="str">
        <x:v>Q3:27</x:v>
      </x:c>
      <x:c r="I6" s="25" t="str">
        <x:v>Q4:27</x:v>
      </x:c>
      <x:c r="J6" s="25" t="str">
        <x:v>Q1:28</x:v>
      </x:c>
      <x:c r="K6" s="25" t="str">
        <x:v>Q2:28</x:v>
      </x:c>
      <x:c r="L6" s="25" t="str">
        <x:v>Q3:28</x:v>
      </x:c>
      <x:c r="M6" s="25" t="str">
        <x:v>Q4:28</x:v>
      </x:c>
      <x:c r="N6" s="25" t="str">
        <x:v>Q1:29</x:v>
      </x:c>
      <x:c r="O6" s="25" t="str">
        <x:v>Q2:29</x:v>
      </x:c>
      <x:c r="P6" s="25" t="str">
        <x:v>Q3:29</x:v>
      </x:c>
      <x:c r="Q6" s="25" t="str">
        <x:v>Sep-30</x:v>
      </x:c>
      <x:c r="R6" s="25" t="str">
        <x:v>Sep-31</x:v>
      </x:c>
      <x:c r="S6" s="25" t="str">
        <x:v>Sep-32</x:v>
      </x:c>
      <x:c r="T6" s="25" t="str">
        <x:v>Sep-33</x:v>
      </x:c>
      <x:c r="U6" s="25" t="str">
        <x:v>Sep-34</x:v>
      </x:c>
      <x:c r="V6" s="25" t="str">
        <x:v>Sep-35</x:v>
      </x:c>
      <x:c r="W6" s="25" t="str">
        <x:v>Sep-36</x:v>
      </x:c>
      <x:c r="X6" s="25" t="str">
        <x:v>Sep-37</x:v>
      </x:c>
      <x:c r="Y6" s="25" t="str">
        <x:v>Sep-38</x:v>
      </x:c>
      <x:c r="Z6" s="25" t="str">
        <x:v>Sep-39</x:v>
      </x:c>
      <x:c r="AA6" s="25" t="str">
        <x:v>Sep-40</x:v>
      </x:c>
      <x:c r="AB6" s="25" t="str">
        <x:v>Sep-41</x:v>
      </x:c>
      <x:c r="AC6" s="25" t="str">
        <x:v>Sep-42</x:v>
      </x:c>
      <x:c r="AD6" s="25" t="str">
        <x:v>Sep-43</x:v>
      </x:c>
      <x:c r="AE6" s="25" t="str">
        <x:v>Sep-44</x:v>
      </x:c>
      <x:c r="AF6" s="25" t="str">
        <x:v>Sep-45</x:v>
      </x:c>
      <x:c r="AG6" s="25" t="str">
        <x:v>Sep-46</x:v>
      </x:c>
      <x:c r="AH6" s="25" t="str">
        <x:v>Sep-47</x:v>
      </x:c>
      <x:c r="AI6" s="25" t="str">
        <x:v>Sep-48</x:v>
      </x:c>
      <x:c r="AJ6" s="25" t="str">
        <x:v>Sep-49</x:v>
      </x:c>
      <x:c r="AK6" s="25" t="str">
        <x:v>Sep-50</x:v>
      </x:c>
      <x:c r="AL6" s="25" t="str">
        <x:v>Sep-51</x:v>
      </x:c>
      <x:c r="AM6" s="25" t="str">
        <x:v>Sep-52</x:v>
      </x:c>
      <x:c r="AN6" s="25" t="str">
        <x:v>Sep-53</x:v>
      </x:c>
      <x:c r="AO6" s="25" t="str">
        <x:v>Sep-54</x:v>
      </x:c>
      <x:c r="AP6" s="25" t="str">
        <x:v>Sep-55</x:v>
      </x:c>
      <x:c r="AQ6" s="25" t="str">
        <x:v>Sep-56</x:v>
      </x:c>
    </x:row>
    <x:row r="7" ht="21" customHeight="1">
      <x:c r="A7" s="2"/>
      <x:c r="B7" s="2"/>
      <x:c r="C7" s="2" t="str">
        <x:v>Period starts</x:v>
      </x:c>
      <x:c r="D7" s="2"/>
      <x:c r="E7" s="28" t="n">
        <x:v>46308</x:v>
      </x:c>
      <x:c r="F7" s="28" t="n">
        <x:v>46388</x:v>
      </x:c>
      <x:c r="G7" s="28" t="n">
        <x:v>46478</x:v>
      </x:c>
      <x:c r="H7" s="28" t="n">
        <x:v>46569</x:v>
      </x:c>
      <x:c r="I7" s="28" t="n">
        <x:v>46661</x:v>
      </x:c>
      <x:c r="J7" s="28" t="n">
        <x:v>46753</x:v>
      </x:c>
      <x:c r="K7" s="28" t="n">
        <x:v>46844</x:v>
      </x:c>
      <x:c r="L7" s="28" t="n">
        <x:v>46935</x:v>
      </x:c>
      <x:c r="M7" s="28" t="n">
        <x:v>47027</x:v>
      </x:c>
      <x:c r="N7" s="28" t="n">
        <x:v>47119</x:v>
      </x:c>
      <x:c r="O7" s="28" t="n">
        <x:v>47209</x:v>
      </x:c>
      <x:c r="P7" s="28" t="n">
        <x:v>47300</x:v>
      </x:c>
      <x:c r="Q7" s="28" t="n">
        <x:v>47392</x:v>
      </x:c>
      <x:c r="R7" s="28" t="n">
        <x:v>47757</x:v>
      </x:c>
      <x:c r="S7" s="28" t="n">
        <x:v>48122</x:v>
      </x:c>
      <x:c r="T7" s="28" t="n">
        <x:v>48488</x:v>
      </x:c>
      <x:c r="U7" s="28" t="n">
        <x:v>48853</x:v>
      </x:c>
      <x:c r="V7" s="28" t="n">
        <x:v>49218</x:v>
      </x:c>
      <x:c r="W7" s="28" t="n">
        <x:v>49583</x:v>
      </x:c>
      <x:c r="X7" s="28" t="n">
        <x:v>49949</x:v>
      </x:c>
      <x:c r="Y7" s="28" t="n">
        <x:v>50314</x:v>
      </x:c>
      <x:c r="Z7" s="28" t="n">
        <x:v>50679</x:v>
      </x:c>
      <x:c r="AA7" s="28" t="n">
        <x:v>51044</x:v>
      </x:c>
      <x:c r="AB7" s="28" t="n">
        <x:v>51410</x:v>
      </x:c>
      <x:c r="AC7" s="28" t="n">
        <x:v>51775</x:v>
      </x:c>
      <x:c r="AD7" s="28" t="n">
        <x:v>52140</x:v>
      </x:c>
      <x:c r="AE7" s="28" t="n">
        <x:v>52505</x:v>
      </x:c>
      <x:c r="AF7" s="28" t="n">
        <x:v>52871</x:v>
      </x:c>
      <x:c r="AG7" s="28" t="n">
        <x:v>53236</x:v>
      </x:c>
      <x:c r="AH7" s="28" t="n">
        <x:v>53601</x:v>
      </x:c>
      <x:c r="AI7" s="28" t="n">
        <x:v>53966</x:v>
      </x:c>
      <x:c r="AJ7" s="28" t="n">
        <x:v>54332</x:v>
      </x:c>
      <x:c r="AK7" s="28" t="n">
        <x:v>54697</x:v>
      </x:c>
      <x:c r="AL7" s="28" t="n">
        <x:v>55062</x:v>
      </x:c>
      <x:c r="AM7" s="28" t="n">
        <x:v>55427</x:v>
      </x:c>
      <x:c r="AN7" s="28" t="n">
        <x:v>55793</x:v>
      </x:c>
      <x:c r="AO7" s="28" t="n">
        <x:v>56158</x:v>
      </x:c>
      <x:c r="AP7" s="28" t="n">
        <x:v>56523</x:v>
      </x:c>
      <x:c r="AQ7" s="28" t="n">
        <x:v>56888</x:v>
      </x:c>
    </x:row>
    <x:row r="8" ht="21" customHeight="1">
      <x:c r="A8" s="2"/>
      <x:c r="B8" s="2"/>
      <x:c r="C8" s="2" t="str">
        <x:v>Period ends</x:v>
      </x:c>
      <x:c r="D8" s="2"/>
      <x:c r="E8" s="28" t="n">
        <x:v>46387</x:v>
      </x:c>
      <x:c r="F8" s="28" t="n">
        <x:v>46477</x:v>
      </x:c>
      <x:c r="G8" s="28" t="n">
        <x:v>46568</x:v>
      </x:c>
      <x:c r="H8" s="28" t="n">
        <x:v>46660</x:v>
      </x:c>
      <x:c r="I8" s="28" t="n">
        <x:v>46752</x:v>
      </x:c>
      <x:c r="J8" s="28" t="n">
        <x:v>46843</x:v>
      </x:c>
      <x:c r="K8" s="28" t="n">
        <x:v>46934</x:v>
      </x:c>
      <x:c r="L8" s="28" t="n">
        <x:v>47026</x:v>
      </x:c>
      <x:c r="M8" s="28" t="n">
        <x:v>47118</x:v>
      </x:c>
      <x:c r="N8" s="28" t="n">
        <x:v>47208</x:v>
      </x:c>
      <x:c r="O8" s="28" t="n">
        <x:v>47299</x:v>
      </x:c>
      <x:c r="P8" s="28" t="n">
        <x:v>47391</x:v>
      </x:c>
      <x:c r="Q8" s="28" t="n">
        <x:v>47756</x:v>
      </x:c>
      <x:c r="R8" s="28" t="n">
        <x:v>48121</x:v>
      </x:c>
      <x:c r="S8" s="28" t="n">
        <x:v>48487</x:v>
      </x:c>
      <x:c r="T8" s="28" t="n">
        <x:v>48852</x:v>
      </x:c>
      <x:c r="U8" s="28" t="n">
        <x:v>49217</x:v>
      </x:c>
      <x:c r="V8" s="28" t="n">
        <x:v>49582</x:v>
      </x:c>
      <x:c r="W8" s="28" t="n">
        <x:v>49948</x:v>
      </x:c>
      <x:c r="X8" s="28" t="n">
        <x:v>50313</x:v>
      </x:c>
      <x:c r="Y8" s="28" t="n">
        <x:v>50678</x:v>
      </x:c>
      <x:c r="Z8" s="28" t="n">
        <x:v>51043</x:v>
      </x:c>
      <x:c r="AA8" s="28" t="n">
        <x:v>51409</x:v>
      </x:c>
      <x:c r="AB8" s="28" t="n">
        <x:v>51774</x:v>
      </x:c>
      <x:c r="AC8" s="28" t="n">
        <x:v>52139</x:v>
      </x:c>
      <x:c r="AD8" s="28" t="n">
        <x:v>52504</x:v>
      </x:c>
      <x:c r="AE8" s="28" t="n">
        <x:v>52870</x:v>
      </x:c>
      <x:c r="AF8" s="28" t="n">
        <x:v>53235</x:v>
      </x:c>
      <x:c r="AG8" s="28" t="n">
        <x:v>53600</x:v>
      </x:c>
      <x:c r="AH8" s="28" t="n">
        <x:v>53965</x:v>
      </x:c>
      <x:c r="AI8" s="28" t="n">
        <x:v>54331</x:v>
      </x:c>
      <x:c r="AJ8" s="28" t="n">
        <x:v>54696</x:v>
      </x:c>
      <x:c r="AK8" s="28" t="n">
        <x:v>55061</x:v>
      </x:c>
      <x:c r="AL8" s="28" t="n">
        <x:v>55426</x:v>
      </x:c>
      <x:c r="AM8" s="28" t="n">
        <x:v>55792</x:v>
      </x:c>
      <x:c r="AN8" s="28" t="n">
        <x:v>56157</x:v>
      </x:c>
      <x:c r="AO8" s="28" t="n">
        <x:v>56522</x:v>
      </x:c>
      <x:c r="AP8" s="28" t="n">
        <x:v>56887</x:v>
      </x:c>
      <x:c r="AQ8" s="28" t="n">
        <x:v>57253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</x:row>
    <x:row r="10" ht="21" customHeight="1">
      <x:c r="A10" s="2"/>
      <x:c r="B10" s="2"/>
      <x:c r="C10" s="5" t="str">
        <x:f>'Fleet'!C7</x:f>
        <x:v>Genco Stars and Stripes</x:v>
      </x:c>
      <x:c r="D10" s="5" t="str">
        <x:f>'Fleet'!D7</x:f>
        <x:v>Newcastlemax</x:v>
      </x:c>
      <x:c r="E10" s="34" t="n">
        <x:f>MAX(0,MIN(E$8+1,'Fleet'!$O7)-MAX(E$7,'Fleet'!$G7))</x:f>
        <x:v>80</x:v>
      </x:c>
      <x:c r="F10" s="34" t="n">
        <x:f>MAX(0,MIN(F$8+1,'Fleet'!$O7)-MAX(F$7,'Fleet'!$G7))</x:f>
        <x:v>90</x:v>
      </x:c>
      <x:c r="G10" s="34" t="n">
        <x:f>MAX(0,MIN(G$8+1,'Fleet'!$O7)-MAX(G$7,'Fleet'!$G7))</x:f>
        <x:v>91</x:v>
      </x:c>
      <x:c r="H10" s="34" t="n">
        <x:f>MAX(0,MIN(H$8+1,'Fleet'!$O7)-MAX(H$7,'Fleet'!$G7))</x:f>
        <x:v>92</x:v>
      </x:c>
      <x:c r="I10" s="34" t="n">
        <x:f>MAX(0,MIN(I$8+1,'Fleet'!$O7)-MAX(I$7,'Fleet'!$G7))</x:f>
        <x:v>92</x:v>
      </x:c>
      <x:c r="J10" s="34" t="n">
        <x:f>MAX(0,MIN(J$8+1,'Fleet'!$O7)-MAX(J$7,'Fleet'!$G7))</x:f>
        <x:v>91</x:v>
      </x:c>
      <x:c r="K10" s="34" t="n">
        <x:f>MAX(0,MIN(K$8+1,'Fleet'!$O7)-MAX(K$7,'Fleet'!$G7))</x:f>
        <x:v>91</x:v>
      </x:c>
      <x:c r="L10" s="34" t="n">
        <x:f>MAX(0,MIN(L$8+1,'Fleet'!$O7)-MAX(L$7,'Fleet'!$G7))</x:f>
        <x:v>92</x:v>
      </x:c>
      <x:c r="M10" s="34" t="n">
        <x:f>MAX(0,MIN(M$8+1,'Fleet'!$O7)-MAX(M$7,'Fleet'!$G7))</x:f>
        <x:v>92</x:v>
      </x:c>
      <x:c r="N10" s="34" t="n">
        <x:f>MAX(0,MIN(N$8+1,'Fleet'!$O7)-MAX(N$7,'Fleet'!$G7))</x:f>
        <x:v>90</x:v>
      </x:c>
      <x:c r="O10" s="34" t="n">
        <x:f>MAX(0,MIN(O$8+1,'Fleet'!$O7)-MAX(O$7,'Fleet'!$G7))</x:f>
        <x:v>91</x:v>
      </x:c>
      <x:c r="P10" s="34" t="n">
        <x:f>MAX(0,MIN(P$8+1,'Fleet'!$O7)-MAX(P$7,'Fleet'!$G7))</x:f>
        <x:v>92</x:v>
      </x:c>
      <x:c r="Q10" s="34" t="n">
        <x:f>MAX(0,MIN(Q$8+1,'Fleet'!$O7)-MAX(Q$7,'Fleet'!$G7))</x:f>
        <x:v>365</x:v>
      </x:c>
      <x:c r="R10" s="34" t="n">
        <x:f>MAX(0,MIN(R$8+1,'Fleet'!$O7)-MAX(R$7,'Fleet'!$G7))</x:f>
        <x:v>365</x:v>
      </x:c>
      <x:c r="S10" s="34" t="n">
        <x:f>MAX(0,MIN(S$8+1,'Fleet'!$O7)-MAX(S$7,'Fleet'!$G7))</x:f>
        <x:v>366</x:v>
      </x:c>
      <x:c r="T10" s="34" t="n">
        <x:f>MAX(0,MIN(T$8+1,'Fleet'!$O7)-MAX(T$7,'Fleet'!$G7))</x:f>
        <x:v>365</x:v>
      </x:c>
      <x:c r="U10" s="34" t="n">
        <x:f>MAX(0,MIN(U$8+1,'Fleet'!$O7)-MAX(U$7,'Fleet'!$G7))</x:f>
        <x:v>365</x:v>
      </x:c>
      <x:c r="V10" s="34" t="n">
        <x:f>MAX(0,MIN(V$8+1,'Fleet'!$O7)-MAX(V$7,'Fleet'!$G7))</x:f>
        <x:v>365</x:v>
      </x:c>
      <x:c r="W10" s="34" t="n">
        <x:f>MAX(0,MIN(W$8+1,'Fleet'!$O7)-MAX(W$7,'Fleet'!$G7))</x:f>
        <x:v>366</x:v>
      </x:c>
      <x:c r="X10" s="34" t="n">
        <x:f>MAX(0,MIN(X$8+1,'Fleet'!$O7)-MAX(X$7,'Fleet'!$G7))</x:f>
        <x:v>365</x:v>
      </x:c>
      <x:c r="Y10" s="34" t="n">
        <x:f>MAX(0,MIN(Y$8+1,'Fleet'!$O7)-MAX(Y$7,'Fleet'!$G7))</x:f>
        <x:v>365</x:v>
      </x:c>
      <x:c r="Z10" s="34" t="n">
        <x:f>MAX(0,MIN(Z$8+1,'Fleet'!$O7)-MAX(Z$7,'Fleet'!$G7))</x:f>
        <x:v>365</x:v>
      </x:c>
      <x:c r="AA10" s="34" t="n">
        <x:f>MAX(0,MIN(AA$8+1,'Fleet'!$O7)-MAX(AA$7,'Fleet'!$G7))</x:f>
        <x:v>366</x:v>
      </x:c>
      <x:c r="AB10" s="34" t="n">
        <x:f>MAX(0,MIN(AB$8+1,'Fleet'!$O7)-MAX(AB$7,'Fleet'!$G7))</x:f>
        <x:v>365</x:v>
      </x:c>
      <x:c r="AC10" s="34" t="n">
        <x:f>MAX(0,MIN(AC$8+1,'Fleet'!$O7)-MAX(AC$7,'Fleet'!$G7))</x:f>
        <x:v>365</x:v>
      </x:c>
      <x:c r="AD10" s="34" t="n">
        <x:f>MAX(0,MIN(AD$8+1,'Fleet'!$O7)-MAX(AD$7,'Fleet'!$G7))</x:f>
        <x:v>365</x:v>
      </x:c>
      <x:c r="AE10" s="34" t="n">
        <x:f>MAX(0,MIN(AE$8+1,'Fleet'!$O7)-MAX(AE$7,'Fleet'!$G7))</x:f>
        <x:v>366</x:v>
      </x:c>
      <x:c r="AF10" s="34" t="n">
        <x:f>MAX(0,MIN(AF$8+1,'Fleet'!$O7)-MAX(AF$7,'Fleet'!$G7))</x:f>
        <x:v>273</x:v>
      </x:c>
      <x:c r="AG10" s="34" t="n">
        <x:f>MAX(0,MIN(AG$8+1,'Fleet'!$O7)-MAX(AG$7,'Fleet'!$G7))</x:f>
        <x:v>0</x:v>
      </x:c>
      <x:c r="AH10" s="34" t="n">
        <x:f>MAX(0,MIN(AH$8+1,'Fleet'!$O7)-MAX(AH$7,'Fleet'!$G7))</x:f>
        <x:v>0</x:v>
      </x:c>
      <x:c r="AI10" s="34" t="n">
        <x:f>MAX(0,MIN(AI$8+1,'Fleet'!$O7)-MAX(AI$7,'Fleet'!$G7))</x:f>
        <x:v>0</x:v>
      </x:c>
      <x:c r="AJ10" s="34" t="n">
        <x:f>MAX(0,MIN(AJ$8+1,'Fleet'!$O7)-MAX(AJ$7,'Fleet'!$G7))</x:f>
        <x:v>0</x:v>
      </x:c>
      <x:c r="AK10" s="34" t="n">
        <x:f>MAX(0,MIN(AK$8+1,'Fleet'!$O7)-MAX(AK$7,'Fleet'!$G7))</x:f>
        <x:v>0</x:v>
      </x:c>
      <x:c r="AL10" s="34" t="n">
        <x:f>MAX(0,MIN(AL$8+1,'Fleet'!$O7)-MAX(AL$7,'Fleet'!$G7))</x:f>
        <x:v>0</x:v>
      </x:c>
      <x:c r="AM10" s="34" t="n">
        <x:f>MAX(0,MIN(AM$8+1,'Fleet'!$O7)-MAX(AM$7,'Fleet'!$G7))</x:f>
        <x:v>0</x:v>
      </x:c>
      <x:c r="AN10" s="34" t="n">
        <x:f>MAX(0,MIN(AN$8+1,'Fleet'!$O7)-MAX(AN$7,'Fleet'!$G7))</x:f>
        <x:v>0</x:v>
      </x:c>
      <x:c r="AO10" s="34" t="n">
        <x:f>MAX(0,MIN(AO$8+1,'Fleet'!$O7)-MAX(AO$7,'Fleet'!$G7))</x:f>
        <x:v>0</x:v>
      </x:c>
      <x:c r="AP10" s="34" t="n">
        <x:f>MAX(0,MIN(AP$8+1,'Fleet'!$O7)-MAX(AP$7,'Fleet'!$G7))</x:f>
        <x:v>0</x:v>
      </x:c>
      <x:c r="AQ10" s="34" t="n">
        <x:f>MAX(0,MIN(AQ$8+1,'Fleet'!$O7)-MAX(AQ$7,'Fleet'!$G7))</x:f>
        <x:v>0</x:v>
      </x:c>
    </x:row>
    <x:row r="11" ht="21" customHeight="1">
      <x:c r="A11" s="2"/>
      <x:c r="B11" s="2"/>
      <x:c r="C11" s="5" t="str">
        <x:f>'Fleet'!C8</x:f>
        <x:v>Genco Valkyrie</x:v>
      </x:c>
      <x:c r="D11" s="5" t="str">
        <x:f>'Fleet'!D8</x:f>
        <x:v>Newcastlemax</x:v>
      </x:c>
      <x:c r="E11" s="34" t="n">
        <x:f>MAX(0,MIN(E$8+1,'Fleet'!$O8)-MAX(E$7,'Fleet'!$G8))</x:f>
        <x:v>80</x:v>
      </x:c>
      <x:c r="F11" s="34" t="n">
        <x:f>MAX(0,MIN(F$8+1,'Fleet'!$O8)-MAX(F$7,'Fleet'!$G8))</x:f>
        <x:v>90</x:v>
      </x:c>
      <x:c r="G11" s="34" t="n">
        <x:f>MAX(0,MIN(G$8+1,'Fleet'!$O8)-MAX(G$7,'Fleet'!$G8))</x:f>
        <x:v>91</x:v>
      </x:c>
      <x:c r="H11" s="34" t="n">
        <x:f>MAX(0,MIN(H$8+1,'Fleet'!$O8)-MAX(H$7,'Fleet'!$G8))</x:f>
        <x:v>92</x:v>
      </x:c>
      <x:c r="I11" s="34" t="n">
        <x:f>MAX(0,MIN(I$8+1,'Fleet'!$O8)-MAX(I$7,'Fleet'!$G8))</x:f>
        <x:v>92</x:v>
      </x:c>
      <x:c r="J11" s="34" t="n">
        <x:f>MAX(0,MIN(J$8+1,'Fleet'!$O8)-MAX(J$7,'Fleet'!$G8))</x:f>
        <x:v>91</x:v>
      </x:c>
      <x:c r="K11" s="34" t="n">
        <x:f>MAX(0,MIN(K$8+1,'Fleet'!$O8)-MAX(K$7,'Fleet'!$G8))</x:f>
        <x:v>91</x:v>
      </x:c>
      <x:c r="L11" s="34" t="n">
        <x:f>MAX(0,MIN(L$8+1,'Fleet'!$O8)-MAX(L$7,'Fleet'!$G8))</x:f>
        <x:v>92</x:v>
      </x:c>
      <x:c r="M11" s="34" t="n">
        <x:f>MAX(0,MIN(M$8+1,'Fleet'!$O8)-MAX(M$7,'Fleet'!$G8))</x:f>
        <x:v>92</x:v>
      </x:c>
      <x:c r="N11" s="34" t="n">
        <x:f>MAX(0,MIN(N$8+1,'Fleet'!$O8)-MAX(N$7,'Fleet'!$G8))</x:f>
        <x:v>90</x:v>
      </x:c>
      <x:c r="O11" s="34" t="n">
        <x:f>MAX(0,MIN(O$8+1,'Fleet'!$O8)-MAX(O$7,'Fleet'!$G8))</x:f>
        <x:v>91</x:v>
      </x:c>
      <x:c r="P11" s="34" t="n">
        <x:f>MAX(0,MIN(P$8+1,'Fleet'!$O8)-MAX(P$7,'Fleet'!$G8))</x:f>
        <x:v>92</x:v>
      </x:c>
      <x:c r="Q11" s="34" t="n">
        <x:f>MAX(0,MIN(Q$8+1,'Fleet'!$O8)-MAX(Q$7,'Fleet'!$G8))</x:f>
        <x:v>365</x:v>
      </x:c>
      <x:c r="R11" s="34" t="n">
        <x:f>MAX(0,MIN(R$8+1,'Fleet'!$O8)-MAX(R$7,'Fleet'!$G8))</x:f>
        <x:v>365</x:v>
      </x:c>
      <x:c r="S11" s="34" t="n">
        <x:f>MAX(0,MIN(S$8+1,'Fleet'!$O8)-MAX(S$7,'Fleet'!$G8))</x:f>
        <x:v>366</x:v>
      </x:c>
      <x:c r="T11" s="34" t="n">
        <x:f>MAX(0,MIN(T$8+1,'Fleet'!$O8)-MAX(T$7,'Fleet'!$G8))</x:f>
        <x:v>365</x:v>
      </x:c>
      <x:c r="U11" s="34" t="n">
        <x:f>MAX(0,MIN(U$8+1,'Fleet'!$O8)-MAX(U$7,'Fleet'!$G8))</x:f>
        <x:v>365</x:v>
      </x:c>
      <x:c r="V11" s="34" t="n">
        <x:f>MAX(0,MIN(V$8+1,'Fleet'!$O8)-MAX(V$7,'Fleet'!$G8))</x:f>
        <x:v>365</x:v>
      </x:c>
      <x:c r="W11" s="34" t="n">
        <x:f>MAX(0,MIN(W$8+1,'Fleet'!$O8)-MAX(W$7,'Fleet'!$G8))</x:f>
        <x:v>366</x:v>
      </x:c>
      <x:c r="X11" s="34" t="n">
        <x:f>MAX(0,MIN(X$8+1,'Fleet'!$O8)-MAX(X$7,'Fleet'!$G8))</x:f>
        <x:v>365</x:v>
      </x:c>
      <x:c r="Y11" s="34" t="n">
        <x:f>MAX(0,MIN(Y$8+1,'Fleet'!$O8)-MAX(Y$7,'Fleet'!$G8))</x:f>
        <x:v>365</x:v>
      </x:c>
      <x:c r="Z11" s="34" t="n">
        <x:f>MAX(0,MIN(Z$8+1,'Fleet'!$O8)-MAX(Z$7,'Fleet'!$G8))</x:f>
        <x:v>365</x:v>
      </x:c>
      <x:c r="AA11" s="34" t="n">
        <x:f>MAX(0,MIN(AA$8+1,'Fleet'!$O8)-MAX(AA$7,'Fleet'!$G8))</x:f>
        <x:v>366</x:v>
      </x:c>
      <x:c r="AB11" s="34" t="n">
        <x:f>MAX(0,MIN(AB$8+1,'Fleet'!$O8)-MAX(AB$7,'Fleet'!$G8))</x:f>
        <x:v>365</x:v>
      </x:c>
      <x:c r="AC11" s="34" t="n">
        <x:f>MAX(0,MIN(AC$8+1,'Fleet'!$O8)-MAX(AC$7,'Fleet'!$G8))</x:f>
        <x:v>365</x:v>
      </x:c>
      <x:c r="AD11" s="34" t="n">
        <x:f>MAX(0,MIN(AD$8+1,'Fleet'!$O8)-MAX(AD$7,'Fleet'!$G8))</x:f>
        <x:v>365</x:v>
      </x:c>
      <x:c r="AE11" s="34" t="n">
        <x:f>MAX(0,MIN(AE$8+1,'Fleet'!$O8)-MAX(AE$7,'Fleet'!$G8))</x:f>
        <x:v>366</x:v>
      </x:c>
      <x:c r="AF11" s="34" t="n">
        <x:f>MAX(0,MIN(AF$8+1,'Fleet'!$O8)-MAX(AF$7,'Fleet'!$G8))</x:f>
        <x:v>273</x:v>
      </x:c>
      <x:c r="AG11" s="34" t="n">
        <x:f>MAX(0,MIN(AG$8+1,'Fleet'!$O8)-MAX(AG$7,'Fleet'!$G8))</x:f>
        <x:v>0</x:v>
      </x:c>
      <x:c r="AH11" s="34" t="n">
        <x:f>MAX(0,MIN(AH$8+1,'Fleet'!$O8)-MAX(AH$7,'Fleet'!$G8))</x:f>
        <x:v>0</x:v>
      </x:c>
      <x:c r="AI11" s="34" t="n">
        <x:f>MAX(0,MIN(AI$8+1,'Fleet'!$O8)-MAX(AI$7,'Fleet'!$G8))</x:f>
        <x:v>0</x:v>
      </x:c>
      <x:c r="AJ11" s="34" t="n">
        <x:f>MAX(0,MIN(AJ$8+1,'Fleet'!$O8)-MAX(AJ$7,'Fleet'!$G8))</x:f>
        <x:v>0</x:v>
      </x:c>
      <x:c r="AK11" s="34" t="n">
        <x:f>MAX(0,MIN(AK$8+1,'Fleet'!$O8)-MAX(AK$7,'Fleet'!$G8))</x:f>
        <x:v>0</x:v>
      </x:c>
      <x:c r="AL11" s="34" t="n">
        <x:f>MAX(0,MIN(AL$8+1,'Fleet'!$O8)-MAX(AL$7,'Fleet'!$G8))</x:f>
        <x:v>0</x:v>
      </x:c>
      <x:c r="AM11" s="34" t="n">
        <x:f>MAX(0,MIN(AM$8+1,'Fleet'!$O8)-MAX(AM$7,'Fleet'!$G8))</x:f>
        <x:v>0</x:v>
      </x:c>
      <x:c r="AN11" s="34" t="n">
        <x:f>MAX(0,MIN(AN$8+1,'Fleet'!$O8)-MAX(AN$7,'Fleet'!$G8))</x:f>
        <x:v>0</x:v>
      </x:c>
      <x:c r="AO11" s="34" t="n">
        <x:f>MAX(0,MIN(AO$8+1,'Fleet'!$O8)-MAX(AO$7,'Fleet'!$G8))</x:f>
        <x:v>0</x:v>
      </x:c>
      <x:c r="AP11" s="34" t="n">
        <x:f>MAX(0,MIN(AP$8+1,'Fleet'!$O8)-MAX(AP$7,'Fleet'!$G8))</x:f>
        <x:v>0</x:v>
      </x:c>
      <x:c r="AQ11" s="34" t="n">
        <x:f>MAX(0,MIN(AQ$8+1,'Fleet'!$O8)-MAX(AQ$7,'Fleet'!$G8))</x:f>
        <x:v>0</x:v>
      </x:c>
    </x:row>
    <x:row r="12" ht="21" customHeight="1">
      <x:c r="A12" s="2"/>
      <x:c r="B12" s="2"/>
      <x:c r="C12" s="5" t="str">
        <x:f>'Fleet'!C9</x:f>
        <x:v>Genco Courageous</x:v>
      </x:c>
      <x:c r="D12" s="5" t="str">
        <x:f>'Fleet'!D9</x:f>
        <x:v>Capesize</x:v>
      </x:c>
      <x:c r="E12" s="34" t="n">
        <x:f>MAX(0,MIN(E$8+1,'Fleet'!$O9)-MAX(E$7,'Fleet'!$G9))</x:f>
        <x:v>80</x:v>
      </x:c>
      <x:c r="F12" s="34" t="n">
        <x:f>MAX(0,MIN(F$8+1,'Fleet'!$O9)-MAX(F$7,'Fleet'!$G9))</x:f>
        <x:v>90</x:v>
      </x:c>
      <x:c r="G12" s="34" t="n">
        <x:f>MAX(0,MIN(G$8+1,'Fleet'!$O9)-MAX(G$7,'Fleet'!$G9))</x:f>
        <x:v>91</x:v>
      </x:c>
      <x:c r="H12" s="34" t="n">
        <x:f>MAX(0,MIN(H$8+1,'Fleet'!$O9)-MAX(H$7,'Fleet'!$G9))</x:f>
        <x:v>92</x:v>
      </x:c>
      <x:c r="I12" s="34" t="n">
        <x:f>MAX(0,MIN(I$8+1,'Fleet'!$O9)-MAX(I$7,'Fleet'!$G9))</x:f>
        <x:v>92</x:v>
      </x:c>
      <x:c r="J12" s="34" t="n">
        <x:f>MAX(0,MIN(J$8+1,'Fleet'!$O9)-MAX(J$7,'Fleet'!$G9))</x:f>
        <x:v>91</x:v>
      </x:c>
      <x:c r="K12" s="34" t="n">
        <x:f>MAX(0,MIN(K$8+1,'Fleet'!$O9)-MAX(K$7,'Fleet'!$G9))</x:f>
        <x:v>91</x:v>
      </x:c>
      <x:c r="L12" s="34" t="n">
        <x:f>MAX(0,MIN(L$8+1,'Fleet'!$O9)-MAX(L$7,'Fleet'!$G9))</x:f>
        <x:v>92</x:v>
      </x:c>
      <x:c r="M12" s="34" t="n">
        <x:f>MAX(0,MIN(M$8+1,'Fleet'!$O9)-MAX(M$7,'Fleet'!$G9))</x:f>
        <x:v>92</x:v>
      </x:c>
      <x:c r="N12" s="34" t="n">
        <x:f>MAX(0,MIN(N$8+1,'Fleet'!$O9)-MAX(N$7,'Fleet'!$G9))</x:f>
        <x:v>90</x:v>
      </x:c>
      <x:c r="O12" s="34" t="n">
        <x:f>MAX(0,MIN(O$8+1,'Fleet'!$O9)-MAX(O$7,'Fleet'!$G9))</x:f>
        <x:v>91</x:v>
      </x:c>
      <x:c r="P12" s="34" t="n">
        <x:f>MAX(0,MIN(P$8+1,'Fleet'!$O9)-MAX(P$7,'Fleet'!$G9))</x:f>
        <x:v>92</x:v>
      </x:c>
      <x:c r="Q12" s="34" t="n">
        <x:f>MAX(0,MIN(Q$8+1,'Fleet'!$O9)-MAX(Q$7,'Fleet'!$G9))</x:f>
        <x:v>365</x:v>
      </x:c>
      <x:c r="R12" s="34" t="n">
        <x:f>MAX(0,MIN(R$8+1,'Fleet'!$O9)-MAX(R$7,'Fleet'!$G9))</x:f>
        <x:v>365</x:v>
      </x:c>
      <x:c r="S12" s="34" t="n">
        <x:f>MAX(0,MIN(S$8+1,'Fleet'!$O9)-MAX(S$7,'Fleet'!$G9))</x:f>
        <x:v>366</x:v>
      </x:c>
      <x:c r="T12" s="34" t="n">
        <x:f>MAX(0,MIN(T$8+1,'Fleet'!$O9)-MAX(T$7,'Fleet'!$G9))</x:f>
        <x:v>365</x:v>
      </x:c>
      <x:c r="U12" s="34" t="n">
        <x:f>MAX(0,MIN(U$8+1,'Fleet'!$O9)-MAX(U$7,'Fleet'!$G9))</x:f>
        <x:v>365</x:v>
      </x:c>
      <x:c r="V12" s="34" t="n">
        <x:f>MAX(0,MIN(V$8+1,'Fleet'!$O9)-MAX(V$7,'Fleet'!$G9))</x:f>
        <x:v>365</x:v>
      </x:c>
      <x:c r="W12" s="34" t="n">
        <x:f>MAX(0,MIN(W$8+1,'Fleet'!$O9)-MAX(W$7,'Fleet'!$G9))</x:f>
        <x:v>366</x:v>
      </x:c>
      <x:c r="X12" s="34" t="n">
        <x:f>MAX(0,MIN(X$8+1,'Fleet'!$O9)-MAX(X$7,'Fleet'!$G9))</x:f>
        <x:v>365</x:v>
      </x:c>
      <x:c r="Y12" s="34" t="n">
        <x:f>MAX(0,MIN(Y$8+1,'Fleet'!$O9)-MAX(Y$7,'Fleet'!$G9))</x:f>
        <x:v>365</x:v>
      </x:c>
      <x:c r="Z12" s="34" t="n">
        <x:f>MAX(0,MIN(Z$8+1,'Fleet'!$O9)-MAX(Z$7,'Fleet'!$G9))</x:f>
        <x:v>365</x:v>
      </x:c>
      <x:c r="AA12" s="34" t="n">
        <x:f>MAX(0,MIN(AA$8+1,'Fleet'!$O9)-MAX(AA$7,'Fleet'!$G9))</x:f>
        <x:v>366</x:v>
      </x:c>
      <x:c r="AB12" s="34" t="n">
        <x:f>MAX(0,MIN(AB$8+1,'Fleet'!$O9)-MAX(AB$7,'Fleet'!$G9))</x:f>
        <x:v>365</x:v>
      </x:c>
      <x:c r="AC12" s="34" t="n">
        <x:f>MAX(0,MIN(AC$8+1,'Fleet'!$O9)-MAX(AC$7,'Fleet'!$G9))</x:f>
        <x:v>365</x:v>
      </x:c>
      <x:c r="AD12" s="34" t="n">
        <x:f>MAX(0,MIN(AD$8+1,'Fleet'!$O9)-MAX(AD$7,'Fleet'!$G9))</x:f>
        <x:v>365</x:v>
      </x:c>
      <x:c r="AE12" s="34" t="n">
        <x:f>MAX(0,MIN(AE$8+1,'Fleet'!$O9)-MAX(AE$7,'Fleet'!$G9))</x:f>
        <x:v>366</x:v>
      </x:c>
      <x:c r="AF12" s="34" t="n">
        <x:f>MAX(0,MIN(AF$8+1,'Fleet'!$O9)-MAX(AF$7,'Fleet'!$G9))</x:f>
        <x:v>273</x:v>
      </x:c>
      <x:c r="AG12" s="34" t="n">
        <x:f>MAX(0,MIN(AG$8+1,'Fleet'!$O9)-MAX(AG$7,'Fleet'!$G9))</x:f>
        <x:v>0</x:v>
      </x:c>
      <x:c r="AH12" s="34" t="n">
        <x:f>MAX(0,MIN(AH$8+1,'Fleet'!$O9)-MAX(AH$7,'Fleet'!$G9))</x:f>
        <x:v>0</x:v>
      </x:c>
      <x:c r="AI12" s="34" t="n">
        <x:f>MAX(0,MIN(AI$8+1,'Fleet'!$O9)-MAX(AI$7,'Fleet'!$G9))</x:f>
        <x:v>0</x:v>
      </x:c>
      <x:c r="AJ12" s="34" t="n">
        <x:f>MAX(0,MIN(AJ$8+1,'Fleet'!$O9)-MAX(AJ$7,'Fleet'!$G9))</x:f>
        <x:v>0</x:v>
      </x:c>
      <x:c r="AK12" s="34" t="n">
        <x:f>MAX(0,MIN(AK$8+1,'Fleet'!$O9)-MAX(AK$7,'Fleet'!$G9))</x:f>
        <x:v>0</x:v>
      </x:c>
      <x:c r="AL12" s="34" t="n">
        <x:f>MAX(0,MIN(AL$8+1,'Fleet'!$O9)-MAX(AL$7,'Fleet'!$G9))</x:f>
        <x:v>0</x:v>
      </x:c>
      <x:c r="AM12" s="34" t="n">
        <x:f>MAX(0,MIN(AM$8+1,'Fleet'!$O9)-MAX(AM$7,'Fleet'!$G9))</x:f>
        <x:v>0</x:v>
      </x:c>
      <x:c r="AN12" s="34" t="n">
        <x:f>MAX(0,MIN(AN$8+1,'Fleet'!$O9)-MAX(AN$7,'Fleet'!$G9))</x:f>
        <x:v>0</x:v>
      </x:c>
      <x:c r="AO12" s="34" t="n">
        <x:f>MAX(0,MIN(AO$8+1,'Fleet'!$O9)-MAX(AO$7,'Fleet'!$G9))</x:f>
        <x:v>0</x:v>
      </x:c>
      <x:c r="AP12" s="34" t="n">
        <x:f>MAX(0,MIN(AP$8+1,'Fleet'!$O9)-MAX(AP$7,'Fleet'!$G9))</x:f>
        <x:v>0</x:v>
      </x:c>
      <x:c r="AQ12" s="34" t="n">
        <x:f>MAX(0,MIN(AQ$8+1,'Fleet'!$O9)-MAX(AQ$7,'Fleet'!$G9))</x:f>
        <x:v>0</x:v>
      </x:c>
    </x:row>
    <x:row r="13" ht="21" customHeight="1">
      <x:c r="A13" s="2"/>
      <x:c r="B13" s="2"/>
      <x:c r="C13" s="5" t="str">
        <x:f>'Fleet'!C10</x:f>
        <x:v>Genco Volunteer</x:v>
      </x:c>
      <x:c r="D13" s="5" t="str">
        <x:f>'Fleet'!D10</x:f>
        <x:v>Capesize</x:v>
      </x:c>
      <x:c r="E13" s="34" t="n">
        <x:f>MAX(0,MIN(E$8+1,'Fleet'!$O10)-MAX(E$7,'Fleet'!$G10))</x:f>
        <x:v>80</x:v>
      </x:c>
      <x:c r="F13" s="34" t="n">
        <x:f>MAX(0,MIN(F$8+1,'Fleet'!$O10)-MAX(F$7,'Fleet'!$G10))</x:f>
        <x:v>90</x:v>
      </x:c>
      <x:c r="G13" s="34" t="n">
        <x:f>MAX(0,MIN(G$8+1,'Fleet'!$O10)-MAX(G$7,'Fleet'!$G10))</x:f>
        <x:v>91</x:v>
      </x:c>
      <x:c r="H13" s="34" t="n">
        <x:f>MAX(0,MIN(H$8+1,'Fleet'!$O10)-MAX(H$7,'Fleet'!$G10))</x:f>
        <x:v>92</x:v>
      </x:c>
      <x:c r="I13" s="34" t="n">
        <x:f>MAX(0,MIN(I$8+1,'Fleet'!$O10)-MAX(I$7,'Fleet'!$G10))</x:f>
        <x:v>92</x:v>
      </x:c>
      <x:c r="J13" s="34" t="n">
        <x:f>MAX(0,MIN(J$8+1,'Fleet'!$O10)-MAX(J$7,'Fleet'!$G10))</x:f>
        <x:v>91</x:v>
      </x:c>
      <x:c r="K13" s="34" t="n">
        <x:f>MAX(0,MIN(K$8+1,'Fleet'!$O10)-MAX(K$7,'Fleet'!$G10))</x:f>
        <x:v>91</x:v>
      </x:c>
      <x:c r="L13" s="34" t="n">
        <x:f>MAX(0,MIN(L$8+1,'Fleet'!$O10)-MAX(L$7,'Fleet'!$G10))</x:f>
        <x:v>92</x:v>
      </x:c>
      <x:c r="M13" s="34" t="n">
        <x:f>MAX(0,MIN(M$8+1,'Fleet'!$O10)-MAX(M$7,'Fleet'!$G10))</x:f>
        <x:v>92</x:v>
      </x:c>
      <x:c r="N13" s="34" t="n">
        <x:f>MAX(0,MIN(N$8+1,'Fleet'!$O10)-MAX(N$7,'Fleet'!$G10))</x:f>
        <x:v>90</x:v>
      </x:c>
      <x:c r="O13" s="34" t="n">
        <x:f>MAX(0,MIN(O$8+1,'Fleet'!$O10)-MAX(O$7,'Fleet'!$G10))</x:f>
        <x:v>91</x:v>
      </x:c>
      <x:c r="P13" s="34" t="n">
        <x:f>MAX(0,MIN(P$8+1,'Fleet'!$O10)-MAX(P$7,'Fleet'!$G10))</x:f>
        <x:v>92</x:v>
      </x:c>
      <x:c r="Q13" s="34" t="n">
        <x:f>MAX(0,MIN(Q$8+1,'Fleet'!$O10)-MAX(Q$7,'Fleet'!$G10))</x:f>
        <x:v>365</x:v>
      </x:c>
      <x:c r="R13" s="34" t="n">
        <x:f>MAX(0,MIN(R$8+1,'Fleet'!$O10)-MAX(R$7,'Fleet'!$G10))</x:f>
        <x:v>365</x:v>
      </x:c>
      <x:c r="S13" s="34" t="n">
        <x:f>MAX(0,MIN(S$8+1,'Fleet'!$O10)-MAX(S$7,'Fleet'!$G10))</x:f>
        <x:v>366</x:v>
      </x:c>
      <x:c r="T13" s="34" t="n">
        <x:f>MAX(0,MIN(T$8+1,'Fleet'!$O10)-MAX(T$7,'Fleet'!$G10))</x:f>
        <x:v>365</x:v>
      </x:c>
      <x:c r="U13" s="34" t="n">
        <x:f>MAX(0,MIN(U$8+1,'Fleet'!$O10)-MAX(U$7,'Fleet'!$G10))</x:f>
        <x:v>365</x:v>
      </x:c>
      <x:c r="V13" s="34" t="n">
        <x:f>MAX(0,MIN(V$8+1,'Fleet'!$O10)-MAX(V$7,'Fleet'!$G10))</x:f>
        <x:v>365</x:v>
      </x:c>
      <x:c r="W13" s="34" t="n">
        <x:f>MAX(0,MIN(W$8+1,'Fleet'!$O10)-MAX(W$7,'Fleet'!$G10))</x:f>
        <x:v>366</x:v>
      </x:c>
      <x:c r="X13" s="34" t="n">
        <x:f>MAX(0,MIN(X$8+1,'Fleet'!$O10)-MAX(X$7,'Fleet'!$G10))</x:f>
        <x:v>365</x:v>
      </x:c>
      <x:c r="Y13" s="34" t="n">
        <x:f>MAX(0,MIN(Y$8+1,'Fleet'!$O10)-MAX(Y$7,'Fleet'!$G10))</x:f>
        <x:v>365</x:v>
      </x:c>
      <x:c r="Z13" s="34" t="n">
        <x:f>MAX(0,MIN(Z$8+1,'Fleet'!$O10)-MAX(Z$7,'Fleet'!$G10))</x:f>
        <x:v>365</x:v>
      </x:c>
      <x:c r="AA13" s="34" t="n">
        <x:f>MAX(0,MIN(AA$8+1,'Fleet'!$O10)-MAX(AA$7,'Fleet'!$G10))</x:f>
        <x:v>366</x:v>
      </x:c>
      <x:c r="AB13" s="34" t="n">
        <x:f>MAX(0,MIN(AB$8+1,'Fleet'!$O10)-MAX(AB$7,'Fleet'!$G10))</x:f>
        <x:v>365</x:v>
      </x:c>
      <x:c r="AC13" s="34" t="n">
        <x:f>MAX(0,MIN(AC$8+1,'Fleet'!$O10)-MAX(AC$7,'Fleet'!$G10))</x:f>
        <x:v>365</x:v>
      </x:c>
      <x:c r="AD13" s="34" t="n">
        <x:f>MAX(0,MIN(AD$8+1,'Fleet'!$O10)-MAX(AD$7,'Fleet'!$G10))</x:f>
        <x:v>365</x:v>
      </x:c>
      <x:c r="AE13" s="34" t="n">
        <x:f>MAX(0,MIN(AE$8+1,'Fleet'!$O10)-MAX(AE$7,'Fleet'!$G10))</x:f>
        <x:v>274</x:v>
      </x:c>
      <x:c r="AF13" s="34" t="n">
        <x:f>MAX(0,MIN(AF$8+1,'Fleet'!$O10)-MAX(AF$7,'Fleet'!$G10))</x:f>
        <x:v>0</x:v>
      </x:c>
      <x:c r="AG13" s="34" t="n">
        <x:f>MAX(0,MIN(AG$8+1,'Fleet'!$O10)-MAX(AG$7,'Fleet'!$G10))</x:f>
        <x:v>0</x:v>
      </x:c>
      <x:c r="AH13" s="34" t="n">
        <x:f>MAX(0,MIN(AH$8+1,'Fleet'!$O10)-MAX(AH$7,'Fleet'!$G10))</x:f>
        <x:v>0</x:v>
      </x:c>
      <x:c r="AI13" s="34" t="n">
        <x:f>MAX(0,MIN(AI$8+1,'Fleet'!$O10)-MAX(AI$7,'Fleet'!$G10))</x:f>
        <x:v>0</x:v>
      </x:c>
      <x:c r="AJ13" s="34" t="n">
        <x:f>MAX(0,MIN(AJ$8+1,'Fleet'!$O10)-MAX(AJ$7,'Fleet'!$G10))</x:f>
        <x:v>0</x:v>
      </x:c>
      <x:c r="AK13" s="34" t="n">
        <x:f>MAX(0,MIN(AK$8+1,'Fleet'!$O10)-MAX(AK$7,'Fleet'!$G10))</x:f>
        <x:v>0</x:v>
      </x:c>
      <x:c r="AL13" s="34" t="n">
        <x:f>MAX(0,MIN(AL$8+1,'Fleet'!$O10)-MAX(AL$7,'Fleet'!$G10))</x:f>
        <x:v>0</x:v>
      </x:c>
      <x:c r="AM13" s="34" t="n">
        <x:f>MAX(0,MIN(AM$8+1,'Fleet'!$O10)-MAX(AM$7,'Fleet'!$G10))</x:f>
        <x:v>0</x:v>
      </x:c>
      <x:c r="AN13" s="34" t="n">
        <x:f>MAX(0,MIN(AN$8+1,'Fleet'!$O10)-MAX(AN$7,'Fleet'!$G10))</x:f>
        <x:v>0</x:v>
      </x:c>
      <x:c r="AO13" s="34" t="n">
        <x:f>MAX(0,MIN(AO$8+1,'Fleet'!$O10)-MAX(AO$7,'Fleet'!$G10))</x:f>
        <x:v>0</x:v>
      </x:c>
      <x:c r="AP13" s="34" t="n">
        <x:f>MAX(0,MIN(AP$8+1,'Fleet'!$O10)-MAX(AP$7,'Fleet'!$G10))</x:f>
        <x:v>0</x:v>
      </x:c>
      <x:c r="AQ13" s="34" t="n">
        <x:f>MAX(0,MIN(AQ$8+1,'Fleet'!$O10)-MAX(AQ$7,'Fleet'!$G10))</x:f>
        <x:v>0</x:v>
      </x:c>
    </x:row>
    <x:row r="14" ht="21" customHeight="1">
      <x:c r="A14" s="2"/>
      <x:c r="B14" s="2"/>
      <x:c r="C14" s="5" t="str">
        <x:f>'Fleet'!C11</x:f>
        <x:v>Genco Reliance</x:v>
      </x:c>
      <x:c r="D14" s="5" t="str">
        <x:f>'Fleet'!D11</x:f>
        <x:v>Capesize</x:v>
      </x:c>
      <x:c r="E14" s="34" t="n">
        <x:f>MAX(0,MIN(E$8+1,'Fleet'!$O11)-MAX(E$7,'Fleet'!$G11))</x:f>
        <x:v>80</x:v>
      </x:c>
      <x:c r="F14" s="34" t="n">
        <x:f>MAX(0,MIN(F$8+1,'Fleet'!$O11)-MAX(F$7,'Fleet'!$G11))</x:f>
        <x:v>90</x:v>
      </x:c>
      <x:c r="G14" s="34" t="n">
        <x:f>MAX(0,MIN(G$8+1,'Fleet'!$O11)-MAX(G$7,'Fleet'!$G11))</x:f>
        <x:v>91</x:v>
      </x:c>
      <x:c r="H14" s="34" t="n">
        <x:f>MAX(0,MIN(H$8+1,'Fleet'!$O11)-MAX(H$7,'Fleet'!$G11))</x:f>
        <x:v>92</x:v>
      </x:c>
      <x:c r="I14" s="34" t="n">
        <x:f>MAX(0,MIN(I$8+1,'Fleet'!$O11)-MAX(I$7,'Fleet'!$G11))</x:f>
        <x:v>92</x:v>
      </x:c>
      <x:c r="J14" s="34" t="n">
        <x:f>MAX(0,MIN(J$8+1,'Fleet'!$O11)-MAX(J$7,'Fleet'!$G11))</x:f>
        <x:v>91</x:v>
      </x:c>
      <x:c r="K14" s="34" t="n">
        <x:f>MAX(0,MIN(K$8+1,'Fleet'!$O11)-MAX(K$7,'Fleet'!$G11))</x:f>
        <x:v>91</x:v>
      </x:c>
      <x:c r="L14" s="34" t="n">
        <x:f>MAX(0,MIN(L$8+1,'Fleet'!$O11)-MAX(L$7,'Fleet'!$G11))</x:f>
        <x:v>92</x:v>
      </x:c>
      <x:c r="M14" s="34" t="n">
        <x:f>MAX(0,MIN(M$8+1,'Fleet'!$O11)-MAX(M$7,'Fleet'!$G11))</x:f>
        <x:v>92</x:v>
      </x:c>
      <x:c r="N14" s="34" t="n">
        <x:f>MAX(0,MIN(N$8+1,'Fleet'!$O11)-MAX(N$7,'Fleet'!$G11))</x:f>
        <x:v>90</x:v>
      </x:c>
      <x:c r="O14" s="34" t="n">
        <x:f>MAX(0,MIN(O$8+1,'Fleet'!$O11)-MAX(O$7,'Fleet'!$G11))</x:f>
        <x:v>91</x:v>
      </x:c>
      <x:c r="P14" s="34" t="n">
        <x:f>MAX(0,MIN(P$8+1,'Fleet'!$O11)-MAX(P$7,'Fleet'!$G11))</x:f>
        <x:v>92</x:v>
      </x:c>
      <x:c r="Q14" s="34" t="n">
        <x:f>MAX(0,MIN(Q$8+1,'Fleet'!$O11)-MAX(Q$7,'Fleet'!$G11))</x:f>
        <x:v>365</x:v>
      </x:c>
      <x:c r="R14" s="34" t="n">
        <x:f>MAX(0,MIN(R$8+1,'Fleet'!$O11)-MAX(R$7,'Fleet'!$G11))</x:f>
        <x:v>365</x:v>
      </x:c>
      <x:c r="S14" s="34" t="n">
        <x:f>MAX(0,MIN(S$8+1,'Fleet'!$O11)-MAX(S$7,'Fleet'!$G11))</x:f>
        <x:v>366</x:v>
      </x:c>
      <x:c r="T14" s="34" t="n">
        <x:f>MAX(0,MIN(T$8+1,'Fleet'!$O11)-MAX(T$7,'Fleet'!$G11))</x:f>
        <x:v>365</x:v>
      </x:c>
      <x:c r="U14" s="34" t="n">
        <x:f>MAX(0,MIN(U$8+1,'Fleet'!$O11)-MAX(U$7,'Fleet'!$G11))</x:f>
        <x:v>365</x:v>
      </x:c>
      <x:c r="V14" s="34" t="n">
        <x:f>MAX(0,MIN(V$8+1,'Fleet'!$O11)-MAX(V$7,'Fleet'!$G11))</x:f>
        <x:v>365</x:v>
      </x:c>
      <x:c r="W14" s="34" t="n">
        <x:f>MAX(0,MIN(W$8+1,'Fleet'!$O11)-MAX(W$7,'Fleet'!$G11))</x:f>
        <x:v>366</x:v>
      </x:c>
      <x:c r="X14" s="34" t="n">
        <x:f>MAX(0,MIN(X$8+1,'Fleet'!$O11)-MAX(X$7,'Fleet'!$G11))</x:f>
        <x:v>365</x:v>
      </x:c>
      <x:c r="Y14" s="34" t="n">
        <x:f>MAX(0,MIN(Y$8+1,'Fleet'!$O11)-MAX(Y$7,'Fleet'!$G11))</x:f>
        <x:v>365</x:v>
      </x:c>
      <x:c r="Z14" s="34" t="n">
        <x:f>MAX(0,MIN(Z$8+1,'Fleet'!$O11)-MAX(Z$7,'Fleet'!$G11))</x:f>
        <x:v>365</x:v>
      </x:c>
      <x:c r="AA14" s="34" t="n">
        <x:f>MAX(0,MIN(AA$8+1,'Fleet'!$O11)-MAX(AA$7,'Fleet'!$G11))</x:f>
        <x:v>366</x:v>
      </x:c>
      <x:c r="AB14" s="34" t="n">
        <x:f>MAX(0,MIN(AB$8+1,'Fleet'!$O11)-MAX(AB$7,'Fleet'!$G11))</x:f>
        <x:v>273</x:v>
      </x:c>
      <x:c r="AC14" s="34" t="n">
        <x:f>MAX(0,MIN(AC$8+1,'Fleet'!$O11)-MAX(AC$7,'Fleet'!$G11))</x:f>
        <x:v>0</x:v>
      </x:c>
      <x:c r="AD14" s="34" t="n">
        <x:f>MAX(0,MIN(AD$8+1,'Fleet'!$O11)-MAX(AD$7,'Fleet'!$G11))</x:f>
        <x:v>0</x:v>
      </x:c>
      <x:c r="AE14" s="34" t="n">
        <x:f>MAX(0,MIN(AE$8+1,'Fleet'!$O11)-MAX(AE$7,'Fleet'!$G11))</x:f>
        <x:v>0</x:v>
      </x:c>
      <x:c r="AF14" s="34" t="n">
        <x:f>MAX(0,MIN(AF$8+1,'Fleet'!$O11)-MAX(AF$7,'Fleet'!$G11))</x:f>
        <x:v>0</x:v>
      </x:c>
      <x:c r="AG14" s="34" t="n">
        <x:f>MAX(0,MIN(AG$8+1,'Fleet'!$O11)-MAX(AG$7,'Fleet'!$G11))</x:f>
        <x:v>0</x:v>
      </x:c>
      <x:c r="AH14" s="34" t="n">
        <x:f>MAX(0,MIN(AH$8+1,'Fleet'!$O11)-MAX(AH$7,'Fleet'!$G11))</x:f>
        <x:v>0</x:v>
      </x:c>
      <x:c r="AI14" s="34" t="n">
        <x:f>MAX(0,MIN(AI$8+1,'Fleet'!$O11)-MAX(AI$7,'Fleet'!$G11))</x:f>
        <x:v>0</x:v>
      </x:c>
      <x:c r="AJ14" s="34" t="n">
        <x:f>MAX(0,MIN(AJ$8+1,'Fleet'!$O11)-MAX(AJ$7,'Fleet'!$G11))</x:f>
        <x:v>0</x:v>
      </x:c>
      <x:c r="AK14" s="34" t="n">
        <x:f>MAX(0,MIN(AK$8+1,'Fleet'!$O11)-MAX(AK$7,'Fleet'!$G11))</x:f>
        <x:v>0</x:v>
      </x:c>
      <x:c r="AL14" s="34" t="n">
        <x:f>MAX(0,MIN(AL$8+1,'Fleet'!$O11)-MAX(AL$7,'Fleet'!$G11))</x:f>
        <x:v>0</x:v>
      </x:c>
      <x:c r="AM14" s="34" t="n">
        <x:f>MAX(0,MIN(AM$8+1,'Fleet'!$O11)-MAX(AM$7,'Fleet'!$G11))</x:f>
        <x:v>0</x:v>
      </x:c>
      <x:c r="AN14" s="34" t="n">
        <x:f>MAX(0,MIN(AN$8+1,'Fleet'!$O11)-MAX(AN$7,'Fleet'!$G11))</x:f>
        <x:v>0</x:v>
      </x:c>
      <x:c r="AO14" s="34" t="n">
        <x:f>MAX(0,MIN(AO$8+1,'Fleet'!$O11)-MAX(AO$7,'Fleet'!$G11))</x:f>
        <x:v>0</x:v>
      </x:c>
      <x:c r="AP14" s="34" t="n">
        <x:f>MAX(0,MIN(AP$8+1,'Fleet'!$O11)-MAX(AP$7,'Fleet'!$G11))</x:f>
        <x:v>0</x:v>
      </x:c>
      <x:c r="AQ14" s="34" t="n">
        <x:f>MAX(0,MIN(AQ$8+1,'Fleet'!$O11)-MAX(AQ$7,'Fleet'!$G11))</x:f>
        <x:v>0</x:v>
      </x:c>
    </x:row>
    <x:row r="15" ht="21" customHeight="1">
      <x:c r="A15" s="2"/>
      <x:c r="B15" s="2"/>
      <x:c r="C15" s="5" t="str">
        <x:f>'Fleet'!C12</x:f>
        <x:v>Genco Resolute</x:v>
      </x:c>
      <x:c r="D15" s="5" t="str">
        <x:f>'Fleet'!D12</x:f>
        <x:v>Capesize</x:v>
      </x:c>
      <x:c r="E15" s="34" t="n">
        <x:f>MAX(0,MIN(E$8+1,'Fleet'!$O12)-MAX(E$7,'Fleet'!$G12))</x:f>
        <x:v>80</x:v>
      </x:c>
      <x:c r="F15" s="34" t="n">
        <x:f>MAX(0,MIN(F$8+1,'Fleet'!$O12)-MAX(F$7,'Fleet'!$G12))</x:f>
        <x:v>90</x:v>
      </x:c>
      <x:c r="G15" s="34" t="n">
        <x:f>MAX(0,MIN(G$8+1,'Fleet'!$O12)-MAX(G$7,'Fleet'!$G12))</x:f>
        <x:v>91</x:v>
      </x:c>
      <x:c r="H15" s="34" t="n">
        <x:f>MAX(0,MIN(H$8+1,'Fleet'!$O12)-MAX(H$7,'Fleet'!$G12))</x:f>
        <x:v>92</x:v>
      </x:c>
      <x:c r="I15" s="34" t="n">
        <x:f>MAX(0,MIN(I$8+1,'Fleet'!$O12)-MAX(I$7,'Fleet'!$G12))</x:f>
        <x:v>92</x:v>
      </x:c>
      <x:c r="J15" s="34" t="n">
        <x:f>MAX(0,MIN(J$8+1,'Fleet'!$O12)-MAX(J$7,'Fleet'!$G12))</x:f>
        <x:v>91</x:v>
      </x:c>
      <x:c r="K15" s="34" t="n">
        <x:f>MAX(0,MIN(K$8+1,'Fleet'!$O12)-MAX(K$7,'Fleet'!$G12))</x:f>
        <x:v>91</x:v>
      </x:c>
      <x:c r="L15" s="34" t="n">
        <x:f>MAX(0,MIN(L$8+1,'Fleet'!$O12)-MAX(L$7,'Fleet'!$G12))</x:f>
        <x:v>92</x:v>
      </x:c>
      <x:c r="M15" s="34" t="n">
        <x:f>MAX(0,MIN(M$8+1,'Fleet'!$O12)-MAX(M$7,'Fleet'!$G12))</x:f>
        <x:v>92</x:v>
      </x:c>
      <x:c r="N15" s="34" t="n">
        <x:f>MAX(0,MIN(N$8+1,'Fleet'!$O12)-MAX(N$7,'Fleet'!$G12))</x:f>
        <x:v>90</x:v>
      </x:c>
      <x:c r="O15" s="34" t="n">
        <x:f>MAX(0,MIN(O$8+1,'Fleet'!$O12)-MAX(O$7,'Fleet'!$G12))</x:f>
        <x:v>91</x:v>
      </x:c>
      <x:c r="P15" s="34" t="n">
        <x:f>MAX(0,MIN(P$8+1,'Fleet'!$O12)-MAX(P$7,'Fleet'!$G12))</x:f>
        <x:v>92</x:v>
      </x:c>
      <x:c r="Q15" s="34" t="n">
        <x:f>MAX(0,MIN(Q$8+1,'Fleet'!$O12)-MAX(Q$7,'Fleet'!$G12))</x:f>
        <x:v>365</x:v>
      </x:c>
      <x:c r="R15" s="34" t="n">
        <x:f>MAX(0,MIN(R$8+1,'Fleet'!$O12)-MAX(R$7,'Fleet'!$G12))</x:f>
        <x:v>365</x:v>
      </x:c>
      <x:c r="S15" s="34" t="n">
        <x:f>MAX(0,MIN(S$8+1,'Fleet'!$O12)-MAX(S$7,'Fleet'!$G12))</x:f>
        <x:v>366</x:v>
      </x:c>
      <x:c r="T15" s="34" t="n">
        <x:f>MAX(0,MIN(T$8+1,'Fleet'!$O12)-MAX(T$7,'Fleet'!$G12))</x:f>
        <x:v>365</x:v>
      </x:c>
      <x:c r="U15" s="34" t="n">
        <x:f>MAX(0,MIN(U$8+1,'Fleet'!$O12)-MAX(U$7,'Fleet'!$G12))</x:f>
        <x:v>365</x:v>
      </x:c>
      <x:c r="V15" s="34" t="n">
        <x:f>MAX(0,MIN(V$8+1,'Fleet'!$O12)-MAX(V$7,'Fleet'!$G12))</x:f>
        <x:v>365</x:v>
      </x:c>
      <x:c r="W15" s="34" t="n">
        <x:f>MAX(0,MIN(W$8+1,'Fleet'!$O12)-MAX(W$7,'Fleet'!$G12))</x:f>
        <x:v>366</x:v>
      </x:c>
      <x:c r="X15" s="34" t="n">
        <x:f>MAX(0,MIN(X$8+1,'Fleet'!$O12)-MAX(X$7,'Fleet'!$G12))</x:f>
        <x:v>365</x:v>
      </x:c>
      <x:c r="Y15" s="34" t="n">
        <x:f>MAX(0,MIN(Y$8+1,'Fleet'!$O12)-MAX(Y$7,'Fleet'!$G12))</x:f>
        <x:v>365</x:v>
      </x:c>
      <x:c r="Z15" s="34" t="n">
        <x:f>MAX(0,MIN(Z$8+1,'Fleet'!$O12)-MAX(Z$7,'Fleet'!$G12))</x:f>
        <x:v>365</x:v>
      </x:c>
      <x:c r="AA15" s="34" t="n">
        <x:f>MAX(0,MIN(AA$8+1,'Fleet'!$O12)-MAX(AA$7,'Fleet'!$G12))</x:f>
        <x:v>274</x:v>
      </x:c>
      <x:c r="AB15" s="34" t="n">
        <x:f>MAX(0,MIN(AB$8+1,'Fleet'!$O12)-MAX(AB$7,'Fleet'!$G12))</x:f>
        <x:v>0</x:v>
      </x:c>
      <x:c r="AC15" s="34" t="n">
        <x:f>MAX(0,MIN(AC$8+1,'Fleet'!$O12)-MAX(AC$7,'Fleet'!$G12))</x:f>
        <x:v>0</x:v>
      </x:c>
      <x:c r="AD15" s="34" t="n">
        <x:f>MAX(0,MIN(AD$8+1,'Fleet'!$O12)-MAX(AD$7,'Fleet'!$G12))</x:f>
        <x:v>0</x:v>
      </x:c>
      <x:c r="AE15" s="34" t="n">
        <x:f>MAX(0,MIN(AE$8+1,'Fleet'!$O12)-MAX(AE$7,'Fleet'!$G12))</x:f>
        <x:v>0</x:v>
      </x:c>
      <x:c r="AF15" s="34" t="n">
        <x:f>MAX(0,MIN(AF$8+1,'Fleet'!$O12)-MAX(AF$7,'Fleet'!$G12))</x:f>
        <x:v>0</x:v>
      </x:c>
      <x:c r="AG15" s="34" t="n">
        <x:f>MAX(0,MIN(AG$8+1,'Fleet'!$O12)-MAX(AG$7,'Fleet'!$G12))</x:f>
        <x:v>0</x:v>
      </x:c>
      <x:c r="AH15" s="34" t="n">
        <x:f>MAX(0,MIN(AH$8+1,'Fleet'!$O12)-MAX(AH$7,'Fleet'!$G12))</x:f>
        <x:v>0</x:v>
      </x:c>
      <x:c r="AI15" s="34" t="n">
        <x:f>MAX(0,MIN(AI$8+1,'Fleet'!$O12)-MAX(AI$7,'Fleet'!$G12))</x:f>
        <x:v>0</x:v>
      </x:c>
      <x:c r="AJ15" s="34" t="n">
        <x:f>MAX(0,MIN(AJ$8+1,'Fleet'!$O12)-MAX(AJ$7,'Fleet'!$G12))</x:f>
        <x:v>0</x:v>
      </x:c>
      <x:c r="AK15" s="34" t="n">
        <x:f>MAX(0,MIN(AK$8+1,'Fleet'!$O12)-MAX(AK$7,'Fleet'!$G12))</x:f>
        <x:v>0</x:v>
      </x:c>
      <x:c r="AL15" s="34" t="n">
        <x:f>MAX(0,MIN(AL$8+1,'Fleet'!$O12)-MAX(AL$7,'Fleet'!$G12))</x:f>
        <x:v>0</x:v>
      </x:c>
      <x:c r="AM15" s="34" t="n">
        <x:f>MAX(0,MIN(AM$8+1,'Fleet'!$O12)-MAX(AM$7,'Fleet'!$G12))</x:f>
        <x:v>0</x:v>
      </x:c>
      <x:c r="AN15" s="34" t="n">
        <x:f>MAX(0,MIN(AN$8+1,'Fleet'!$O12)-MAX(AN$7,'Fleet'!$G12))</x:f>
        <x:v>0</x:v>
      </x:c>
      <x:c r="AO15" s="34" t="n">
        <x:f>MAX(0,MIN(AO$8+1,'Fleet'!$O12)-MAX(AO$7,'Fleet'!$G12))</x:f>
        <x:v>0</x:v>
      </x:c>
      <x:c r="AP15" s="34" t="n">
        <x:f>MAX(0,MIN(AP$8+1,'Fleet'!$O12)-MAX(AP$7,'Fleet'!$G12))</x:f>
        <x:v>0</x:v>
      </x:c>
      <x:c r="AQ15" s="34" t="n">
        <x:f>MAX(0,MIN(AQ$8+1,'Fleet'!$O12)-MAX(AQ$7,'Fleet'!$G12))</x:f>
        <x:v>0</x:v>
      </x:c>
    </x:row>
    <x:row r="16" ht="21" customHeight="1">
      <x:c r="A16" s="2"/>
      <x:c r="B16" s="2"/>
      <x:c r="C16" s="5" t="str">
        <x:f>'Fleet'!C13</x:f>
        <x:v>Genco Endeavour</x:v>
      </x:c>
      <x:c r="D16" s="5" t="str">
        <x:f>'Fleet'!D13</x:f>
        <x:v>Capesize</x:v>
      </x:c>
      <x:c r="E16" s="34" t="n">
        <x:f>MAX(0,MIN(E$8+1,'Fleet'!$O13)-MAX(E$7,'Fleet'!$G13))</x:f>
        <x:v>80</x:v>
      </x:c>
      <x:c r="F16" s="34" t="n">
        <x:f>MAX(0,MIN(F$8+1,'Fleet'!$O13)-MAX(F$7,'Fleet'!$G13))</x:f>
        <x:v>90</x:v>
      </x:c>
      <x:c r="G16" s="34" t="n">
        <x:f>MAX(0,MIN(G$8+1,'Fleet'!$O13)-MAX(G$7,'Fleet'!$G13))</x:f>
        <x:v>91</x:v>
      </x:c>
      <x:c r="H16" s="34" t="n">
        <x:f>MAX(0,MIN(H$8+1,'Fleet'!$O13)-MAX(H$7,'Fleet'!$G13))</x:f>
        <x:v>92</x:v>
      </x:c>
      <x:c r="I16" s="34" t="n">
        <x:f>MAX(0,MIN(I$8+1,'Fleet'!$O13)-MAX(I$7,'Fleet'!$G13))</x:f>
        <x:v>92</x:v>
      </x:c>
      <x:c r="J16" s="34" t="n">
        <x:f>MAX(0,MIN(J$8+1,'Fleet'!$O13)-MAX(J$7,'Fleet'!$G13))</x:f>
        <x:v>91</x:v>
      </x:c>
      <x:c r="K16" s="34" t="n">
        <x:f>MAX(0,MIN(K$8+1,'Fleet'!$O13)-MAX(K$7,'Fleet'!$G13))</x:f>
        <x:v>91</x:v>
      </x:c>
      <x:c r="L16" s="34" t="n">
        <x:f>MAX(0,MIN(L$8+1,'Fleet'!$O13)-MAX(L$7,'Fleet'!$G13))</x:f>
        <x:v>92</x:v>
      </x:c>
      <x:c r="M16" s="34" t="n">
        <x:f>MAX(0,MIN(M$8+1,'Fleet'!$O13)-MAX(M$7,'Fleet'!$G13))</x:f>
        <x:v>92</x:v>
      </x:c>
      <x:c r="N16" s="34" t="n">
        <x:f>MAX(0,MIN(N$8+1,'Fleet'!$O13)-MAX(N$7,'Fleet'!$G13))</x:f>
        <x:v>90</x:v>
      </x:c>
      <x:c r="O16" s="34" t="n">
        <x:f>MAX(0,MIN(O$8+1,'Fleet'!$O13)-MAX(O$7,'Fleet'!$G13))</x:f>
        <x:v>91</x:v>
      </x:c>
      <x:c r="P16" s="34" t="n">
        <x:f>MAX(0,MIN(P$8+1,'Fleet'!$O13)-MAX(P$7,'Fleet'!$G13))</x:f>
        <x:v>92</x:v>
      </x:c>
      <x:c r="Q16" s="34" t="n">
        <x:f>MAX(0,MIN(Q$8+1,'Fleet'!$O13)-MAX(Q$7,'Fleet'!$G13))</x:f>
        <x:v>365</x:v>
      </x:c>
      <x:c r="R16" s="34" t="n">
        <x:f>MAX(0,MIN(R$8+1,'Fleet'!$O13)-MAX(R$7,'Fleet'!$G13))</x:f>
        <x:v>365</x:v>
      </x:c>
      <x:c r="S16" s="34" t="n">
        <x:f>MAX(0,MIN(S$8+1,'Fleet'!$O13)-MAX(S$7,'Fleet'!$G13))</x:f>
        <x:v>366</x:v>
      </x:c>
      <x:c r="T16" s="34" t="n">
        <x:f>MAX(0,MIN(T$8+1,'Fleet'!$O13)-MAX(T$7,'Fleet'!$G13))</x:f>
        <x:v>365</x:v>
      </x:c>
      <x:c r="U16" s="34" t="n">
        <x:f>MAX(0,MIN(U$8+1,'Fleet'!$O13)-MAX(U$7,'Fleet'!$G13))</x:f>
        <x:v>365</x:v>
      </x:c>
      <x:c r="V16" s="34" t="n">
        <x:f>MAX(0,MIN(V$8+1,'Fleet'!$O13)-MAX(V$7,'Fleet'!$G13))</x:f>
        <x:v>365</x:v>
      </x:c>
      <x:c r="W16" s="34" t="n">
        <x:f>MAX(0,MIN(W$8+1,'Fleet'!$O13)-MAX(W$7,'Fleet'!$G13))</x:f>
        <x:v>366</x:v>
      </x:c>
      <x:c r="X16" s="34" t="n">
        <x:f>MAX(0,MIN(X$8+1,'Fleet'!$O13)-MAX(X$7,'Fleet'!$G13))</x:f>
        <x:v>365</x:v>
      </x:c>
      <x:c r="Y16" s="34" t="n">
        <x:f>MAX(0,MIN(Y$8+1,'Fleet'!$O13)-MAX(Y$7,'Fleet'!$G13))</x:f>
        <x:v>365</x:v>
      </x:c>
      <x:c r="Z16" s="34" t="n">
        <x:f>MAX(0,MIN(Z$8+1,'Fleet'!$O13)-MAX(Z$7,'Fleet'!$G13))</x:f>
        <x:v>365</x:v>
      </x:c>
      <x:c r="AA16" s="34" t="n">
        <x:f>MAX(0,MIN(AA$8+1,'Fleet'!$O13)-MAX(AA$7,'Fleet'!$G13))</x:f>
        <x:v>274</x:v>
      </x:c>
      <x:c r="AB16" s="34" t="n">
        <x:f>MAX(0,MIN(AB$8+1,'Fleet'!$O13)-MAX(AB$7,'Fleet'!$G13))</x:f>
        <x:v>0</x:v>
      </x:c>
      <x:c r="AC16" s="34" t="n">
        <x:f>MAX(0,MIN(AC$8+1,'Fleet'!$O13)-MAX(AC$7,'Fleet'!$G13))</x:f>
        <x:v>0</x:v>
      </x:c>
      <x:c r="AD16" s="34" t="n">
        <x:f>MAX(0,MIN(AD$8+1,'Fleet'!$O13)-MAX(AD$7,'Fleet'!$G13))</x:f>
        <x:v>0</x:v>
      </x:c>
      <x:c r="AE16" s="34" t="n">
        <x:f>MAX(0,MIN(AE$8+1,'Fleet'!$O13)-MAX(AE$7,'Fleet'!$G13))</x:f>
        <x:v>0</x:v>
      </x:c>
      <x:c r="AF16" s="34" t="n">
        <x:f>MAX(0,MIN(AF$8+1,'Fleet'!$O13)-MAX(AF$7,'Fleet'!$G13))</x:f>
        <x:v>0</x:v>
      </x:c>
      <x:c r="AG16" s="34" t="n">
        <x:f>MAX(0,MIN(AG$8+1,'Fleet'!$O13)-MAX(AG$7,'Fleet'!$G13))</x:f>
        <x:v>0</x:v>
      </x:c>
      <x:c r="AH16" s="34" t="n">
        <x:f>MAX(0,MIN(AH$8+1,'Fleet'!$O13)-MAX(AH$7,'Fleet'!$G13))</x:f>
        <x:v>0</x:v>
      </x:c>
      <x:c r="AI16" s="34" t="n">
        <x:f>MAX(0,MIN(AI$8+1,'Fleet'!$O13)-MAX(AI$7,'Fleet'!$G13))</x:f>
        <x:v>0</x:v>
      </x:c>
      <x:c r="AJ16" s="34" t="n">
        <x:f>MAX(0,MIN(AJ$8+1,'Fleet'!$O13)-MAX(AJ$7,'Fleet'!$G13))</x:f>
        <x:v>0</x:v>
      </x:c>
      <x:c r="AK16" s="34" t="n">
        <x:f>MAX(0,MIN(AK$8+1,'Fleet'!$O13)-MAX(AK$7,'Fleet'!$G13))</x:f>
        <x:v>0</x:v>
      </x:c>
      <x:c r="AL16" s="34" t="n">
        <x:f>MAX(0,MIN(AL$8+1,'Fleet'!$O13)-MAX(AL$7,'Fleet'!$G13))</x:f>
        <x:v>0</x:v>
      </x:c>
      <x:c r="AM16" s="34" t="n">
        <x:f>MAX(0,MIN(AM$8+1,'Fleet'!$O13)-MAX(AM$7,'Fleet'!$G13))</x:f>
        <x:v>0</x:v>
      </x:c>
      <x:c r="AN16" s="34" t="n">
        <x:f>MAX(0,MIN(AN$8+1,'Fleet'!$O13)-MAX(AN$7,'Fleet'!$G13))</x:f>
        <x:v>0</x:v>
      </x:c>
      <x:c r="AO16" s="34" t="n">
        <x:f>MAX(0,MIN(AO$8+1,'Fleet'!$O13)-MAX(AO$7,'Fleet'!$G13))</x:f>
        <x:v>0</x:v>
      </x:c>
      <x:c r="AP16" s="34" t="n">
        <x:f>MAX(0,MIN(AP$8+1,'Fleet'!$O13)-MAX(AP$7,'Fleet'!$G13))</x:f>
        <x:v>0</x:v>
      </x:c>
      <x:c r="AQ16" s="34" t="n">
        <x:f>MAX(0,MIN(AQ$8+1,'Fleet'!$O13)-MAX(AQ$7,'Fleet'!$G13))</x:f>
        <x:v>0</x:v>
      </x:c>
    </x:row>
    <x:row r="17" ht="21" customHeight="1">
      <x:c r="A17" s="2"/>
      <x:c r="B17" s="2"/>
      <x:c r="C17" s="5" t="str">
        <x:f>'Fleet'!C14</x:f>
        <x:v>Genco Ranger</x:v>
      </x:c>
      <x:c r="D17" s="5" t="str">
        <x:f>'Fleet'!D14</x:f>
        <x:v>Capesize</x:v>
      </x:c>
      <x:c r="E17" s="34" t="n">
        <x:f>MAX(0,MIN(E$8+1,'Fleet'!$O14)-MAX(E$7,'Fleet'!$G14))</x:f>
        <x:v>80</x:v>
      </x:c>
      <x:c r="F17" s="34" t="n">
        <x:f>MAX(0,MIN(F$8+1,'Fleet'!$O14)-MAX(F$7,'Fleet'!$G14))</x:f>
        <x:v>90</x:v>
      </x:c>
      <x:c r="G17" s="34" t="n">
        <x:f>MAX(0,MIN(G$8+1,'Fleet'!$O14)-MAX(G$7,'Fleet'!$G14))</x:f>
        <x:v>91</x:v>
      </x:c>
      <x:c r="H17" s="34" t="n">
        <x:f>MAX(0,MIN(H$8+1,'Fleet'!$O14)-MAX(H$7,'Fleet'!$G14))</x:f>
        <x:v>92</x:v>
      </x:c>
      <x:c r="I17" s="34" t="n">
        <x:f>MAX(0,MIN(I$8+1,'Fleet'!$O14)-MAX(I$7,'Fleet'!$G14))</x:f>
        <x:v>92</x:v>
      </x:c>
      <x:c r="J17" s="34" t="n">
        <x:f>MAX(0,MIN(J$8+1,'Fleet'!$O14)-MAX(J$7,'Fleet'!$G14))</x:f>
        <x:v>91</x:v>
      </x:c>
      <x:c r="K17" s="34" t="n">
        <x:f>MAX(0,MIN(K$8+1,'Fleet'!$O14)-MAX(K$7,'Fleet'!$G14))</x:f>
        <x:v>91</x:v>
      </x:c>
      <x:c r="L17" s="34" t="n">
        <x:f>MAX(0,MIN(L$8+1,'Fleet'!$O14)-MAX(L$7,'Fleet'!$G14))</x:f>
        <x:v>92</x:v>
      </x:c>
      <x:c r="M17" s="34" t="n">
        <x:f>MAX(0,MIN(M$8+1,'Fleet'!$O14)-MAX(M$7,'Fleet'!$G14))</x:f>
        <x:v>92</x:v>
      </x:c>
      <x:c r="N17" s="34" t="n">
        <x:f>MAX(0,MIN(N$8+1,'Fleet'!$O14)-MAX(N$7,'Fleet'!$G14))</x:f>
        <x:v>90</x:v>
      </x:c>
      <x:c r="O17" s="34" t="n">
        <x:f>MAX(0,MIN(O$8+1,'Fleet'!$O14)-MAX(O$7,'Fleet'!$G14))</x:f>
        <x:v>91</x:v>
      </x:c>
      <x:c r="P17" s="34" t="n">
        <x:f>MAX(0,MIN(P$8+1,'Fleet'!$O14)-MAX(P$7,'Fleet'!$G14))</x:f>
        <x:v>92</x:v>
      </x:c>
      <x:c r="Q17" s="34" t="n">
        <x:f>MAX(0,MIN(Q$8+1,'Fleet'!$O14)-MAX(Q$7,'Fleet'!$G14))</x:f>
        <x:v>365</x:v>
      </x:c>
      <x:c r="R17" s="34" t="n">
        <x:f>MAX(0,MIN(R$8+1,'Fleet'!$O14)-MAX(R$7,'Fleet'!$G14))</x:f>
        <x:v>365</x:v>
      </x:c>
      <x:c r="S17" s="34" t="n">
        <x:f>MAX(0,MIN(S$8+1,'Fleet'!$O14)-MAX(S$7,'Fleet'!$G14))</x:f>
        <x:v>366</x:v>
      </x:c>
      <x:c r="T17" s="34" t="n">
        <x:f>MAX(0,MIN(T$8+1,'Fleet'!$O14)-MAX(T$7,'Fleet'!$G14))</x:f>
        <x:v>365</x:v>
      </x:c>
      <x:c r="U17" s="34" t="n">
        <x:f>MAX(0,MIN(U$8+1,'Fleet'!$O14)-MAX(U$7,'Fleet'!$G14))</x:f>
        <x:v>365</x:v>
      </x:c>
      <x:c r="V17" s="34" t="n">
        <x:f>MAX(0,MIN(V$8+1,'Fleet'!$O14)-MAX(V$7,'Fleet'!$G14))</x:f>
        <x:v>365</x:v>
      </x:c>
      <x:c r="W17" s="34" t="n">
        <x:f>MAX(0,MIN(W$8+1,'Fleet'!$O14)-MAX(W$7,'Fleet'!$G14))</x:f>
        <x:v>366</x:v>
      </x:c>
      <x:c r="X17" s="34" t="n">
        <x:f>MAX(0,MIN(X$8+1,'Fleet'!$O14)-MAX(X$7,'Fleet'!$G14))</x:f>
        <x:v>365</x:v>
      </x:c>
      <x:c r="Y17" s="34" t="n">
        <x:f>MAX(0,MIN(Y$8+1,'Fleet'!$O14)-MAX(Y$7,'Fleet'!$G14))</x:f>
        <x:v>365</x:v>
      </x:c>
      <x:c r="Z17" s="34" t="n">
        <x:f>MAX(0,MIN(Z$8+1,'Fleet'!$O14)-MAX(Z$7,'Fleet'!$G14))</x:f>
        <x:v>365</x:v>
      </x:c>
      <x:c r="AA17" s="34" t="n">
        <x:f>MAX(0,MIN(AA$8+1,'Fleet'!$O14)-MAX(AA$7,'Fleet'!$G14))</x:f>
        <x:v>366</x:v>
      </x:c>
      <x:c r="AB17" s="34" t="n">
        <x:f>MAX(0,MIN(AB$8+1,'Fleet'!$O14)-MAX(AB$7,'Fleet'!$G14))</x:f>
        <x:v>273</x:v>
      </x:c>
      <x:c r="AC17" s="34" t="n">
        <x:f>MAX(0,MIN(AC$8+1,'Fleet'!$O14)-MAX(AC$7,'Fleet'!$G14))</x:f>
        <x:v>0</x:v>
      </x:c>
      <x:c r="AD17" s="34" t="n">
        <x:f>MAX(0,MIN(AD$8+1,'Fleet'!$O14)-MAX(AD$7,'Fleet'!$G14))</x:f>
        <x:v>0</x:v>
      </x:c>
      <x:c r="AE17" s="34" t="n">
        <x:f>MAX(0,MIN(AE$8+1,'Fleet'!$O14)-MAX(AE$7,'Fleet'!$G14))</x:f>
        <x:v>0</x:v>
      </x:c>
      <x:c r="AF17" s="34" t="n">
        <x:f>MAX(0,MIN(AF$8+1,'Fleet'!$O14)-MAX(AF$7,'Fleet'!$G14))</x:f>
        <x:v>0</x:v>
      </x:c>
      <x:c r="AG17" s="34" t="n">
        <x:f>MAX(0,MIN(AG$8+1,'Fleet'!$O14)-MAX(AG$7,'Fleet'!$G14))</x:f>
        <x:v>0</x:v>
      </x:c>
      <x:c r="AH17" s="34" t="n">
        <x:f>MAX(0,MIN(AH$8+1,'Fleet'!$O14)-MAX(AH$7,'Fleet'!$G14))</x:f>
        <x:v>0</x:v>
      </x:c>
      <x:c r="AI17" s="34" t="n">
        <x:f>MAX(0,MIN(AI$8+1,'Fleet'!$O14)-MAX(AI$7,'Fleet'!$G14))</x:f>
        <x:v>0</x:v>
      </x:c>
      <x:c r="AJ17" s="34" t="n">
        <x:f>MAX(0,MIN(AJ$8+1,'Fleet'!$O14)-MAX(AJ$7,'Fleet'!$G14))</x:f>
        <x:v>0</x:v>
      </x:c>
      <x:c r="AK17" s="34" t="n">
        <x:f>MAX(0,MIN(AK$8+1,'Fleet'!$O14)-MAX(AK$7,'Fleet'!$G14))</x:f>
        <x:v>0</x:v>
      </x:c>
      <x:c r="AL17" s="34" t="n">
        <x:f>MAX(0,MIN(AL$8+1,'Fleet'!$O14)-MAX(AL$7,'Fleet'!$G14))</x:f>
        <x:v>0</x:v>
      </x:c>
      <x:c r="AM17" s="34" t="n">
        <x:f>MAX(0,MIN(AM$8+1,'Fleet'!$O14)-MAX(AM$7,'Fleet'!$G14))</x:f>
        <x:v>0</x:v>
      </x:c>
      <x:c r="AN17" s="34" t="n">
        <x:f>MAX(0,MIN(AN$8+1,'Fleet'!$O14)-MAX(AN$7,'Fleet'!$G14))</x:f>
        <x:v>0</x:v>
      </x:c>
      <x:c r="AO17" s="34" t="n">
        <x:f>MAX(0,MIN(AO$8+1,'Fleet'!$O14)-MAX(AO$7,'Fleet'!$G14))</x:f>
        <x:v>0</x:v>
      </x:c>
      <x:c r="AP17" s="34" t="n">
        <x:f>MAX(0,MIN(AP$8+1,'Fleet'!$O14)-MAX(AP$7,'Fleet'!$G14))</x:f>
        <x:v>0</x:v>
      </x:c>
      <x:c r="AQ17" s="34" t="n">
        <x:f>MAX(0,MIN(AQ$8+1,'Fleet'!$O14)-MAX(AQ$7,'Fleet'!$G14))</x:f>
        <x:v>0</x:v>
      </x:c>
    </x:row>
    <x:row r="18" ht="21" customHeight="1">
      <x:c r="A18" s="2"/>
      <x:c r="B18" s="2"/>
      <x:c r="C18" s="5" t="str">
        <x:f>'Fleet'!C15</x:f>
        <x:v>Genco Constantine</x:v>
      </x:c>
      <x:c r="D18" s="5" t="str">
        <x:f>'Fleet'!D15</x:f>
        <x:v>Capesize</x:v>
      </x:c>
      <x:c r="E18" s="34" t="n">
        <x:f>MAX(0,MIN(E$8+1,'Fleet'!$O15)-MAX(E$7,'Fleet'!$G15))</x:f>
        <x:v>80</x:v>
      </x:c>
      <x:c r="F18" s="34" t="n">
        <x:f>MAX(0,MIN(F$8+1,'Fleet'!$O15)-MAX(F$7,'Fleet'!$G15))</x:f>
        <x:v>90</x:v>
      </x:c>
      <x:c r="G18" s="34" t="n">
        <x:f>MAX(0,MIN(G$8+1,'Fleet'!$O15)-MAX(G$7,'Fleet'!$G15))</x:f>
        <x:v>91</x:v>
      </x:c>
      <x:c r="H18" s="34" t="n">
        <x:f>MAX(0,MIN(H$8+1,'Fleet'!$O15)-MAX(H$7,'Fleet'!$G15))</x:f>
        <x:v>92</x:v>
      </x:c>
      <x:c r="I18" s="34" t="n">
        <x:f>MAX(0,MIN(I$8+1,'Fleet'!$O15)-MAX(I$7,'Fleet'!$G15))</x:f>
        <x:v>92</x:v>
      </x:c>
      <x:c r="J18" s="34" t="n">
        <x:f>MAX(0,MIN(J$8+1,'Fleet'!$O15)-MAX(J$7,'Fleet'!$G15))</x:f>
        <x:v>91</x:v>
      </x:c>
      <x:c r="K18" s="34" t="n">
        <x:f>MAX(0,MIN(K$8+1,'Fleet'!$O15)-MAX(K$7,'Fleet'!$G15))</x:f>
        <x:v>91</x:v>
      </x:c>
      <x:c r="L18" s="34" t="n">
        <x:f>MAX(0,MIN(L$8+1,'Fleet'!$O15)-MAX(L$7,'Fleet'!$G15))</x:f>
        <x:v>92</x:v>
      </x:c>
      <x:c r="M18" s="34" t="n">
        <x:f>MAX(0,MIN(M$8+1,'Fleet'!$O15)-MAX(M$7,'Fleet'!$G15))</x:f>
        <x:v>92</x:v>
      </x:c>
      <x:c r="N18" s="34" t="n">
        <x:f>MAX(0,MIN(N$8+1,'Fleet'!$O15)-MAX(N$7,'Fleet'!$G15))</x:f>
        <x:v>90</x:v>
      </x:c>
      <x:c r="O18" s="34" t="n">
        <x:f>MAX(0,MIN(O$8+1,'Fleet'!$O15)-MAX(O$7,'Fleet'!$G15))</x:f>
        <x:v>91</x:v>
      </x:c>
      <x:c r="P18" s="34" t="n">
        <x:f>MAX(0,MIN(P$8+1,'Fleet'!$O15)-MAX(P$7,'Fleet'!$G15))</x:f>
        <x:v>92</x:v>
      </x:c>
      <x:c r="Q18" s="34" t="n">
        <x:f>MAX(0,MIN(Q$8+1,'Fleet'!$O15)-MAX(Q$7,'Fleet'!$G15))</x:f>
        <x:v>365</x:v>
      </x:c>
      <x:c r="R18" s="34" t="n">
        <x:f>MAX(0,MIN(R$8+1,'Fleet'!$O15)-MAX(R$7,'Fleet'!$G15))</x:f>
        <x:v>365</x:v>
      </x:c>
      <x:c r="S18" s="34" t="n">
        <x:f>MAX(0,MIN(S$8+1,'Fleet'!$O15)-MAX(S$7,'Fleet'!$G15))</x:f>
        <x:v>366</x:v>
      </x:c>
      <x:c r="T18" s="34" t="n">
        <x:f>MAX(0,MIN(T$8+1,'Fleet'!$O15)-MAX(T$7,'Fleet'!$G15))</x:f>
        <x:v>273</x:v>
      </x:c>
      <x:c r="U18" s="34" t="n">
        <x:f>MAX(0,MIN(U$8+1,'Fleet'!$O15)-MAX(U$7,'Fleet'!$G15))</x:f>
        <x:v>0</x:v>
      </x:c>
      <x:c r="V18" s="34" t="n">
        <x:f>MAX(0,MIN(V$8+1,'Fleet'!$O15)-MAX(V$7,'Fleet'!$G15))</x:f>
        <x:v>0</x:v>
      </x:c>
      <x:c r="W18" s="34" t="n">
        <x:f>MAX(0,MIN(W$8+1,'Fleet'!$O15)-MAX(W$7,'Fleet'!$G15))</x:f>
        <x:v>0</x:v>
      </x:c>
      <x:c r="X18" s="34" t="n">
        <x:f>MAX(0,MIN(X$8+1,'Fleet'!$O15)-MAX(X$7,'Fleet'!$G15))</x:f>
        <x:v>0</x:v>
      </x:c>
      <x:c r="Y18" s="34" t="n">
        <x:f>MAX(0,MIN(Y$8+1,'Fleet'!$O15)-MAX(Y$7,'Fleet'!$G15))</x:f>
        <x:v>0</x:v>
      </x:c>
      <x:c r="Z18" s="34" t="n">
        <x:f>MAX(0,MIN(Z$8+1,'Fleet'!$O15)-MAX(Z$7,'Fleet'!$G15))</x:f>
        <x:v>0</x:v>
      </x:c>
      <x:c r="AA18" s="34" t="n">
        <x:f>MAX(0,MIN(AA$8+1,'Fleet'!$O15)-MAX(AA$7,'Fleet'!$G15))</x:f>
        <x:v>0</x:v>
      </x:c>
      <x:c r="AB18" s="34" t="n">
        <x:f>MAX(0,MIN(AB$8+1,'Fleet'!$O15)-MAX(AB$7,'Fleet'!$G15))</x:f>
        <x:v>0</x:v>
      </x:c>
      <x:c r="AC18" s="34" t="n">
        <x:f>MAX(0,MIN(AC$8+1,'Fleet'!$O15)-MAX(AC$7,'Fleet'!$G15))</x:f>
        <x:v>0</x:v>
      </x:c>
      <x:c r="AD18" s="34" t="n">
        <x:f>MAX(0,MIN(AD$8+1,'Fleet'!$O15)-MAX(AD$7,'Fleet'!$G15))</x:f>
        <x:v>0</x:v>
      </x:c>
      <x:c r="AE18" s="34" t="n">
        <x:f>MAX(0,MIN(AE$8+1,'Fleet'!$O15)-MAX(AE$7,'Fleet'!$G15))</x:f>
        <x:v>0</x:v>
      </x:c>
      <x:c r="AF18" s="34" t="n">
        <x:f>MAX(0,MIN(AF$8+1,'Fleet'!$O15)-MAX(AF$7,'Fleet'!$G15))</x:f>
        <x:v>0</x:v>
      </x:c>
      <x:c r="AG18" s="34" t="n">
        <x:f>MAX(0,MIN(AG$8+1,'Fleet'!$O15)-MAX(AG$7,'Fleet'!$G15))</x:f>
        <x:v>0</x:v>
      </x:c>
      <x:c r="AH18" s="34" t="n">
        <x:f>MAX(0,MIN(AH$8+1,'Fleet'!$O15)-MAX(AH$7,'Fleet'!$G15))</x:f>
        <x:v>0</x:v>
      </x:c>
      <x:c r="AI18" s="34" t="n">
        <x:f>MAX(0,MIN(AI$8+1,'Fleet'!$O15)-MAX(AI$7,'Fleet'!$G15))</x:f>
        <x:v>0</x:v>
      </x:c>
      <x:c r="AJ18" s="34" t="n">
        <x:f>MAX(0,MIN(AJ$8+1,'Fleet'!$O15)-MAX(AJ$7,'Fleet'!$G15))</x:f>
        <x:v>0</x:v>
      </x:c>
      <x:c r="AK18" s="34" t="n">
        <x:f>MAX(0,MIN(AK$8+1,'Fleet'!$O15)-MAX(AK$7,'Fleet'!$G15))</x:f>
        <x:v>0</x:v>
      </x:c>
      <x:c r="AL18" s="34" t="n">
        <x:f>MAX(0,MIN(AL$8+1,'Fleet'!$O15)-MAX(AL$7,'Fleet'!$G15))</x:f>
        <x:v>0</x:v>
      </x:c>
      <x:c r="AM18" s="34" t="n">
        <x:f>MAX(0,MIN(AM$8+1,'Fleet'!$O15)-MAX(AM$7,'Fleet'!$G15))</x:f>
        <x:v>0</x:v>
      </x:c>
      <x:c r="AN18" s="34" t="n">
        <x:f>MAX(0,MIN(AN$8+1,'Fleet'!$O15)-MAX(AN$7,'Fleet'!$G15))</x:f>
        <x:v>0</x:v>
      </x:c>
      <x:c r="AO18" s="34" t="n">
        <x:f>MAX(0,MIN(AO$8+1,'Fleet'!$O15)-MAX(AO$7,'Fleet'!$G15))</x:f>
        <x:v>0</x:v>
      </x:c>
      <x:c r="AP18" s="34" t="n">
        <x:f>MAX(0,MIN(AP$8+1,'Fleet'!$O15)-MAX(AP$7,'Fleet'!$G15))</x:f>
        <x:v>0</x:v>
      </x:c>
      <x:c r="AQ18" s="34" t="n">
        <x:f>MAX(0,MIN(AQ$8+1,'Fleet'!$O15)-MAX(AQ$7,'Fleet'!$G15))</x:f>
        <x:v>0</x:v>
      </x:c>
    </x:row>
    <x:row r="19" ht="21" customHeight="1">
      <x:c r="A19" s="2"/>
      <x:c r="B19" s="2"/>
      <x:c r="C19" s="5" t="str">
        <x:f>'Fleet'!C16</x:f>
        <x:v>Genco Augustus</x:v>
      </x:c>
      <x:c r="D19" s="5" t="str">
        <x:f>'Fleet'!D16</x:f>
        <x:v>Capesize</x:v>
      </x:c>
      <x:c r="E19" s="34" t="n">
        <x:f>MAX(0,MIN(E$8+1,'Fleet'!$O16)-MAX(E$7,'Fleet'!$G16))</x:f>
        <x:v>80</x:v>
      </x:c>
      <x:c r="F19" s="34" t="n">
        <x:f>MAX(0,MIN(F$8+1,'Fleet'!$O16)-MAX(F$7,'Fleet'!$G16))</x:f>
        <x:v>90</x:v>
      </x:c>
      <x:c r="G19" s="34" t="n">
        <x:f>MAX(0,MIN(G$8+1,'Fleet'!$O16)-MAX(G$7,'Fleet'!$G16))</x:f>
        <x:v>91</x:v>
      </x:c>
      <x:c r="H19" s="34" t="n">
        <x:f>MAX(0,MIN(H$8+1,'Fleet'!$O16)-MAX(H$7,'Fleet'!$G16))</x:f>
        <x:v>92</x:v>
      </x:c>
      <x:c r="I19" s="34" t="n">
        <x:f>MAX(0,MIN(I$8+1,'Fleet'!$O16)-MAX(I$7,'Fleet'!$G16))</x:f>
        <x:v>92</x:v>
      </x:c>
      <x:c r="J19" s="34" t="n">
        <x:f>MAX(0,MIN(J$8+1,'Fleet'!$O16)-MAX(J$7,'Fleet'!$G16))</x:f>
        <x:v>91</x:v>
      </x:c>
      <x:c r="K19" s="34" t="n">
        <x:f>MAX(0,MIN(K$8+1,'Fleet'!$O16)-MAX(K$7,'Fleet'!$G16))</x:f>
        <x:v>91</x:v>
      </x:c>
      <x:c r="L19" s="34" t="n">
        <x:f>MAX(0,MIN(L$8+1,'Fleet'!$O16)-MAX(L$7,'Fleet'!$G16))</x:f>
        <x:v>92</x:v>
      </x:c>
      <x:c r="M19" s="34" t="n">
        <x:f>MAX(0,MIN(M$8+1,'Fleet'!$O16)-MAX(M$7,'Fleet'!$G16))</x:f>
        <x:v>92</x:v>
      </x:c>
      <x:c r="N19" s="34" t="n">
        <x:f>MAX(0,MIN(N$8+1,'Fleet'!$O16)-MAX(N$7,'Fleet'!$G16))</x:f>
        <x:v>90</x:v>
      </x:c>
      <x:c r="O19" s="34" t="n">
        <x:f>MAX(0,MIN(O$8+1,'Fleet'!$O16)-MAX(O$7,'Fleet'!$G16))</x:f>
        <x:v>91</x:v>
      </x:c>
      <x:c r="P19" s="34" t="n">
        <x:f>MAX(0,MIN(P$8+1,'Fleet'!$O16)-MAX(P$7,'Fleet'!$G16))</x:f>
        <x:v>92</x:v>
      </x:c>
      <x:c r="Q19" s="34" t="n">
        <x:f>MAX(0,MIN(Q$8+1,'Fleet'!$O16)-MAX(Q$7,'Fleet'!$G16))</x:f>
        <x:v>365</x:v>
      </x:c>
      <x:c r="R19" s="34" t="n">
        <x:f>MAX(0,MIN(R$8+1,'Fleet'!$O16)-MAX(R$7,'Fleet'!$G16))</x:f>
        <x:v>365</x:v>
      </x:c>
      <x:c r="S19" s="34" t="n">
        <x:f>MAX(0,MIN(S$8+1,'Fleet'!$O16)-MAX(S$7,'Fleet'!$G16))</x:f>
        <x:v>274</x:v>
      </x:c>
      <x:c r="T19" s="34" t="n">
        <x:f>MAX(0,MIN(T$8+1,'Fleet'!$O16)-MAX(T$7,'Fleet'!$G16))</x:f>
        <x:v>0</x:v>
      </x:c>
      <x:c r="U19" s="34" t="n">
        <x:f>MAX(0,MIN(U$8+1,'Fleet'!$O16)-MAX(U$7,'Fleet'!$G16))</x:f>
        <x:v>0</x:v>
      </x:c>
      <x:c r="V19" s="34" t="n">
        <x:f>MAX(0,MIN(V$8+1,'Fleet'!$O16)-MAX(V$7,'Fleet'!$G16))</x:f>
        <x:v>0</x:v>
      </x:c>
      <x:c r="W19" s="34" t="n">
        <x:f>MAX(0,MIN(W$8+1,'Fleet'!$O16)-MAX(W$7,'Fleet'!$G16))</x:f>
        <x:v>0</x:v>
      </x:c>
      <x:c r="X19" s="34" t="n">
        <x:f>MAX(0,MIN(X$8+1,'Fleet'!$O16)-MAX(X$7,'Fleet'!$G16))</x:f>
        <x:v>0</x:v>
      </x:c>
      <x:c r="Y19" s="34" t="n">
        <x:f>MAX(0,MIN(Y$8+1,'Fleet'!$O16)-MAX(Y$7,'Fleet'!$G16))</x:f>
        <x:v>0</x:v>
      </x:c>
      <x:c r="Z19" s="34" t="n">
        <x:f>MAX(0,MIN(Z$8+1,'Fleet'!$O16)-MAX(Z$7,'Fleet'!$G16))</x:f>
        <x:v>0</x:v>
      </x:c>
      <x:c r="AA19" s="34" t="n">
        <x:f>MAX(0,MIN(AA$8+1,'Fleet'!$O16)-MAX(AA$7,'Fleet'!$G16))</x:f>
        <x:v>0</x:v>
      </x:c>
      <x:c r="AB19" s="34" t="n">
        <x:f>MAX(0,MIN(AB$8+1,'Fleet'!$O16)-MAX(AB$7,'Fleet'!$G16))</x:f>
        <x:v>0</x:v>
      </x:c>
      <x:c r="AC19" s="34" t="n">
        <x:f>MAX(0,MIN(AC$8+1,'Fleet'!$O16)-MAX(AC$7,'Fleet'!$G16))</x:f>
        <x:v>0</x:v>
      </x:c>
      <x:c r="AD19" s="34" t="n">
        <x:f>MAX(0,MIN(AD$8+1,'Fleet'!$O16)-MAX(AD$7,'Fleet'!$G16))</x:f>
        <x:v>0</x:v>
      </x:c>
      <x:c r="AE19" s="34" t="n">
        <x:f>MAX(0,MIN(AE$8+1,'Fleet'!$O16)-MAX(AE$7,'Fleet'!$G16))</x:f>
        <x:v>0</x:v>
      </x:c>
      <x:c r="AF19" s="34" t="n">
        <x:f>MAX(0,MIN(AF$8+1,'Fleet'!$O16)-MAX(AF$7,'Fleet'!$G16))</x:f>
        <x:v>0</x:v>
      </x:c>
      <x:c r="AG19" s="34" t="n">
        <x:f>MAX(0,MIN(AG$8+1,'Fleet'!$O16)-MAX(AG$7,'Fleet'!$G16))</x:f>
        <x:v>0</x:v>
      </x:c>
      <x:c r="AH19" s="34" t="n">
        <x:f>MAX(0,MIN(AH$8+1,'Fleet'!$O16)-MAX(AH$7,'Fleet'!$G16))</x:f>
        <x:v>0</x:v>
      </x:c>
      <x:c r="AI19" s="34" t="n">
        <x:f>MAX(0,MIN(AI$8+1,'Fleet'!$O16)-MAX(AI$7,'Fleet'!$G16))</x:f>
        <x:v>0</x:v>
      </x:c>
      <x:c r="AJ19" s="34" t="n">
        <x:f>MAX(0,MIN(AJ$8+1,'Fleet'!$O16)-MAX(AJ$7,'Fleet'!$G16))</x:f>
        <x:v>0</x:v>
      </x:c>
      <x:c r="AK19" s="34" t="n">
        <x:f>MAX(0,MIN(AK$8+1,'Fleet'!$O16)-MAX(AK$7,'Fleet'!$G16))</x:f>
        <x:v>0</x:v>
      </x:c>
      <x:c r="AL19" s="34" t="n">
        <x:f>MAX(0,MIN(AL$8+1,'Fleet'!$O16)-MAX(AL$7,'Fleet'!$G16))</x:f>
        <x:v>0</x:v>
      </x:c>
      <x:c r="AM19" s="34" t="n">
        <x:f>MAX(0,MIN(AM$8+1,'Fleet'!$O16)-MAX(AM$7,'Fleet'!$G16))</x:f>
        <x:v>0</x:v>
      </x:c>
      <x:c r="AN19" s="34" t="n">
        <x:f>MAX(0,MIN(AN$8+1,'Fleet'!$O16)-MAX(AN$7,'Fleet'!$G16))</x:f>
        <x:v>0</x:v>
      </x:c>
      <x:c r="AO19" s="34" t="n">
        <x:f>MAX(0,MIN(AO$8+1,'Fleet'!$O16)-MAX(AO$7,'Fleet'!$G16))</x:f>
        <x:v>0</x:v>
      </x:c>
      <x:c r="AP19" s="34" t="n">
        <x:f>MAX(0,MIN(AP$8+1,'Fleet'!$O16)-MAX(AP$7,'Fleet'!$G16))</x:f>
        <x:v>0</x:v>
      </x:c>
      <x:c r="AQ19" s="34" t="n">
        <x:f>MAX(0,MIN(AQ$8+1,'Fleet'!$O16)-MAX(AQ$7,'Fleet'!$G16))</x:f>
        <x:v>0</x:v>
      </x:c>
    </x:row>
    <x:row r="20" ht="21" customHeight="1">
      <x:c r="A20" s="2"/>
      <x:c r="B20" s="2"/>
      <x:c r="C20" s="5" t="str">
        <x:f>'Fleet'!C17</x:f>
        <x:v>Genco Liberty</x:v>
      </x:c>
      <x:c r="D20" s="5" t="str">
        <x:f>'Fleet'!D17</x:f>
        <x:v>Capesize</x:v>
      </x:c>
      <x:c r="E20" s="34" t="n">
        <x:f>MAX(0,MIN(E$8+1,'Fleet'!$O17)-MAX(E$7,'Fleet'!$G17))</x:f>
        <x:v>80</x:v>
      </x:c>
      <x:c r="F20" s="34" t="n">
        <x:f>MAX(0,MIN(F$8+1,'Fleet'!$O17)-MAX(F$7,'Fleet'!$G17))</x:f>
        <x:v>90</x:v>
      </x:c>
      <x:c r="G20" s="34" t="n">
        <x:f>MAX(0,MIN(G$8+1,'Fleet'!$O17)-MAX(G$7,'Fleet'!$G17))</x:f>
        <x:v>91</x:v>
      </x:c>
      <x:c r="H20" s="34" t="n">
        <x:f>MAX(0,MIN(H$8+1,'Fleet'!$O17)-MAX(H$7,'Fleet'!$G17))</x:f>
        <x:v>92</x:v>
      </x:c>
      <x:c r="I20" s="34" t="n">
        <x:f>MAX(0,MIN(I$8+1,'Fleet'!$O17)-MAX(I$7,'Fleet'!$G17))</x:f>
        <x:v>92</x:v>
      </x:c>
      <x:c r="J20" s="34" t="n">
        <x:f>MAX(0,MIN(J$8+1,'Fleet'!$O17)-MAX(J$7,'Fleet'!$G17))</x:f>
        <x:v>91</x:v>
      </x:c>
      <x:c r="K20" s="34" t="n">
        <x:f>MAX(0,MIN(K$8+1,'Fleet'!$O17)-MAX(K$7,'Fleet'!$G17))</x:f>
        <x:v>91</x:v>
      </x:c>
      <x:c r="L20" s="34" t="n">
        <x:f>MAX(0,MIN(L$8+1,'Fleet'!$O17)-MAX(L$7,'Fleet'!$G17))</x:f>
        <x:v>92</x:v>
      </x:c>
      <x:c r="M20" s="34" t="n">
        <x:f>MAX(0,MIN(M$8+1,'Fleet'!$O17)-MAX(M$7,'Fleet'!$G17))</x:f>
        <x:v>92</x:v>
      </x:c>
      <x:c r="N20" s="34" t="n">
        <x:f>MAX(0,MIN(N$8+1,'Fleet'!$O17)-MAX(N$7,'Fleet'!$G17))</x:f>
        <x:v>90</x:v>
      </x:c>
      <x:c r="O20" s="34" t="n">
        <x:f>MAX(0,MIN(O$8+1,'Fleet'!$O17)-MAX(O$7,'Fleet'!$G17))</x:f>
        <x:v>91</x:v>
      </x:c>
      <x:c r="P20" s="34" t="n">
        <x:f>MAX(0,MIN(P$8+1,'Fleet'!$O17)-MAX(P$7,'Fleet'!$G17))</x:f>
        <x:v>92</x:v>
      </x:c>
      <x:c r="Q20" s="34" t="n">
        <x:f>MAX(0,MIN(Q$8+1,'Fleet'!$O17)-MAX(Q$7,'Fleet'!$G17))</x:f>
        <x:v>365</x:v>
      </x:c>
      <x:c r="R20" s="34" t="n">
        <x:f>MAX(0,MIN(R$8+1,'Fleet'!$O17)-MAX(R$7,'Fleet'!$G17))</x:f>
        <x:v>365</x:v>
      </x:c>
      <x:c r="S20" s="34" t="n">
        <x:f>MAX(0,MIN(S$8+1,'Fleet'!$O17)-MAX(S$7,'Fleet'!$G17))</x:f>
        <x:v>366</x:v>
      </x:c>
      <x:c r="T20" s="34" t="n">
        <x:f>MAX(0,MIN(T$8+1,'Fleet'!$O17)-MAX(T$7,'Fleet'!$G17))</x:f>
        <x:v>365</x:v>
      </x:c>
      <x:c r="U20" s="34" t="n">
        <x:f>MAX(0,MIN(U$8+1,'Fleet'!$O17)-MAX(U$7,'Fleet'!$G17))</x:f>
        <x:v>365</x:v>
      </x:c>
      <x:c r="V20" s="34" t="n">
        <x:f>MAX(0,MIN(V$8+1,'Fleet'!$O17)-MAX(V$7,'Fleet'!$G17))</x:f>
        <x:v>365</x:v>
      </x:c>
      <x:c r="W20" s="34" t="n">
        <x:f>MAX(0,MIN(W$8+1,'Fleet'!$O17)-MAX(W$7,'Fleet'!$G17))</x:f>
        <x:v>366</x:v>
      </x:c>
      <x:c r="X20" s="34" t="n">
        <x:f>MAX(0,MIN(X$8+1,'Fleet'!$O17)-MAX(X$7,'Fleet'!$G17))</x:f>
        <x:v>365</x:v>
      </x:c>
      <x:c r="Y20" s="34" t="n">
        <x:f>MAX(0,MIN(Y$8+1,'Fleet'!$O17)-MAX(Y$7,'Fleet'!$G17))</x:f>
        <x:v>365</x:v>
      </x:c>
      <x:c r="Z20" s="34" t="n">
        <x:f>MAX(0,MIN(Z$8+1,'Fleet'!$O17)-MAX(Z$7,'Fleet'!$G17))</x:f>
        <x:v>365</x:v>
      </x:c>
      <x:c r="AA20" s="34" t="n">
        <x:f>MAX(0,MIN(AA$8+1,'Fleet'!$O17)-MAX(AA$7,'Fleet'!$G17))</x:f>
        <x:v>366</x:v>
      </x:c>
      <x:c r="AB20" s="34" t="n">
        <x:f>MAX(0,MIN(AB$8+1,'Fleet'!$O17)-MAX(AB$7,'Fleet'!$G17))</x:f>
        <x:v>273</x:v>
      </x:c>
      <x:c r="AC20" s="34" t="n">
        <x:f>MAX(0,MIN(AC$8+1,'Fleet'!$O17)-MAX(AC$7,'Fleet'!$G17))</x:f>
        <x:v>0</x:v>
      </x:c>
      <x:c r="AD20" s="34" t="n">
        <x:f>MAX(0,MIN(AD$8+1,'Fleet'!$O17)-MAX(AD$7,'Fleet'!$G17))</x:f>
        <x:v>0</x:v>
      </x:c>
      <x:c r="AE20" s="34" t="n">
        <x:f>MAX(0,MIN(AE$8+1,'Fleet'!$O17)-MAX(AE$7,'Fleet'!$G17))</x:f>
        <x:v>0</x:v>
      </x:c>
      <x:c r="AF20" s="34" t="n">
        <x:f>MAX(0,MIN(AF$8+1,'Fleet'!$O17)-MAX(AF$7,'Fleet'!$G17))</x:f>
        <x:v>0</x:v>
      </x:c>
      <x:c r="AG20" s="34" t="n">
        <x:f>MAX(0,MIN(AG$8+1,'Fleet'!$O17)-MAX(AG$7,'Fleet'!$G17))</x:f>
        <x:v>0</x:v>
      </x:c>
      <x:c r="AH20" s="34" t="n">
        <x:f>MAX(0,MIN(AH$8+1,'Fleet'!$O17)-MAX(AH$7,'Fleet'!$G17))</x:f>
        <x:v>0</x:v>
      </x:c>
      <x:c r="AI20" s="34" t="n">
        <x:f>MAX(0,MIN(AI$8+1,'Fleet'!$O17)-MAX(AI$7,'Fleet'!$G17))</x:f>
        <x:v>0</x:v>
      </x:c>
      <x:c r="AJ20" s="34" t="n">
        <x:f>MAX(0,MIN(AJ$8+1,'Fleet'!$O17)-MAX(AJ$7,'Fleet'!$G17))</x:f>
        <x:v>0</x:v>
      </x:c>
      <x:c r="AK20" s="34" t="n">
        <x:f>MAX(0,MIN(AK$8+1,'Fleet'!$O17)-MAX(AK$7,'Fleet'!$G17))</x:f>
        <x:v>0</x:v>
      </x:c>
      <x:c r="AL20" s="34" t="n">
        <x:f>MAX(0,MIN(AL$8+1,'Fleet'!$O17)-MAX(AL$7,'Fleet'!$G17))</x:f>
        <x:v>0</x:v>
      </x:c>
      <x:c r="AM20" s="34" t="n">
        <x:f>MAX(0,MIN(AM$8+1,'Fleet'!$O17)-MAX(AM$7,'Fleet'!$G17))</x:f>
        <x:v>0</x:v>
      </x:c>
      <x:c r="AN20" s="34" t="n">
        <x:f>MAX(0,MIN(AN$8+1,'Fleet'!$O17)-MAX(AN$7,'Fleet'!$G17))</x:f>
        <x:v>0</x:v>
      </x:c>
      <x:c r="AO20" s="34" t="n">
        <x:f>MAX(0,MIN(AO$8+1,'Fleet'!$O17)-MAX(AO$7,'Fleet'!$G17))</x:f>
        <x:v>0</x:v>
      </x:c>
      <x:c r="AP20" s="34" t="n">
        <x:f>MAX(0,MIN(AP$8+1,'Fleet'!$O17)-MAX(AP$7,'Fleet'!$G17))</x:f>
        <x:v>0</x:v>
      </x:c>
      <x:c r="AQ20" s="34" t="n">
        <x:f>MAX(0,MIN(AQ$8+1,'Fleet'!$O17)-MAX(AQ$7,'Fleet'!$G17))</x:f>
        <x:v>0</x:v>
      </x:c>
    </x:row>
    <x:row r="21" ht="21" customHeight="1">
      <x:c r="A21" s="2"/>
      <x:c r="B21" s="2"/>
      <x:c r="C21" s="5" t="str">
        <x:f>'Fleet'!C18</x:f>
        <x:v>Genco Defender</x:v>
      </x:c>
      <x:c r="D21" s="5" t="str">
        <x:f>'Fleet'!D18</x:f>
        <x:v>Capesize</x:v>
      </x:c>
      <x:c r="E21" s="34" t="n">
        <x:f>MAX(0,MIN(E$8+1,'Fleet'!$O18)-MAX(E$7,'Fleet'!$G18))</x:f>
        <x:v>80</x:v>
      </x:c>
      <x:c r="F21" s="34" t="n">
        <x:f>MAX(0,MIN(F$8+1,'Fleet'!$O18)-MAX(F$7,'Fleet'!$G18))</x:f>
        <x:v>90</x:v>
      </x:c>
      <x:c r="G21" s="34" t="n">
        <x:f>MAX(0,MIN(G$8+1,'Fleet'!$O18)-MAX(G$7,'Fleet'!$G18))</x:f>
        <x:v>91</x:v>
      </x:c>
      <x:c r="H21" s="34" t="n">
        <x:f>MAX(0,MIN(H$8+1,'Fleet'!$O18)-MAX(H$7,'Fleet'!$G18))</x:f>
        <x:v>92</x:v>
      </x:c>
      <x:c r="I21" s="34" t="n">
        <x:f>MAX(0,MIN(I$8+1,'Fleet'!$O18)-MAX(I$7,'Fleet'!$G18))</x:f>
        <x:v>92</x:v>
      </x:c>
      <x:c r="J21" s="34" t="n">
        <x:f>MAX(0,MIN(J$8+1,'Fleet'!$O18)-MAX(J$7,'Fleet'!$G18))</x:f>
        <x:v>91</x:v>
      </x:c>
      <x:c r="K21" s="34" t="n">
        <x:f>MAX(0,MIN(K$8+1,'Fleet'!$O18)-MAX(K$7,'Fleet'!$G18))</x:f>
        <x:v>91</x:v>
      </x:c>
      <x:c r="L21" s="34" t="n">
        <x:f>MAX(0,MIN(L$8+1,'Fleet'!$O18)-MAX(L$7,'Fleet'!$G18))</x:f>
        <x:v>92</x:v>
      </x:c>
      <x:c r="M21" s="34" t="n">
        <x:f>MAX(0,MIN(M$8+1,'Fleet'!$O18)-MAX(M$7,'Fleet'!$G18))</x:f>
        <x:v>92</x:v>
      </x:c>
      <x:c r="N21" s="34" t="n">
        <x:f>MAX(0,MIN(N$8+1,'Fleet'!$O18)-MAX(N$7,'Fleet'!$G18))</x:f>
        <x:v>90</x:v>
      </x:c>
      <x:c r="O21" s="34" t="n">
        <x:f>MAX(0,MIN(O$8+1,'Fleet'!$O18)-MAX(O$7,'Fleet'!$G18))</x:f>
        <x:v>91</x:v>
      </x:c>
      <x:c r="P21" s="34" t="n">
        <x:f>MAX(0,MIN(P$8+1,'Fleet'!$O18)-MAX(P$7,'Fleet'!$G18))</x:f>
        <x:v>92</x:v>
      </x:c>
      <x:c r="Q21" s="34" t="n">
        <x:f>MAX(0,MIN(Q$8+1,'Fleet'!$O18)-MAX(Q$7,'Fleet'!$G18))</x:f>
        <x:v>365</x:v>
      </x:c>
      <x:c r="R21" s="34" t="n">
        <x:f>MAX(0,MIN(R$8+1,'Fleet'!$O18)-MAX(R$7,'Fleet'!$G18))</x:f>
        <x:v>365</x:v>
      </x:c>
      <x:c r="S21" s="34" t="n">
        <x:f>MAX(0,MIN(S$8+1,'Fleet'!$O18)-MAX(S$7,'Fleet'!$G18))</x:f>
        <x:v>366</x:v>
      </x:c>
      <x:c r="T21" s="34" t="n">
        <x:f>MAX(0,MIN(T$8+1,'Fleet'!$O18)-MAX(T$7,'Fleet'!$G18))</x:f>
        <x:v>365</x:v>
      </x:c>
      <x:c r="U21" s="34" t="n">
        <x:f>MAX(0,MIN(U$8+1,'Fleet'!$O18)-MAX(U$7,'Fleet'!$G18))</x:f>
        <x:v>365</x:v>
      </x:c>
      <x:c r="V21" s="34" t="n">
        <x:f>MAX(0,MIN(V$8+1,'Fleet'!$O18)-MAX(V$7,'Fleet'!$G18))</x:f>
        <x:v>365</x:v>
      </x:c>
      <x:c r="W21" s="34" t="n">
        <x:f>MAX(0,MIN(W$8+1,'Fleet'!$O18)-MAX(W$7,'Fleet'!$G18))</x:f>
        <x:v>366</x:v>
      </x:c>
      <x:c r="X21" s="34" t="n">
        <x:f>MAX(0,MIN(X$8+1,'Fleet'!$O18)-MAX(X$7,'Fleet'!$G18))</x:f>
        <x:v>365</x:v>
      </x:c>
      <x:c r="Y21" s="34" t="n">
        <x:f>MAX(0,MIN(Y$8+1,'Fleet'!$O18)-MAX(Y$7,'Fleet'!$G18))</x:f>
        <x:v>365</x:v>
      </x:c>
      <x:c r="Z21" s="34" t="n">
        <x:f>MAX(0,MIN(Z$8+1,'Fleet'!$O18)-MAX(Z$7,'Fleet'!$G18))</x:f>
        <x:v>365</x:v>
      </x:c>
      <x:c r="AA21" s="34" t="n">
        <x:f>MAX(0,MIN(AA$8+1,'Fleet'!$O18)-MAX(AA$7,'Fleet'!$G18))</x:f>
        <x:v>366</x:v>
      </x:c>
      <x:c r="AB21" s="34" t="n">
        <x:f>MAX(0,MIN(AB$8+1,'Fleet'!$O18)-MAX(AB$7,'Fleet'!$G18))</x:f>
        <x:v>273</x:v>
      </x:c>
      <x:c r="AC21" s="34" t="n">
        <x:f>MAX(0,MIN(AC$8+1,'Fleet'!$O18)-MAX(AC$7,'Fleet'!$G18))</x:f>
        <x:v>0</x:v>
      </x:c>
      <x:c r="AD21" s="34" t="n">
        <x:f>MAX(0,MIN(AD$8+1,'Fleet'!$O18)-MAX(AD$7,'Fleet'!$G18))</x:f>
        <x:v>0</x:v>
      </x:c>
      <x:c r="AE21" s="34" t="n">
        <x:f>MAX(0,MIN(AE$8+1,'Fleet'!$O18)-MAX(AE$7,'Fleet'!$G18))</x:f>
        <x:v>0</x:v>
      </x:c>
      <x:c r="AF21" s="34" t="n">
        <x:f>MAX(0,MIN(AF$8+1,'Fleet'!$O18)-MAX(AF$7,'Fleet'!$G18))</x:f>
        <x:v>0</x:v>
      </x:c>
      <x:c r="AG21" s="34" t="n">
        <x:f>MAX(0,MIN(AG$8+1,'Fleet'!$O18)-MAX(AG$7,'Fleet'!$G18))</x:f>
        <x:v>0</x:v>
      </x:c>
      <x:c r="AH21" s="34" t="n">
        <x:f>MAX(0,MIN(AH$8+1,'Fleet'!$O18)-MAX(AH$7,'Fleet'!$G18))</x:f>
        <x:v>0</x:v>
      </x:c>
      <x:c r="AI21" s="34" t="n">
        <x:f>MAX(0,MIN(AI$8+1,'Fleet'!$O18)-MAX(AI$7,'Fleet'!$G18))</x:f>
        <x:v>0</x:v>
      </x:c>
      <x:c r="AJ21" s="34" t="n">
        <x:f>MAX(0,MIN(AJ$8+1,'Fleet'!$O18)-MAX(AJ$7,'Fleet'!$G18))</x:f>
        <x:v>0</x:v>
      </x:c>
      <x:c r="AK21" s="34" t="n">
        <x:f>MAX(0,MIN(AK$8+1,'Fleet'!$O18)-MAX(AK$7,'Fleet'!$G18))</x:f>
        <x:v>0</x:v>
      </x:c>
      <x:c r="AL21" s="34" t="n">
        <x:f>MAX(0,MIN(AL$8+1,'Fleet'!$O18)-MAX(AL$7,'Fleet'!$G18))</x:f>
        <x:v>0</x:v>
      </x:c>
      <x:c r="AM21" s="34" t="n">
        <x:f>MAX(0,MIN(AM$8+1,'Fleet'!$O18)-MAX(AM$7,'Fleet'!$G18))</x:f>
        <x:v>0</x:v>
      </x:c>
      <x:c r="AN21" s="34" t="n">
        <x:f>MAX(0,MIN(AN$8+1,'Fleet'!$O18)-MAX(AN$7,'Fleet'!$G18))</x:f>
        <x:v>0</x:v>
      </x:c>
      <x:c r="AO21" s="34" t="n">
        <x:f>MAX(0,MIN(AO$8+1,'Fleet'!$O18)-MAX(AO$7,'Fleet'!$G18))</x:f>
        <x:v>0</x:v>
      </x:c>
      <x:c r="AP21" s="34" t="n">
        <x:f>MAX(0,MIN(AP$8+1,'Fleet'!$O18)-MAX(AP$7,'Fleet'!$G18))</x:f>
        <x:v>0</x:v>
      </x:c>
      <x:c r="AQ21" s="34" t="n">
        <x:f>MAX(0,MIN(AQ$8+1,'Fleet'!$O18)-MAX(AQ$7,'Fleet'!$G18))</x:f>
        <x:v>0</x:v>
      </x:c>
    </x:row>
    <x:row r="22" ht="21" customHeight="1">
      <x:c r="A22" s="2"/>
      <x:c r="B22" s="2"/>
      <x:c r="C22" s="5" t="str">
        <x:f>'Fleet'!C19</x:f>
        <x:v>Genco Intrepid</x:v>
      </x:c>
      <x:c r="D22" s="5" t="str">
        <x:f>'Fleet'!D19</x:f>
        <x:v>Capesize</x:v>
      </x:c>
      <x:c r="E22" s="34" t="n">
        <x:f>MAX(0,MIN(E$8+1,'Fleet'!$O19)-MAX(E$7,'Fleet'!$G19))</x:f>
        <x:v>80</x:v>
      </x:c>
      <x:c r="F22" s="34" t="n">
        <x:f>MAX(0,MIN(F$8+1,'Fleet'!$O19)-MAX(F$7,'Fleet'!$G19))</x:f>
        <x:v>90</x:v>
      </x:c>
      <x:c r="G22" s="34" t="n">
        <x:f>MAX(0,MIN(G$8+1,'Fleet'!$O19)-MAX(G$7,'Fleet'!$G19))</x:f>
        <x:v>91</x:v>
      </x:c>
      <x:c r="H22" s="34" t="n">
        <x:f>MAX(0,MIN(H$8+1,'Fleet'!$O19)-MAX(H$7,'Fleet'!$G19))</x:f>
        <x:v>92</x:v>
      </x:c>
      <x:c r="I22" s="34" t="n">
        <x:f>MAX(0,MIN(I$8+1,'Fleet'!$O19)-MAX(I$7,'Fleet'!$G19))</x:f>
        <x:v>92</x:v>
      </x:c>
      <x:c r="J22" s="34" t="n">
        <x:f>MAX(0,MIN(J$8+1,'Fleet'!$O19)-MAX(J$7,'Fleet'!$G19))</x:f>
        <x:v>91</x:v>
      </x:c>
      <x:c r="K22" s="34" t="n">
        <x:f>MAX(0,MIN(K$8+1,'Fleet'!$O19)-MAX(K$7,'Fleet'!$G19))</x:f>
        <x:v>91</x:v>
      </x:c>
      <x:c r="L22" s="34" t="n">
        <x:f>MAX(0,MIN(L$8+1,'Fleet'!$O19)-MAX(L$7,'Fleet'!$G19))</x:f>
        <x:v>92</x:v>
      </x:c>
      <x:c r="M22" s="34" t="n">
        <x:f>MAX(0,MIN(M$8+1,'Fleet'!$O19)-MAX(M$7,'Fleet'!$G19))</x:f>
        <x:v>92</x:v>
      </x:c>
      <x:c r="N22" s="34" t="n">
        <x:f>MAX(0,MIN(N$8+1,'Fleet'!$O19)-MAX(N$7,'Fleet'!$G19))</x:f>
        <x:v>90</x:v>
      </x:c>
      <x:c r="O22" s="34" t="n">
        <x:f>MAX(0,MIN(O$8+1,'Fleet'!$O19)-MAX(O$7,'Fleet'!$G19))</x:f>
        <x:v>91</x:v>
      </x:c>
      <x:c r="P22" s="34" t="n">
        <x:f>MAX(0,MIN(P$8+1,'Fleet'!$O19)-MAX(P$7,'Fleet'!$G19))</x:f>
        <x:v>92</x:v>
      </x:c>
      <x:c r="Q22" s="34" t="n">
        <x:f>MAX(0,MIN(Q$8+1,'Fleet'!$O19)-MAX(Q$7,'Fleet'!$G19))</x:f>
        <x:v>365</x:v>
      </x:c>
      <x:c r="R22" s="34" t="n">
        <x:f>MAX(0,MIN(R$8+1,'Fleet'!$O19)-MAX(R$7,'Fleet'!$G19))</x:f>
        <x:v>365</x:v>
      </x:c>
      <x:c r="S22" s="34" t="n">
        <x:f>MAX(0,MIN(S$8+1,'Fleet'!$O19)-MAX(S$7,'Fleet'!$G19))</x:f>
        <x:v>366</x:v>
      </x:c>
      <x:c r="T22" s="34" t="n">
        <x:f>MAX(0,MIN(T$8+1,'Fleet'!$O19)-MAX(T$7,'Fleet'!$G19))</x:f>
        <x:v>365</x:v>
      </x:c>
      <x:c r="U22" s="34" t="n">
        <x:f>MAX(0,MIN(U$8+1,'Fleet'!$O19)-MAX(U$7,'Fleet'!$G19))</x:f>
        <x:v>365</x:v>
      </x:c>
      <x:c r="V22" s="34" t="n">
        <x:f>MAX(0,MIN(V$8+1,'Fleet'!$O19)-MAX(V$7,'Fleet'!$G19))</x:f>
        <x:v>365</x:v>
      </x:c>
      <x:c r="W22" s="34" t="n">
        <x:f>MAX(0,MIN(W$8+1,'Fleet'!$O19)-MAX(W$7,'Fleet'!$G19))</x:f>
        <x:v>366</x:v>
      </x:c>
      <x:c r="X22" s="34" t="n">
        <x:f>MAX(0,MIN(X$8+1,'Fleet'!$O19)-MAX(X$7,'Fleet'!$G19))</x:f>
        <x:v>365</x:v>
      </x:c>
      <x:c r="Y22" s="34" t="n">
        <x:f>MAX(0,MIN(Y$8+1,'Fleet'!$O19)-MAX(Y$7,'Fleet'!$G19))</x:f>
        <x:v>365</x:v>
      </x:c>
      <x:c r="Z22" s="34" t="n">
        <x:f>MAX(0,MIN(Z$8+1,'Fleet'!$O19)-MAX(Z$7,'Fleet'!$G19))</x:f>
        <x:v>365</x:v>
      </x:c>
      <x:c r="AA22" s="34" t="n">
        <x:f>MAX(0,MIN(AA$8+1,'Fleet'!$O19)-MAX(AA$7,'Fleet'!$G19))</x:f>
        <x:v>366</x:v>
      </x:c>
      <x:c r="AB22" s="34" t="n">
        <x:f>MAX(0,MIN(AB$8+1,'Fleet'!$O19)-MAX(AB$7,'Fleet'!$G19))</x:f>
        <x:v>273</x:v>
      </x:c>
      <x:c r="AC22" s="34" t="n">
        <x:f>MAX(0,MIN(AC$8+1,'Fleet'!$O19)-MAX(AC$7,'Fleet'!$G19))</x:f>
        <x:v>0</x:v>
      </x:c>
      <x:c r="AD22" s="34" t="n">
        <x:f>MAX(0,MIN(AD$8+1,'Fleet'!$O19)-MAX(AD$7,'Fleet'!$G19))</x:f>
        <x:v>0</x:v>
      </x:c>
      <x:c r="AE22" s="34" t="n">
        <x:f>MAX(0,MIN(AE$8+1,'Fleet'!$O19)-MAX(AE$7,'Fleet'!$G19))</x:f>
        <x:v>0</x:v>
      </x:c>
      <x:c r="AF22" s="34" t="n">
        <x:f>MAX(0,MIN(AF$8+1,'Fleet'!$O19)-MAX(AF$7,'Fleet'!$G19))</x:f>
        <x:v>0</x:v>
      </x:c>
      <x:c r="AG22" s="34" t="n">
        <x:f>MAX(0,MIN(AG$8+1,'Fleet'!$O19)-MAX(AG$7,'Fleet'!$G19))</x:f>
        <x:v>0</x:v>
      </x:c>
      <x:c r="AH22" s="34" t="n">
        <x:f>MAX(0,MIN(AH$8+1,'Fleet'!$O19)-MAX(AH$7,'Fleet'!$G19))</x:f>
        <x:v>0</x:v>
      </x:c>
      <x:c r="AI22" s="34" t="n">
        <x:f>MAX(0,MIN(AI$8+1,'Fleet'!$O19)-MAX(AI$7,'Fleet'!$G19))</x:f>
        <x:v>0</x:v>
      </x:c>
      <x:c r="AJ22" s="34" t="n">
        <x:f>MAX(0,MIN(AJ$8+1,'Fleet'!$O19)-MAX(AJ$7,'Fleet'!$G19))</x:f>
        <x:v>0</x:v>
      </x:c>
      <x:c r="AK22" s="34" t="n">
        <x:f>MAX(0,MIN(AK$8+1,'Fleet'!$O19)-MAX(AK$7,'Fleet'!$G19))</x:f>
        <x:v>0</x:v>
      </x:c>
      <x:c r="AL22" s="34" t="n">
        <x:f>MAX(0,MIN(AL$8+1,'Fleet'!$O19)-MAX(AL$7,'Fleet'!$G19))</x:f>
        <x:v>0</x:v>
      </x:c>
      <x:c r="AM22" s="34" t="n">
        <x:f>MAX(0,MIN(AM$8+1,'Fleet'!$O19)-MAX(AM$7,'Fleet'!$G19))</x:f>
        <x:v>0</x:v>
      </x:c>
      <x:c r="AN22" s="34" t="n">
        <x:f>MAX(0,MIN(AN$8+1,'Fleet'!$O19)-MAX(AN$7,'Fleet'!$G19))</x:f>
        <x:v>0</x:v>
      </x:c>
      <x:c r="AO22" s="34" t="n">
        <x:f>MAX(0,MIN(AO$8+1,'Fleet'!$O19)-MAX(AO$7,'Fleet'!$G19))</x:f>
        <x:v>0</x:v>
      </x:c>
      <x:c r="AP22" s="34" t="n">
        <x:f>MAX(0,MIN(AP$8+1,'Fleet'!$O19)-MAX(AP$7,'Fleet'!$G19))</x:f>
        <x:v>0</x:v>
      </x:c>
      <x:c r="AQ22" s="34" t="n">
        <x:f>MAX(0,MIN(AQ$8+1,'Fleet'!$O19)-MAX(AQ$7,'Fleet'!$G19))</x:f>
        <x:v>0</x:v>
      </x:c>
    </x:row>
    <x:row r="23" ht="21" customHeight="1">
      <x:c r="A23" s="2"/>
      <x:c r="B23" s="2"/>
      <x:c r="C23" s="5" t="str">
        <x:f>'Fleet'!C20</x:f>
        <x:v>Genco Lion</x:v>
      </x:c>
      <x:c r="D23" s="5" t="str">
        <x:f>'Fleet'!D20</x:f>
        <x:v>Capesize</x:v>
      </x:c>
      <x:c r="E23" s="34" t="n">
        <x:f>MAX(0,MIN(E$8+1,'Fleet'!$O20)-MAX(E$7,'Fleet'!$G20))</x:f>
        <x:v>80</x:v>
      </x:c>
      <x:c r="F23" s="34" t="n">
        <x:f>MAX(0,MIN(F$8+1,'Fleet'!$O20)-MAX(F$7,'Fleet'!$G20))</x:f>
        <x:v>90</x:v>
      </x:c>
      <x:c r="G23" s="34" t="n">
        <x:f>MAX(0,MIN(G$8+1,'Fleet'!$O20)-MAX(G$7,'Fleet'!$G20))</x:f>
        <x:v>91</x:v>
      </x:c>
      <x:c r="H23" s="34" t="n">
        <x:f>MAX(0,MIN(H$8+1,'Fleet'!$O20)-MAX(H$7,'Fleet'!$G20))</x:f>
        <x:v>92</x:v>
      </x:c>
      <x:c r="I23" s="34" t="n">
        <x:f>MAX(0,MIN(I$8+1,'Fleet'!$O20)-MAX(I$7,'Fleet'!$G20))</x:f>
        <x:v>92</x:v>
      </x:c>
      <x:c r="J23" s="34" t="n">
        <x:f>MAX(0,MIN(J$8+1,'Fleet'!$O20)-MAX(J$7,'Fleet'!$G20))</x:f>
        <x:v>91</x:v>
      </x:c>
      <x:c r="K23" s="34" t="n">
        <x:f>MAX(0,MIN(K$8+1,'Fleet'!$O20)-MAX(K$7,'Fleet'!$G20))</x:f>
        <x:v>91</x:v>
      </x:c>
      <x:c r="L23" s="34" t="n">
        <x:f>MAX(0,MIN(L$8+1,'Fleet'!$O20)-MAX(L$7,'Fleet'!$G20))</x:f>
        <x:v>92</x:v>
      </x:c>
      <x:c r="M23" s="34" t="n">
        <x:f>MAX(0,MIN(M$8+1,'Fleet'!$O20)-MAX(M$7,'Fleet'!$G20))</x:f>
        <x:v>92</x:v>
      </x:c>
      <x:c r="N23" s="34" t="n">
        <x:f>MAX(0,MIN(N$8+1,'Fleet'!$O20)-MAX(N$7,'Fleet'!$G20))</x:f>
        <x:v>90</x:v>
      </x:c>
      <x:c r="O23" s="34" t="n">
        <x:f>MAX(0,MIN(O$8+1,'Fleet'!$O20)-MAX(O$7,'Fleet'!$G20))</x:f>
        <x:v>91</x:v>
      </x:c>
      <x:c r="P23" s="34" t="n">
        <x:f>MAX(0,MIN(P$8+1,'Fleet'!$O20)-MAX(P$7,'Fleet'!$G20))</x:f>
        <x:v>92</x:v>
      </x:c>
      <x:c r="Q23" s="34" t="n">
        <x:f>MAX(0,MIN(Q$8+1,'Fleet'!$O20)-MAX(Q$7,'Fleet'!$G20))</x:f>
        <x:v>365</x:v>
      </x:c>
      <x:c r="R23" s="34" t="n">
        <x:f>MAX(0,MIN(R$8+1,'Fleet'!$O20)-MAX(R$7,'Fleet'!$G20))</x:f>
        <x:v>365</x:v>
      </x:c>
      <x:c r="S23" s="34" t="n">
        <x:f>MAX(0,MIN(S$8+1,'Fleet'!$O20)-MAX(S$7,'Fleet'!$G20))</x:f>
        <x:v>366</x:v>
      </x:c>
      <x:c r="T23" s="34" t="n">
        <x:f>MAX(0,MIN(T$8+1,'Fleet'!$O20)-MAX(T$7,'Fleet'!$G20))</x:f>
        <x:v>365</x:v>
      </x:c>
      <x:c r="U23" s="34" t="n">
        <x:f>MAX(0,MIN(U$8+1,'Fleet'!$O20)-MAX(U$7,'Fleet'!$G20))</x:f>
        <x:v>365</x:v>
      </x:c>
      <x:c r="V23" s="34" t="n">
        <x:f>MAX(0,MIN(V$8+1,'Fleet'!$O20)-MAX(V$7,'Fleet'!$G20))</x:f>
        <x:v>365</x:v>
      </x:c>
      <x:c r="W23" s="34" t="n">
        <x:f>MAX(0,MIN(W$8+1,'Fleet'!$O20)-MAX(W$7,'Fleet'!$G20))</x:f>
        <x:v>366</x:v>
      </x:c>
      <x:c r="X23" s="34" t="n">
        <x:f>MAX(0,MIN(X$8+1,'Fleet'!$O20)-MAX(X$7,'Fleet'!$G20))</x:f>
        <x:v>273</x:v>
      </x:c>
      <x:c r="Y23" s="34" t="n">
        <x:f>MAX(0,MIN(Y$8+1,'Fleet'!$O20)-MAX(Y$7,'Fleet'!$G20))</x:f>
        <x:v>0</x:v>
      </x:c>
      <x:c r="Z23" s="34" t="n">
        <x:f>MAX(0,MIN(Z$8+1,'Fleet'!$O20)-MAX(Z$7,'Fleet'!$G20))</x:f>
        <x:v>0</x:v>
      </x:c>
      <x:c r="AA23" s="34" t="n">
        <x:f>MAX(0,MIN(AA$8+1,'Fleet'!$O20)-MAX(AA$7,'Fleet'!$G20))</x:f>
        <x:v>0</x:v>
      </x:c>
      <x:c r="AB23" s="34" t="n">
        <x:f>MAX(0,MIN(AB$8+1,'Fleet'!$O20)-MAX(AB$7,'Fleet'!$G20))</x:f>
        <x:v>0</x:v>
      </x:c>
      <x:c r="AC23" s="34" t="n">
        <x:f>MAX(0,MIN(AC$8+1,'Fleet'!$O20)-MAX(AC$7,'Fleet'!$G20))</x:f>
        <x:v>0</x:v>
      </x:c>
      <x:c r="AD23" s="34" t="n">
        <x:f>MAX(0,MIN(AD$8+1,'Fleet'!$O20)-MAX(AD$7,'Fleet'!$G20))</x:f>
        <x:v>0</x:v>
      </x:c>
      <x:c r="AE23" s="34" t="n">
        <x:f>MAX(0,MIN(AE$8+1,'Fleet'!$O20)-MAX(AE$7,'Fleet'!$G20))</x:f>
        <x:v>0</x:v>
      </x:c>
      <x:c r="AF23" s="34" t="n">
        <x:f>MAX(0,MIN(AF$8+1,'Fleet'!$O20)-MAX(AF$7,'Fleet'!$G20))</x:f>
        <x:v>0</x:v>
      </x:c>
      <x:c r="AG23" s="34" t="n">
        <x:f>MAX(0,MIN(AG$8+1,'Fleet'!$O20)-MAX(AG$7,'Fleet'!$G20))</x:f>
        <x:v>0</x:v>
      </x:c>
      <x:c r="AH23" s="34" t="n">
        <x:f>MAX(0,MIN(AH$8+1,'Fleet'!$O20)-MAX(AH$7,'Fleet'!$G20))</x:f>
        <x:v>0</x:v>
      </x:c>
      <x:c r="AI23" s="34" t="n">
        <x:f>MAX(0,MIN(AI$8+1,'Fleet'!$O20)-MAX(AI$7,'Fleet'!$G20))</x:f>
        <x:v>0</x:v>
      </x:c>
      <x:c r="AJ23" s="34" t="n">
        <x:f>MAX(0,MIN(AJ$8+1,'Fleet'!$O20)-MAX(AJ$7,'Fleet'!$G20))</x:f>
        <x:v>0</x:v>
      </x:c>
      <x:c r="AK23" s="34" t="n">
        <x:f>MAX(0,MIN(AK$8+1,'Fleet'!$O20)-MAX(AK$7,'Fleet'!$G20))</x:f>
        <x:v>0</x:v>
      </x:c>
      <x:c r="AL23" s="34" t="n">
        <x:f>MAX(0,MIN(AL$8+1,'Fleet'!$O20)-MAX(AL$7,'Fleet'!$G20))</x:f>
        <x:v>0</x:v>
      </x:c>
      <x:c r="AM23" s="34" t="n">
        <x:f>MAX(0,MIN(AM$8+1,'Fleet'!$O20)-MAX(AM$7,'Fleet'!$G20))</x:f>
        <x:v>0</x:v>
      </x:c>
      <x:c r="AN23" s="34" t="n">
        <x:f>MAX(0,MIN(AN$8+1,'Fleet'!$O20)-MAX(AN$7,'Fleet'!$G20))</x:f>
        <x:v>0</x:v>
      </x:c>
      <x:c r="AO23" s="34" t="n">
        <x:f>MAX(0,MIN(AO$8+1,'Fleet'!$O20)-MAX(AO$7,'Fleet'!$G20))</x:f>
        <x:v>0</x:v>
      </x:c>
      <x:c r="AP23" s="34" t="n">
        <x:f>MAX(0,MIN(AP$8+1,'Fleet'!$O20)-MAX(AP$7,'Fleet'!$G20))</x:f>
        <x:v>0</x:v>
      </x:c>
      <x:c r="AQ23" s="34" t="n">
        <x:f>MAX(0,MIN(AQ$8+1,'Fleet'!$O20)-MAX(AQ$7,'Fleet'!$G20))</x:f>
        <x:v>0</x:v>
      </x:c>
    </x:row>
    <x:row r="24" ht="21" customHeight="1">
      <x:c r="A24" s="2"/>
      <x:c r="B24" s="2"/>
      <x:c r="C24" s="5" t="str">
        <x:f>'Fleet'!C21</x:f>
        <x:v>Genco Tiger</x:v>
      </x:c>
      <x:c r="D24" s="5" t="str">
        <x:f>'Fleet'!D21</x:f>
        <x:v>Capesize</x:v>
      </x:c>
      <x:c r="E24" s="34" t="n">
        <x:f>MAX(0,MIN(E$8+1,'Fleet'!$O21)-MAX(E$7,'Fleet'!$G21))</x:f>
        <x:v>80</x:v>
      </x:c>
      <x:c r="F24" s="34" t="n">
        <x:f>MAX(0,MIN(F$8+1,'Fleet'!$O21)-MAX(F$7,'Fleet'!$G21))</x:f>
        <x:v>90</x:v>
      </x:c>
      <x:c r="G24" s="34" t="n">
        <x:f>MAX(0,MIN(G$8+1,'Fleet'!$O21)-MAX(G$7,'Fleet'!$G21))</x:f>
        <x:v>91</x:v>
      </x:c>
      <x:c r="H24" s="34" t="n">
        <x:f>MAX(0,MIN(H$8+1,'Fleet'!$O21)-MAX(H$7,'Fleet'!$G21))</x:f>
        <x:v>92</x:v>
      </x:c>
      <x:c r="I24" s="34" t="n">
        <x:f>MAX(0,MIN(I$8+1,'Fleet'!$O21)-MAX(I$7,'Fleet'!$G21))</x:f>
        <x:v>92</x:v>
      </x:c>
      <x:c r="J24" s="34" t="n">
        <x:f>MAX(0,MIN(J$8+1,'Fleet'!$O21)-MAX(J$7,'Fleet'!$G21))</x:f>
        <x:v>91</x:v>
      </x:c>
      <x:c r="K24" s="34" t="n">
        <x:f>MAX(0,MIN(K$8+1,'Fleet'!$O21)-MAX(K$7,'Fleet'!$G21))</x:f>
        <x:v>91</x:v>
      </x:c>
      <x:c r="L24" s="34" t="n">
        <x:f>MAX(0,MIN(L$8+1,'Fleet'!$O21)-MAX(L$7,'Fleet'!$G21))</x:f>
        <x:v>92</x:v>
      </x:c>
      <x:c r="M24" s="34" t="n">
        <x:f>MAX(0,MIN(M$8+1,'Fleet'!$O21)-MAX(M$7,'Fleet'!$G21))</x:f>
        <x:v>92</x:v>
      </x:c>
      <x:c r="N24" s="34" t="n">
        <x:f>MAX(0,MIN(N$8+1,'Fleet'!$O21)-MAX(N$7,'Fleet'!$G21))</x:f>
        <x:v>90</x:v>
      </x:c>
      <x:c r="O24" s="34" t="n">
        <x:f>MAX(0,MIN(O$8+1,'Fleet'!$O21)-MAX(O$7,'Fleet'!$G21))</x:f>
        <x:v>91</x:v>
      </x:c>
      <x:c r="P24" s="34" t="n">
        <x:f>MAX(0,MIN(P$8+1,'Fleet'!$O21)-MAX(P$7,'Fleet'!$G21))</x:f>
        <x:v>92</x:v>
      </x:c>
      <x:c r="Q24" s="34" t="n">
        <x:f>MAX(0,MIN(Q$8+1,'Fleet'!$O21)-MAX(Q$7,'Fleet'!$G21))</x:f>
        <x:v>365</x:v>
      </x:c>
      <x:c r="R24" s="34" t="n">
        <x:f>MAX(0,MIN(R$8+1,'Fleet'!$O21)-MAX(R$7,'Fleet'!$G21))</x:f>
        <x:v>365</x:v>
      </x:c>
      <x:c r="S24" s="34" t="n">
        <x:f>MAX(0,MIN(S$8+1,'Fleet'!$O21)-MAX(S$7,'Fleet'!$G21))</x:f>
        <x:v>366</x:v>
      </x:c>
      <x:c r="T24" s="34" t="n">
        <x:f>MAX(0,MIN(T$8+1,'Fleet'!$O21)-MAX(T$7,'Fleet'!$G21))</x:f>
        <x:v>365</x:v>
      </x:c>
      <x:c r="U24" s="34" t="n">
        <x:f>MAX(0,MIN(U$8+1,'Fleet'!$O21)-MAX(U$7,'Fleet'!$G21))</x:f>
        <x:v>365</x:v>
      </x:c>
      <x:c r="V24" s="34" t="n">
        <x:f>MAX(0,MIN(V$8+1,'Fleet'!$O21)-MAX(V$7,'Fleet'!$G21))</x:f>
        <x:v>365</x:v>
      </x:c>
      <x:c r="W24" s="34" t="n">
        <x:f>MAX(0,MIN(W$8+1,'Fleet'!$O21)-MAX(W$7,'Fleet'!$G21))</x:f>
        <x:v>274</x:v>
      </x:c>
      <x:c r="X24" s="34" t="n">
        <x:f>MAX(0,MIN(X$8+1,'Fleet'!$O21)-MAX(X$7,'Fleet'!$G21))</x:f>
        <x:v>0</x:v>
      </x:c>
      <x:c r="Y24" s="34" t="n">
        <x:f>MAX(0,MIN(Y$8+1,'Fleet'!$O21)-MAX(Y$7,'Fleet'!$G21))</x:f>
        <x:v>0</x:v>
      </x:c>
      <x:c r="Z24" s="34" t="n">
        <x:f>MAX(0,MIN(Z$8+1,'Fleet'!$O21)-MAX(Z$7,'Fleet'!$G21))</x:f>
        <x:v>0</x:v>
      </x:c>
      <x:c r="AA24" s="34" t="n">
        <x:f>MAX(0,MIN(AA$8+1,'Fleet'!$O21)-MAX(AA$7,'Fleet'!$G21))</x:f>
        <x:v>0</x:v>
      </x:c>
      <x:c r="AB24" s="34" t="n">
        <x:f>MAX(0,MIN(AB$8+1,'Fleet'!$O21)-MAX(AB$7,'Fleet'!$G21))</x:f>
        <x:v>0</x:v>
      </x:c>
      <x:c r="AC24" s="34" t="n">
        <x:f>MAX(0,MIN(AC$8+1,'Fleet'!$O21)-MAX(AC$7,'Fleet'!$G21))</x:f>
        <x:v>0</x:v>
      </x:c>
      <x:c r="AD24" s="34" t="n">
        <x:f>MAX(0,MIN(AD$8+1,'Fleet'!$O21)-MAX(AD$7,'Fleet'!$G21))</x:f>
        <x:v>0</x:v>
      </x:c>
      <x:c r="AE24" s="34" t="n">
        <x:f>MAX(0,MIN(AE$8+1,'Fleet'!$O21)-MAX(AE$7,'Fleet'!$G21))</x:f>
        <x:v>0</x:v>
      </x:c>
      <x:c r="AF24" s="34" t="n">
        <x:f>MAX(0,MIN(AF$8+1,'Fleet'!$O21)-MAX(AF$7,'Fleet'!$G21))</x:f>
        <x:v>0</x:v>
      </x:c>
      <x:c r="AG24" s="34" t="n">
        <x:f>MAX(0,MIN(AG$8+1,'Fleet'!$O21)-MAX(AG$7,'Fleet'!$G21))</x:f>
        <x:v>0</x:v>
      </x:c>
      <x:c r="AH24" s="34" t="n">
        <x:f>MAX(0,MIN(AH$8+1,'Fleet'!$O21)-MAX(AH$7,'Fleet'!$G21))</x:f>
        <x:v>0</x:v>
      </x:c>
      <x:c r="AI24" s="34" t="n">
        <x:f>MAX(0,MIN(AI$8+1,'Fleet'!$O21)-MAX(AI$7,'Fleet'!$G21))</x:f>
        <x:v>0</x:v>
      </x:c>
      <x:c r="AJ24" s="34" t="n">
        <x:f>MAX(0,MIN(AJ$8+1,'Fleet'!$O21)-MAX(AJ$7,'Fleet'!$G21))</x:f>
        <x:v>0</x:v>
      </x:c>
      <x:c r="AK24" s="34" t="n">
        <x:f>MAX(0,MIN(AK$8+1,'Fleet'!$O21)-MAX(AK$7,'Fleet'!$G21))</x:f>
        <x:v>0</x:v>
      </x:c>
      <x:c r="AL24" s="34" t="n">
        <x:f>MAX(0,MIN(AL$8+1,'Fleet'!$O21)-MAX(AL$7,'Fleet'!$G21))</x:f>
        <x:v>0</x:v>
      </x:c>
      <x:c r="AM24" s="34" t="n">
        <x:f>MAX(0,MIN(AM$8+1,'Fleet'!$O21)-MAX(AM$7,'Fleet'!$G21))</x:f>
        <x:v>0</x:v>
      </x:c>
      <x:c r="AN24" s="34" t="n">
        <x:f>MAX(0,MIN(AN$8+1,'Fleet'!$O21)-MAX(AN$7,'Fleet'!$G21))</x:f>
        <x:v>0</x:v>
      </x:c>
      <x:c r="AO24" s="34" t="n">
        <x:f>MAX(0,MIN(AO$8+1,'Fleet'!$O21)-MAX(AO$7,'Fleet'!$G21))</x:f>
        <x:v>0</x:v>
      </x:c>
      <x:c r="AP24" s="34" t="n">
        <x:f>MAX(0,MIN(AP$8+1,'Fleet'!$O21)-MAX(AP$7,'Fleet'!$G21))</x:f>
        <x:v>0</x:v>
      </x:c>
      <x:c r="AQ24" s="34" t="n">
        <x:f>MAX(0,MIN(AQ$8+1,'Fleet'!$O21)-MAX(AQ$7,'Fleet'!$G21))</x:f>
        <x:v>0</x:v>
      </x:c>
    </x:row>
    <x:row r="25" ht="21" customHeight="1">
      <x:c r="A25" s="2"/>
      <x:c r="B25" s="2"/>
      <x:c r="C25" s="5" t="str">
        <x:f>'Fleet'!C22</x:f>
        <x:v>Genco London</x:v>
      </x:c>
      <x:c r="D25" s="5" t="str">
        <x:f>'Fleet'!D22</x:f>
        <x:v>Capesize</x:v>
      </x:c>
      <x:c r="E25" s="34" t="n">
        <x:f>MAX(0,MIN(E$8+1,'Fleet'!$O22)-MAX(E$7,'Fleet'!$G22))</x:f>
        <x:v>80</x:v>
      </x:c>
      <x:c r="F25" s="34" t="n">
        <x:f>MAX(0,MIN(F$8+1,'Fleet'!$O22)-MAX(F$7,'Fleet'!$G22))</x:f>
        <x:v>90</x:v>
      </x:c>
      <x:c r="G25" s="34" t="n">
        <x:f>MAX(0,MIN(G$8+1,'Fleet'!$O22)-MAX(G$7,'Fleet'!$G22))</x:f>
        <x:v>91</x:v>
      </x:c>
      <x:c r="H25" s="34" t="n">
        <x:f>MAX(0,MIN(H$8+1,'Fleet'!$O22)-MAX(H$7,'Fleet'!$G22))</x:f>
        <x:v>92</x:v>
      </x:c>
      <x:c r="I25" s="34" t="n">
        <x:f>MAX(0,MIN(I$8+1,'Fleet'!$O22)-MAX(I$7,'Fleet'!$G22))</x:f>
        <x:v>92</x:v>
      </x:c>
      <x:c r="J25" s="34" t="n">
        <x:f>MAX(0,MIN(J$8+1,'Fleet'!$O22)-MAX(J$7,'Fleet'!$G22))</x:f>
        <x:v>91</x:v>
      </x:c>
      <x:c r="K25" s="34" t="n">
        <x:f>MAX(0,MIN(K$8+1,'Fleet'!$O22)-MAX(K$7,'Fleet'!$G22))</x:f>
        <x:v>91</x:v>
      </x:c>
      <x:c r="L25" s="34" t="n">
        <x:f>MAX(0,MIN(L$8+1,'Fleet'!$O22)-MAX(L$7,'Fleet'!$G22))</x:f>
        <x:v>92</x:v>
      </x:c>
      <x:c r="M25" s="34" t="n">
        <x:f>MAX(0,MIN(M$8+1,'Fleet'!$O22)-MAX(M$7,'Fleet'!$G22))</x:f>
        <x:v>92</x:v>
      </x:c>
      <x:c r="N25" s="34" t="n">
        <x:f>MAX(0,MIN(N$8+1,'Fleet'!$O22)-MAX(N$7,'Fleet'!$G22))</x:f>
        <x:v>90</x:v>
      </x:c>
      <x:c r="O25" s="34" t="n">
        <x:f>MAX(0,MIN(O$8+1,'Fleet'!$O22)-MAX(O$7,'Fleet'!$G22))</x:f>
        <x:v>91</x:v>
      </x:c>
      <x:c r="P25" s="34" t="n">
        <x:f>MAX(0,MIN(P$8+1,'Fleet'!$O22)-MAX(P$7,'Fleet'!$G22))</x:f>
        <x:v>92</x:v>
      </x:c>
      <x:c r="Q25" s="34" t="n">
        <x:f>MAX(0,MIN(Q$8+1,'Fleet'!$O22)-MAX(Q$7,'Fleet'!$G22))</x:f>
        <x:v>365</x:v>
      </x:c>
      <x:c r="R25" s="34" t="n">
        <x:f>MAX(0,MIN(R$8+1,'Fleet'!$O22)-MAX(R$7,'Fleet'!$G22))</x:f>
        <x:v>365</x:v>
      </x:c>
      <x:c r="S25" s="34" t="n">
        <x:f>MAX(0,MIN(S$8+1,'Fleet'!$O22)-MAX(S$7,'Fleet'!$G22))</x:f>
        <x:v>274</x:v>
      </x:c>
      <x:c r="T25" s="34" t="n">
        <x:f>MAX(0,MIN(T$8+1,'Fleet'!$O22)-MAX(T$7,'Fleet'!$G22))</x:f>
        <x:v>0</x:v>
      </x:c>
      <x:c r="U25" s="34" t="n">
        <x:f>MAX(0,MIN(U$8+1,'Fleet'!$O22)-MAX(U$7,'Fleet'!$G22))</x:f>
        <x:v>0</x:v>
      </x:c>
      <x:c r="V25" s="34" t="n">
        <x:f>MAX(0,MIN(V$8+1,'Fleet'!$O22)-MAX(V$7,'Fleet'!$G22))</x:f>
        <x:v>0</x:v>
      </x:c>
      <x:c r="W25" s="34" t="n">
        <x:f>MAX(0,MIN(W$8+1,'Fleet'!$O22)-MAX(W$7,'Fleet'!$G22))</x:f>
        <x:v>0</x:v>
      </x:c>
      <x:c r="X25" s="34" t="n">
        <x:f>MAX(0,MIN(X$8+1,'Fleet'!$O22)-MAX(X$7,'Fleet'!$G22))</x:f>
        <x:v>0</x:v>
      </x:c>
      <x:c r="Y25" s="34" t="n">
        <x:f>MAX(0,MIN(Y$8+1,'Fleet'!$O22)-MAX(Y$7,'Fleet'!$G22))</x:f>
        <x:v>0</x:v>
      </x:c>
      <x:c r="Z25" s="34" t="n">
        <x:f>MAX(0,MIN(Z$8+1,'Fleet'!$O22)-MAX(Z$7,'Fleet'!$G22))</x:f>
        <x:v>0</x:v>
      </x:c>
      <x:c r="AA25" s="34" t="n">
        <x:f>MAX(0,MIN(AA$8+1,'Fleet'!$O22)-MAX(AA$7,'Fleet'!$G22))</x:f>
        <x:v>0</x:v>
      </x:c>
      <x:c r="AB25" s="34" t="n">
        <x:f>MAX(0,MIN(AB$8+1,'Fleet'!$O22)-MAX(AB$7,'Fleet'!$G22))</x:f>
        <x:v>0</x:v>
      </x:c>
      <x:c r="AC25" s="34" t="n">
        <x:f>MAX(0,MIN(AC$8+1,'Fleet'!$O22)-MAX(AC$7,'Fleet'!$G22))</x:f>
        <x:v>0</x:v>
      </x:c>
      <x:c r="AD25" s="34" t="n">
        <x:f>MAX(0,MIN(AD$8+1,'Fleet'!$O22)-MAX(AD$7,'Fleet'!$G22))</x:f>
        <x:v>0</x:v>
      </x:c>
      <x:c r="AE25" s="34" t="n">
        <x:f>MAX(0,MIN(AE$8+1,'Fleet'!$O22)-MAX(AE$7,'Fleet'!$G22))</x:f>
        <x:v>0</x:v>
      </x:c>
      <x:c r="AF25" s="34" t="n">
        <x:f>MAX(0,MIN(AF$8+1,'Fleet'!$O22)-MAX(AF$7,'Fleet'!$G22))</x:f>
        <x:v>0</x:v>
      </x:c>
      <x:c r="AG25" s="34" t="n">
        <x:f>MAX(0,MIN(AG$8+1,'Fleet'!$O22)-MAX(AG$7,'Fleet'!$G22))</x:f>
        <x:v>0</x:v>
      </x:c>
      <x:c r="AH25" s="34" t="n">
        <x:f>MAX(0,MIN(AH$8+1,'Fleet'!$O22)-MAX(AH$7,'Fleet'!$G22))</x:f>
        <x:v>0</x:v>
      </x:c>
      <x:c r="AI25" s="34" t="n">
        <x:f>MAX(0,MIN(AI$8+1,'Fleet'!$O22)-MAX(AI$7,'Fleet'!$G22))</x:f>
        <x:v>0</x:v>
      </x:c>
      <x:c r="AJ25" s="34" t="n">
        <x:f>MAX(0,MIN(AJ$8+1,'Fleet'!$O22)-MAX(AJ$7,'Fleet'!$G22))</x:f>
        <x:v>0</x:v>
      </x:c>
      <x:c r="AK25" s="34" t="n">
        <x:f>MAX(0,MIN(AK$8+1,'Fleet'!$O22)-MAX(AK$7,'Fleet'!$G22))</x:f>
        <x:v>0</x:v>
      </x:c>
      <x:c r="AL25" s="34" t="n">
        <x:f>MAX(0,MIN(AL$8+1,'Fleet'!$O22)-MAX(AL$7,'Fleet'!$G22))</x:f>
        <x:v>0</x:v>
      </x:c>
      <x:c r="AM25" s="34" t="n">
        <x:f>MAX(0,MIN(AM$8+1,'Fleet'!$O22)-MAX(AM$7,'Fleet'!$G22))</x:f>
        <x:v>0</x:v>
      </x:c>
      <x:c r="AN25" s="34" t="n">
        <x:f>MAX(0,MIN(AN$8+1,'Fleet'!$O22)-MAX(AN$7,'Fleet'!$G22))</x:f>
        <x:v>0</x:v>
      </x:c>
      <x:c r="AO25" s="34" t="n">
        <x:f>MAX(0,MIN(AO$8+1,'Fleet'!$O22)-MAX(AO$7,'Fleet'!$G22))</x:f>
        <x:v>0</x:v>
      </x:c>
      <x:c r="AP25" s="34" t="n">
        <x:f>MAX(0,MIN(AP$8+1,'Fleet'!$O22)-MAX(AP$7,'Fleet'!$G22))</x:f>
        <x:v>0</x:v>
      </x:c>
      <x:c r="AQ25" s="34" t="n">
        <x:f>MAX(0,MIN(AQ$8+1,'Fleet'!$O22)-MAX(AQ$7,'Fleet'!$G22))</x:f>
        <x:v>0</x:v>
      </x:c>
    </x:row>
    <x:row r="26" ht="21" customHeight="1">
      <x:c r="A26" s="2"/>
      <x:c r="B26" s="2"/>
      <x:c r="C26" s="5" t="str">
        <x:f>'Fleet'!C23</x:f>
        <x:v>Genco Wolf</x:v>
      </x:c>
      <x:c r="D26" s="5" t="str">
        <x:f>'Fleet'!D23</x:f>
        <x:v>Capesize</x:v>
      </x:c>
      <x:c r="E26" s="34" t="n">
        <x:f>MAX(0,MIN(E$8+1,'Fleet'!$O23)-MAX(E$7,'Fleet'!$G23))</x:f>
        <x:v>80</x:v>
      </x:c>
      <x:c r="F26" s="34" t="n">
        <x:f>MAX(0,MIN(F$8+1,'Fleet'!$O23)-MAX(F$7,'Fleet'!$G23))</x:f>
        <x:v>90</x:v>
      </x:c>
      <x:c r="G26" s="34" t="n">
        <x:f>MAX(0,MIN(G$8+1,'Fleet'!$O23)-MAX(G$7,'Fleet'!$G23))</x:f>
        <x:v>91</x:v>
      </x:c>
      <x:c r="H26" s="34" t="n">
        <x:f>MAX(0,MIN(H$8+1,'Fleet'!$O23)-MAX(H$7,'Fleet'!$G23))</x:f>
        <x:v>92</x:v>
      </x:c>
      <x:c r="I26" s="34" t="n">
        <x:f>MAX(0,MIN(I$8+1,'Fleet'!$O23)-MAX(I$7,'Fleet'!$G23))</x:f>
        <x:v>92</x:v>
      </x:c>
      <x:c r="J26" s="34" t="n">
        <x:f>MAX(0,MIN(J$8+1,'Fleet'!$O23)-MAX(J$7,'Fleet'!$G23))</x:f>
        <x:v>91</x:v>
      </x:c>
      <x:c r="K26" s="34" t="n">
        <x:f>MAX(0,MIN(K$8+1,'Fleet'!$O23)-MAX(K$7,'Fleet'!$G23))</x:f>
        <x:v>91</x:v>
      </x:c>
      <x:c r="L26" s="34" t="n">
        <x:f>MAX(0,MIN(L$8+1,'Fleet'!$O23)-MAX(L$7,'Fleet'!$G23))</x:f>
        <x:v>92</x:v>
      </x:c>
      <x:c r="M26" s="34" t="n">
        <x:f>MAX(0,MIN(M$8+1,'Fleet'!$O23)-MAX(M$7,'Fleet'!$G23))</x:f>
        <x:v>92</x:v>
      </x:c>
      <x:c r="N26" s="34" t="n">
        <x:f>MAX(0,MIN(N$8+1,'Fleet'!$O23)-MAX(N$7,'Fleet'!$G23))</x:f>
        <x:v>90</x:v>
      </x:c>
      <x:c r="O26" s="34" t="n">
        <x:f>MAX(0,MIN(O$8+1,'Fleet'!$O23)-MAX(O$7,'Fleet'!$G23))</x:f>
        <x:v>91</x:v>
      </x:c>
      <x:c r="P26" s="34" t="n">
        <x:f>MAX(0,MIN(P$8+1,'Fleet'!$O23)-MAX(P$7,'Fleet'!$G23))</x:f>
        <x:v>92</x:v>
      </x:c>
      <x:c r="Q26" s="34" t="n">
        <x:f>MAX(0,MIN(Q$8+1,'Fleet'!$O23)-MAX(Q$7,'Fleet'!$G23))</x:f>
        <x:v>365</x:v>
      </x:c>
      <x:c r="R26" s="34" t="n">
        <x:f>MAX(0,MIN(R$8+1,'Fleet'!$O23)-MAX(R$7,'Fleet'!$G23))</x:f>
        <x:v>365</x:v>
      </x:c>
      <x:c r="S26" s="34" t="n">
        <x:f>MAX(0,MIN(S$8+1,'Fleet'!$O23)-MAX(S$7,'Fleet'!$G23))</x:f>
        <x:v>366</x:v>
      </x:c>
      <x:c r="T26" s="34" t="n">
        <x:f>MAX(0,MIN(T$8+1,'Fleet'!$O23)-MAX(T$7,'Fleet'!$G23))</x:f>
        <x:v>365</x:v>
      </x:c>
      <x:c r="U26" s="34" t="n">
        <x:f>MAX(0,MIN(U$8+1,'Fleet'!$O23)-MAX(U$7,'Fleet'!$G23))</x:f>
        <x:v>365</x:v>
      </x:c>
      <x:c r="V26" s="34" t="n">
        <x:f>MAX(0,MIN(V$8+1,'Fleet'!$O23)-MAX(V$7,'Fleet'!$G23))</x:f>
        <x:v>273</x:v>
      </x:c>
      <x:c r="W26" s="34" t="n">
        <x:f>MAX(0,MIN(W$8+1,'Fleet'!$O23)-MAX(W$7,'Fleet'!$G23))</x:f>
        <x:v>0</x:v>
      </x:c>
      <x:c r="X26" s="34" t="n">
        <x:f>MAX(0,MIN(X$8+1,'Fleet'!$O23)-MAX(X$7,'Fleet'!$G23))</x:f>
        <x:v>0</x:v>
      </x:c>
      <x:c r="Y26" s="34" t="n">
        <x:f>MAX(0,MIN(Y$8+1,'Fleet'!$O23)-MAX(Y$7,'Fleet'!$G23))</x:f>
        <x:v>0</x:v>
      </x:c>
      <x:c r="Z26" s="34" t="n">
        <x:f>MAX(0,MIN(Z$8+1,'Fleet'!$O23)-MAX(Z$7,'Fleet'!$G23))</x:f>
        <x:v>0</x:v>
      </x:c>
      <x:c r="AA26" s="34" t="n">
        <x:f>MAX(0,MIN(AA$8+1,'Fleet'!$O23)-MAX(AA$7,'Fleet'!$G23))</x:f>
        <x:v>0</x:v>
      </x:c>
      <x:c r="AB26" s="34" t="n">
        <x:f>MAX(0,MIN(AB$8+1,'Fleet'!$O23)-MAX(AB$7,'Fleet'!$G23))</x:f>
        <x:v>0</x:v>
      </x:c>
      <x:c r="AC26" s="34" t="n">
        <x:f>MAX(0,MIN(AC$8+1,'Fleet'!$O23)-MAX(AC$7,'Fleet'!$G23))</x:f>
        <x:v>0</x:v>
      </x:c>
      <x:c r="AD26" s="34" t="n">
        <x:f>MAX(0,MIN(AD$8+1,'Fleet'!$O23)-MAX(AD$7,'Fleet'!$G23))</x:f>
        <x:v>0</x:v>
      </x:c>
      <x:c r="AE26" s="34" t="n">
        <x:f>MAX(0,MIN(AE$8+1,'Fleet'!$O23)-MAX(AE$7,'Fleet'!$G23))</x:f>
        <x:v>0</x:v>
      </x:c>
      <x:c r="AF26" s="34" t="n">
        <x:f>MAX(0,MIN(AF$8+1,'Fleet'!$O23)-MAX(AF$7,'Fleet'!$G23))</x:f>
        <x:v>0</x:v>
      </x:c>
      <x:c r="AG26" s="34" t="n">
        <x:f>MAX(0,MIN(AG$8+1,'Fleet'!$O23)-MAX(AG$7,'Fleet'!$G23))</x:f>
        <x:v>0</x:v>
      </x:c>
      <x:c r="AH26" s="34" t="n">
        <x:f>MAX(0,MIN(AH$8+1,'Fleet'!$O23)-MAX(AH$7,'Fleet'!$G23))</x:f>
        <x:v>0</x:v>
      </x:c>
      <x:c r="AI26" s="34" t="n">
        <x:f>MAX(0,MIN(AI$8+1,'Fleet'!$O23)-MAX(AI$7,'Fleet'!$G23))</x:f>
        <x:v>0</x:v>
      </x:c>
      <x:c r="AJ26" s="34" t="n">
        <x:f>MAX(0,MIN(AJ$8+1,'Fleet'!$O23)-MAX(AJ$7,'Fleet'!$G23))</x:f>
        <x:v>0</x:v>
      </x:c>
      <x:c r="AK26" s="34" t="n">
        <x:f>MAX(0,MIN(AK$8+1,'Fleet'!$O23)-MAX(AK$7,'Fleet'!$G23))</x:f>
        <x:v>0</x:v>
      </x:c>
      <x:c r="AL26" s="34" t="n">
        <x:f>MAX(0,MIN(AL$8+1,'Fleet'!$O23)-MAX(AL$7,'Fleet'!$G23))</x:f>
        <x:v>0</x:v>
      </x:c>
      <x:c r="AM26" s="34" t="n">
        <x:f>MAX(0,MIN(AM$8+1,'Fleet'!$O23)-MAX(AM$7,'Fleet'!$G23))</x:f>
        <x:v>0</x:v>
      </x:c>
      <x:c r="AN26" s="34" t="n">
        <x:f>MAX(0,MIN(AN$8+1,'Fleet'!$O23)-MAX(AN$7,'Fleet'!$G23))</x:f>
        <x:v>0</x:v>
      </x:c>
      <x:c r="AO26" s="34" t="n">
        <x:f>MAX(0,MIN(AO$8+1,'Fleet'!$O23)-MAX(AO$7,'Fleet'!$G23))</x:f>
        <x:v>0</x:v>
      </x:c>
      <x:c r="AP26" s="34" t="n">
        <x:f>MAX(0,MIN(AP$8+1,'Fleet'!$O23)-MAX(AP$7,'Fleet'!$G23))</x:f>
        <x:v>0</x:v>
      </x:c>
      <x:c r="AQ26" s="34" t="n">
        <x:f>MAX(0,MIN(AQ$8+1,'Fleet'!$O23)-MAX(AQ$7,'Fleet'!$G23))</x:f>
        <x:v>0</x:v>
      </x:c>
    </x:row>
    <x:row r="27" ht="21" customHeight="1">
      <x:c r="A27" s="2"/>
      <x:c r="B27" s="2"/>
      <x:c r="C27" s="5" t="str">
        <x:f>'Fleet'!C24</x:f>
        <x:v>Genco Titus</x:v>
      </x:c>
      <x:c r="D27" s="5" t="str">
        <x:f>'Fleet'!D24</x:f>
        <x:v>Capesize</x:v>
      </x:c>
      <x:c r="E27" s="34" t="n">
        <x:f>MAX(0,MIN(E$8+1,'Fleet'!$O24)-MAX(E$7,'Fleet'!$G24))</x:f>
        <x:v>80</x:v>
      </x:c>
      <x:c r="F27" s="34" t="n">
        <x:f>MAX(0,MIN(F$8+1,'Fleet'!$O24)-MAX(F$7,'Fleet'!$G24))</x:f>
        <x:v>90</x:v>
      </x:c>
      <x:c r="G27" s="34" t="n">
        <x:f>MAX(0,MIN(G$8+1,'Fleet'!$O24)-MAX(G$7,'Fleet'!$G24))</x:f>
        <x:v>91</x:v>
      </x:c>
      <x:c r="H27" s="34" t="n">
        <x:f>MAX(0,MIN(H$8+1,'Fleet'!$O24)-MAX(H$7,'Fleet'!$G24))</x:f>
        <x:v>92</x:v>
      </x:c>
      <x:c r="I27" s="34" t="n">
        <x:f>MAX(0,MIN(I$8+1,'Fleet'!$O24)-MAX(I$7,'Fleet'!$G24))</x:f>
        <x:v>92</x:v>
      </x:c>
      <x:c r="J27" s="34" t="n">
        <x:f>MAX(0,MIN(J$8+1,'Fleet'!$O24)-MAX(J$7,'Fleet'!$G24))</x:f>
        <x:v>91</x:v>
      </x:c>
      <x:c r="K27" s="34" t="n">
        <x:f>MAX(0,MIN(K$8+1,'Fleet'!$O24)-MAX(K$7,'Fleet'!$G24))</x:f>
        <x:v>91</x:v>
      </x:c>
      <x:c r="L27" s="34" t="n">
        <x:f>MAX(0,MIN(L$8+1,'Fleet'!$O24)-MAX(L$7,'Fleet'!$G24))</x:f>
        <x:v>92</x:v>
      </x:c>
      <x:c r="M27" s="34" t="n">
        <x:f>MAX(0,MIN(M$8+1,'Fleet'!$O24)-MAX(M$7,'Fleet'!$G24))</x:f>
        <x:v>92</x:v>
      </x:c>
      <x:c r="N27" s="34" t="n">
        <x:f>MAX(0,MIN(N$8+1,'Fleet'!$O24)-MAX(N$7,'Fleet'!$G24))</x:f>
        <x:v>90</x:v>
      </x:c>
      <x:c r="O27" s="34" t="n">
        <x:f>MAX(0,MIN(O$8+1,'Fleet'!$O24)-MAX(O$7,'Fleet'!$G24))</x:f>
        <x:v>91</x:v>
      </x:c>
      <x:c r="P27" s="34" t="n">
        <x:f>MAX(0,MIN(P$8+1,'Fleet'!$O24)-MAX(P$7,'Fleet'!$G24))</x:f>
        <x:v>92</x:v>
      </x:c>
      <x:c r="Q27" s="34" t="n">
        <x:f>MAX(0,MIN(Q$8+1,'Fleet'!$O24)-MAX(Q$7,'Fleet'!$G24))</x:f>
        <x:v>365</x:v>
      </x:c>
      <x:c r="R27" s="34" t="n">
        <x:f>MAX(0,MIN(R$8+1,'Fleet'!$O24)-MAX(R$7,'Fleet'!$G24))</x:f>
        <x:v>365</x:v>
      </x:c>
      <x:c r="S27" s="34" t="n">
        <x:f>MAX(0,MIN(S$8+1,'Fleet'!$O24)-MAX(S$7,'Fleet'!$G24))</x:f>
        <x:v>274</x:v>
      </x:c>
      <x:c r="T27" s="34" t="n">
        <x:f>MAX(0,MIN(T$8+1,'Fleet'!$O24)-MAX(T$7,'Fleet'!$G24))</x:f>
        <x:v>0</x:v>
      </x:c>
      <x:c r="U27" s="34" t="n">
        <x:f>MAX(0,MIN(U$8+1,'Fleet'!$O24)-MAX(U$7,'Fleet'!$G24))</x:f>
        <x:v>0</x:v>
      </x:c>
      <x:c r="V27" s="34" t="n">
        <x:f>MAX(0,MIN(V$8+1,'Fleet'!$O24)-MAX(V$7,'Fleet'!$G24))</x:f>
        <x:v>0</x:v>
      </x:c>
      <x:c r="W27" s="34" t="n">
        <x:f>MAX(0,MIN(W$8+1,'Fleet'!$O24)-MAX(W$7,'Fleet'!$G24))</x:f>
        <x:v>0</x:v>
      </x:c>
      <x:c r="X27" s="34" t="n">
        <x:f>MAX(0,MIN(X$8+1,'Fleet'!$O24)-MAX(X$7,'Fleet'!$G24))</x:f>
        <x:v>0</x:v>
      </x:c>
      <x:c r="Y27" s="34" t="n">
        <x:f>MAX(0,MIN(Y$8+1,'Fleet'!$O24)-MAX(Y$7,'Fleet'!$G24))</x:f>
        <x:v>0</x:v>
      </x:c>
      <x:c r="Z27" s="34" t="n">
        <x:f>MAX(0,MIN(Z$8+1,'Fleet'!$O24)-MAX(Z$7,'Fleet'!$G24))</x:f>
        <x:v>0</x:v>
      </x:c>
      <x:c r="AA27" s="34" t="n">
        <x:f>MAX(0,MIN(AA$8+1,'Fleet'!$O24)-MAX(AA$7,'Fleet'!$G24))</x:f>
        <x:v>0</x:v>
      </x:c>
      <x:c r="AB27" s="34" t="n">
        <x:f>MAX(0,MIN(AB$8+1,'Fleet'!$O24)-MAX(AB$7,'Fleet'!$G24))</x:f>
        <x:v>0</x:v>
      </x:c>
      <x:c r="AC27" s="34" t="n">
        <x:f>MAX(0,MIN(AC$8+1,'Fleet'!$O24)-MAX(AC$7,'Fleet'!$G24))</x:f>
        <x:v>0</x:v>
      </x:c>
      <x:c r="AD27" s="34" t="n">
        <x:f>MAX(0,MIN(AD$8+1,'Fleet'!$O24)-MAX(AD$7,'Fleet'!$G24))</x:f>
        <x:v>0</x:v>
      </x:c>
      <x:c r="AE27" s="34" t="n">
        <x:f>MAX(0,MIN(AE$8+1,'Fleet'!$O24)-MAX(AE$7,'Fleet'!$G24))</x:f>
        <x:v>0</x:v>
      </x:c>
      <x:c r="AF27" s="34" t="n">
        <x:f>MAX(0,MIN(AF$8+1,'Fleet'!$O24)-MAX(AF$7,'Fleet'!$G24))</x:f>
        <x:v>0</x:v>
      </x:c>
      <x:c r="AG27" s="34" t="n">
        <x:f>MAX(0,MIN(AG$8+1,'Fleet'!$O24)-MAX(AG$7,'Fleet'!$G24))</x:f>
        <x:v>0</x:v>
      </x:c>
      <x:c r="AH27" s="34" t="n">
        <x:f>MAX(0,MIN(AH$8+1,'Fleet'!$O24)-MAX(AH$7,'Fleet'!$G24))</x:f>
        <x:v>0</x:v>
      </x:c>
      <x:c r="AI27" s="34" t="n">
        <x:f>MAX(0,MIN(AI$8+1,'Fleet'!$O24)-MAX(AI$7,'Fleet'!$G24))</x:f>
        <x:v>0</x:v>
      </x:c>
      <x:c r="AJ27" s="34" t="n">
        <x:f>MAX(0,MIN(AJ$8+1,'Fleet'!$O24)-MAX(AJ$7,'Fleet'!$G24))</x:f>
        <x:v>0</x:v>
      </x:c>
      <x:c r="AK27" s="34" t="n">
        <x:f>MAX(0,MIN(AK$8+1,'Fleet'!$O24)-MAX(AK$7,'Fleet'!$G24))</x:f>
        <x:v>0</x:v>
      </x:c>
      <x:c r="AL27" s="34" t="n">
        <x:f>MAX(0,MIN(AL$8+1,'Fleet'!$O24)-MAX(AL$7,'Fleet'!$G24))</x:f>
        <x:v>0</x:v>
      </x:c>
      <x:c r="AM27" s="34" t="n">
        <x:f>MAX(0,MIN(AM$8+1,'Fleet'!$O24)-MAX(AM$7,'Fleet'!$G24))</x:f>
        <x:v>0</x:v>
      </x:c>
      <x:c r="AN27" s="34" t="n">
        <x:f>MAX(0,MIN(AN$8+1,'Fleet'!$O24)-MAX(AN$7,'Fleet'!$G24))</x:f>
        <x:v>0</x:v>
      </x:c>
      <x:c r="AO27" s="34" t="n">
        <x:f>MAX(0,MIN(AO$8+1,'Fleet'!$O24)-MAX(AO$7,'Fleet'!$G24))</x:f>
        <x:v>0</x:v>
      </x:c>
      <x:c r="AP27" s="34" t="n">
        <x:f>MAX(0,MIN(AP$8+1,'Fleet'!$O24)-MAX(AP$7,'Fleet'!$G24))</x:f>
        <x:v>0</x:v>
      </x:c>
      <x:c r="AQ27" s="34" t="n">
        <x:f>MAX(0,MIN(AQ$8+1,'Fleet'!$O24)-MAX(AQ$7,'Fleet'!$G24))</x:f>
        <x:v>0</x:v>
      </x:c>
    </x:row>
    <x:row r="28" ht="21" customHeight="1">
      <x:c r="A28" s="2"/>
      <x:c r="B28" s="2"/>
      <x:c r="C28" s="5" t="str">
        <x:f>'Fleet'!C25</x:f>
        <x:v>Genco Bear</x:v>
      </x:c>
      <x:c r="D28" s="5" t="str">
        <x:f>'Fleet'!D25</x:f>
        <x:v>Capesize</x:v>
      </x:c>
      <x:c r="E28" s="34" t="n">
        <x:f>MAX(0,MIN(E$8+1,'Fleet'!$O25)-MAX(E$7,'Fleet'!$G25))</x:f>
        <x:v>80</x:v>
      </x:c>
      <x:c r="F28" s="34" t="n">
        <x:f>MAX(0,MIN(F$8+1,'Fleet'!$O25)-MAX(F$7,'Fleet'!$G25))</x:f>
        <x:v>90</x:v>
      </x:c>
      <x:c r="G28" s="34" t="n">
        <x:f>MAX(0,MIN(G$8+1,'Fleet'!$O25)-MAX(G$7,'Fleet'!$G25))</x:f>
        <x:v>91</x:v>
      </x:c>
      <x:c r="H28" s="34" t="n">
        <x:f>MAX(0,MIN(H$8+1,'Fleet'!$O25)-MAX(H$7,'Fleet'!$G25))</x:f>
        <x:v>92</x:v>
      </x:c>
      <x:c r="I28" s="34" t="n">
        <x:f>MAX(0,MIN(I$8+1,'Fleet'!$O25)-MAX(I$7,'Fleet'!$G25))</x:f>
        <x:v>92</x:v>
      </x:c>
      <x:c r="J28" s="34" t="n">
        <x:f>MAX(0,MIN(J$8+1,'Fleet'!$O25)-MAX(J$7,'Fleet'!$G25))</x:f>
        <x:v>91</x:v>
      </x:c>
      <x:c r="K28" s="34" t="n">
        <x:f>MAX(0,MIN(K$8+1,'Fleet'!$O25)-MAX(K$7,'Fleet'!$G25))</x:f>
        <x:v>91</x:v>
      </x:c>
      <x:c r="L28" s="34" t="n">
        <x:f>MAX(0,MIN(L$8+1,'Fleet'!$O25)-MAX(L$7,'Fleet'!$G25))</x:f>
        <x:v>92</x:v>
      </x:c>
      <x:c r="M28" s="34" t="n">
        <x:f>MAX(0,MIN(M$8+1,'Fleet'!$O25)-MAX(M$7,'Fleet'!$G25))</x:f>
        <x:v>92</x:v>
      </x:c>
      <x:c r="N28" s="34" t="n">
        <x:f>MAX(0,MIN(N$8+1,'Fleet'!$O25)-MAX(N$7,'Fleet'!$G25))</x:f>
        <x:v>90</x:v>
      </x:c>
      <x:c r="O28" s="34" t="n">
        <x:f>MAX(0,MIN(O$8+1,'Fleet'!$O25)-MAX(O$7,'Fleet'!$G25))</x:f>
        <x:v>91</x:v>
      </x:c>
      <x:c r="P28" s="34" t="n">
        <x:f>MAX(0,MIN(P$8+1,'Fleet'!$O25)-MAX(P$7,'Fleet'!$G25))</x:f>
        <x:v>92</x:v>
      </x:c>
      <x:c r="Q28" s="34" t="n">
        <x:f>MAX(0,MIN(Q$8+1,'Fleet'!$O25)-MAX(Q$7,'Fleet'!$G25))</x:f>
        <x:v>365</x:v>
      </x:c>
      <x:c r="R28" s="34" t="n">
        <x:f>MAX(0,MIN(R$8+1,'Fleet'!$O25)-MAX(R$7,'Fleet'!$G25))</x:f>
        <x:v>365</x:v>
      </x:c>
      <x:c r="S28" s="34" t="n">
        <x:f>MAX(0,MIN(S$8+1,'Fleet'!$O25)-MAX(S$7,'Fleet'!$G25))</x:f>
        <x:v>366</x:v>
      </x:c>
      <x:c r="T28" s="34" t="n">
        <x:f>MAX(0,MIN(T$8+1,'Fleet'!$O25)-MAX(T$7,'Fleet'!$G25))</x:f>
        <x:v>365</x:v>
      </x:c>
      <x:c r="U28" s="34" t="n">
        <x:f>MAX(0,MIN(U$8+1,'Fleet'!$O25)-MAX(U$7,'Fleet'!$G25))</x:f>
        <x:v>365</x:v>
      </x:c>
      <x:c r="V28" s="34" t="n">
        <x:f>MAX(0,MIN(V$8+1,'Fleet'!$O25)-MAX(V$7,'Fleet'!$G25))</x:f>
        <x:v>273</x:v>
      </x:c>
      <x:c r="W28" s="34" t="n">
        <x:f>MAX(0,MIN(W$8+1,'Fleet'!$O25)-MAX(W$7,'Fleet'!$G25))</x:f>
        <x:v>0</x:v>
      </x:c>
      <x:c r="X28" s="34" t="n">
        <x:f>MAX(0,MIN(X$8+1,'Fleet'!$O25)-MAX(X$7,'Fleet'!$G25))</x:f>
        <x:v>0</x:v>
      </x:c>
      <x:c r="Y28" s="34" t="n">
        <x:f>MAX(0,MIN(Y$8+1,'Fleet'!$O25)-MAX(Y$7,'Fleet'!$G25))</x:f>
        <x:v>0</x:v>
      </x:c>
      <x:c r="Z28" s="34" t="n">
        <x:f>MAX(0,MIN(Z$8+1,'Fleet'!$O25)-MAX(Z$7,'Fleet'!$G25))</x:f>
        <x:v>0</x:v>
      </x:c>
      <x:c r="AA28" s="34" t="n">
        <x:f>MAX(0,MIN(AA$8+1,'Fleet'!$O25)-MAX(AA$7,'Fleet'!$G25))</x:f>
        <x:v>0</x:v>
      </x:c>
      <x:c r="AB28" s="34" t="n">
        <x:f>MAX(0,MIN(AB$8+1,'Fleet'!$O25)-MAX(AB$7,'Fleet'!$G25))</x:f>
        <x:v>0</x:v>
      </x:c>
      <x:c r="AC28" s="34" t="n">
        <x:f>MAX(0,MIN(AC$8+1,'Fleet'!$O25)-MAX(AC$7,'Fleet'!$G25))</x:f>
        <x:v>0</x:v>
      </x:c>
      <x:c r="AD28" s="34" t="n">
        <x:f>MAX(0,MIN(AD$8+1,'Fleet'!$O25)-MAX(AD$7,'Fleet'!$G25))</x:f>
        <x:v>0</x:v>
      </x:c>
      <x:c r="AE28" s="34" t="n">
        <x:f>MAX(0,MIN(AE$8+1,'Fleet'!$O25)-MAX(AE$7,'Fleet'!$G25))</x:f>
        <x:v>0</x:v>
      </x:c>
      <x:c r="AF28" s="34" t="n">
        <x:f>MAX(0,MIN(AF$8+1,'Fleet'!$O25)-MAX(AF$7,'Fleet'!$G25))</x:f>
        <x:v>0</x:v>
      </x:c>
      <x:c r="AG28" s="34" t="n">
        <x:f>MAX(0,MIN(AG$8+1,'Fleet'!$O25)-MAX(AG$7,'Fleet'!$G25))</x:f>
        <x:v>0</x:v>
      </x:c>
      <x:c r="AH28" s="34" t="n">
        <x:f>MAX(0,MIN(AH$8+1,'Fleet'!$O25)-MAX(AH$7,'Fleet'!$G25))</x:f>
        <x:v>0</x:v>
      </x:c>
      <x:c r="AI28" s="34" t="n">
        <x:f>MAX(0,MIN(AI$8+1,'Fleet'!$O25)-MAX(AI$7,'Fleet'!$G25))</x:f>
        <x:v>0</x:v>
      </x:c>
      <x:c r="AJ28" s="34" t="n">
        <x:f>MAX(0,MIN(AJ$8+1,'Fleet'!$O25)-MAX(AJ$7,'Fleet'!$G25))</x:f>
        <x:v>0</x:v>
      </x:c>
      <x:c r="AK28" s="34" t="n">
        <x:f>MAX(0,MIN(AK$8+1,'Fleet'!$O25)-MAX(AK$7,'Fleet'!$G25))</x:f>
        <x:v>0</x:v>
      </x:c>
      <x:c r="AL28" s="34" t="n">
        <x:f>MAX(0,MIN(AL$8+1,'Fleet'!$O25)-MAX(AL$7,'Fleet'!$G25))</x:f>
        <x:v>0</x:v>
      </x:c>
      <x:c r="AM28" s="34" t="n">
        <x:f>MAX(0,MIN(AM$8+1,'Fleet'!$O25)-MAX(AM$7,'Fleet'!$G25))</x:f>
        <x:v>0</x:v>
      </x:c>
      <x:c r="AN28" s="34" t="n">
        <x:f>MAX(0,MIN(AN$8+1,'Fleet'!$O25)-MAX(AN$7,'Fleet'!$G25))</x:f>
        <x:v>0</x:v>
      </x:c>
      <x:c r="AO28" s="34" t="n">
        <x:f>MAX(0,MIN(AO$8+1,'Fleet'!$O25)-MAX(AO$7,'Fleet'!$G25))</x:f>
        <x:v>0</x:v>
      </x:c>
      <x:c r="AP28" s="34" t="n">
        <x:f>MAX(0,MIN(AP$8+1,'Fleet'!$O25)-MAX(AP$7,'Fleet'!$G25))</x:f>
        <x:v>0</x:v>
      </x:c>
      <x:c r="AQ28" s="34" t="n">
        <x:f>MAX(0,MIN(AQ$8+1,'Fleet'!$O25)-MAX(AQ$7,'Fleet'!$G25))</x:f>
        <x:v>0</x:v>
      </x:c>
    </x:row>
    <x:row r="29" ht="21" customHeight="1">
      <x:c r="A29" s="2"/>
      <x:c r="B29" s="2"/>
      <x:c r="C29" s="5" t="str">
        <x:f>'Fleet'!C26</x:f>
        <x:v>Genco Tiberius</x:v>
      </x:c>
      <x:c r="D29" s="5" t="str">
        <x:f>'Fleet'!D26</x:f>
        <x:v>Capesize</x:v>
      </x:c>
      <x:c r="E29" s="34" t="n">
        <x:f>MAX(0,MIN(E$8+1,'Fleet'!$O26)-MAX(E$7,'Fleet'!$G26))</x:f>
        <x:v>80</x:v>
      </x:c>
      <x:c r="F29" s="34" t="n">
        <x:f>MAX(0,MIN(F$8+1,'Fleet'!$O26)-MAX(F$7,'Fleet'!$G26))</x:f>
        <x:v>90</x:v>
      </x:c>
      <x:c r="G29" s="34" t="n">
        <x:f>MAX(0,MIN(G$8+1,'Fleet'!$O26)-MAX(G$7,'Fleet'!$G26))</x:f>
        <x:v>91</x:v>
      </x:c>
      <x:c r="H29" s="34" t="n">
        <x:f>MAX(0,MIN(H$8+1,'Fleet'!$O26)-MAX(H$7,'Fleet'!$G26))</x:f>
        <x:v>92</x:v>
      </x:c>
      <x:c r="I29" s="34" t="n">
        <x:f>MAX(0,MIN(I$8+1,'Fleet'!$O26)-MAX(I$7,'Fleet'!$G26))</x:f>
        <x:v>92</x:v>
      </x:c>
      <x:c r="J29" s="34" t="n">
        <x:f>MAX(0,MIN(J$8+1,'Fleet'!$O26)-MAX(J$7,'Fleet'!$G26))</x:f>
        <x:v>91</x:v>
      </x:c>
      <x:c r="K29" s="34" t="n">
        <x:f>MAX(0,MIN(K$8+1,'Fleet'!$O26)-MAX(K$7,'Fleet'!$G26))</x:f>
        <x:v>91</x:v>
      </x:c>
      <x:c r="L29" s="34" t="n">
        <x:f>MAX(0,MIN(L$8+1,'Fleet'!$O26)-MAX(L$7,'Fleet'!$G26))</x:f>
        <x:v>92</x:v>
      </x:c>
      <x:c r="M29" s="34" t="n">
        <x:f>MAX(0,MIN(M$8+1,'Fleet'!$O26)-MAX(M$7,'Fleet'!$G26))</x:f>
        <x:v>92</x:v>
      </x:c>
      <x:c r="N29" s="34" t="n">
        <x:f>MAX(0,MIN(N$8+1,'Fleet'!$O26)-MAX(N$7,'Fleet'!$G26))</x:f>
        <x:v>90</x:v>
      </x:c>
      <x:c r="O29" s="34" t="n">
        <x:f>MAX(0,MIN(O$8+1,'Fleet'!$O26)-MAX(O$7,'Fleet'!$G26))</x:f>
        <x:v>91</x:v>
      </x:c>
      <x:c r="P29" s="34" t="n">
        <x:f>MAX(0,MIN(P$8+1,'Fleet'!$O26)-MAX(P$7,'Fleet'!$G26))</x:f>
        <x:v>92</x:v>
      </x:c>
      <x:c r="Q29" s="34" t="n">
        <x:f>MAX(0,MIN(Q$8+1,'Fleet'!$O26)-MAX(Q$7,'Fleet'!$G26))</x:f>
        <x:v>365</x:v>
      </x:c>
      <x:c r="R29" s="34" t="n">
        <x:f>MAX(0,MIN(R$8+1,'Fleet'!$O26)-MAX(R$7,'Fleet'!$G26))</x:f>
        <x:v>365</x:v>
      </x:c>
      <x:c r="S29" s="34" t="n">
        <x:f>MAX(0,MIN(S$8+1,'Fleet'!$O26)-MAX(S$7,'Fleet'!$G26))</x:f>
        <x:v>274</x:v>
      </x:c>
      <x:c r="T29" s="34" t="n">
        <x:f>MAX(0,MIN(T$8+1,'Fleet'!$O26)-MAX(T$7,'Fleet'!$G26))</x:f>
        <x:v>0</x:v>
      </x:c>
      <x:c r="U29" s="34" t="n">
        <x:f>MAX(0,MIN(U$8+1,'Fleet'!$O26)-MAX(U$7,'Fleet'!$G26))</x:f>
        <x:v>0</x:v>
      </x:c>
      <x:c r="V29" s="34" t="n">
        <x:f>MAX(0,MIN(V$8+1,'Fleet'!$O26)-MAX(V$7,'Fleet'!$G26))</x:f>
        <x:v>0</x:v>
      </x:c>
      <x:c r="W29" s="34" t="n">
        <x:f>MAX(0,MIN(W$8+1,'Fleet'!$O26)-MAX(W$7,'Fleet'!$G26))</x:f>
        <x:v>0</x:v>
      </x:c>
      <x:c r="X29" s="34" t="n">
        <x:f>MAX(0,MIN(X$8+1,'Fleet'!$O26)-MAX(X$7,'Fleet'!$G26))</x:f>
        <x:v>0</x:v>
      </x:c>
      <x:c r="Y29" s="34" t="n">
        <x:f>MAX(0,MIN(Y$8+1,'Fleet'!$O26)-MAX(Y$7,'Fleet'!$G26))</x:f>
        <x:v>0</x:v>
      </x:c>
      <x:c r="Z29" s="34" t="n">
        <x:f>MAX(0,MIN(Z$8+1,'Fleet'!$O26)-MAX(Z$7,'Fleet'!$G26))</x:f>
        <x:v>0</x:v>
      </x:c>
      <x:c r="AA29" s="34" t="n">
        <x:f>MAX(0,MIN(AA$8+1,'Fleet'!$O26)-MAX(AA$7,'Fleet'!$G26))</x:f>
        <x:v>0</x:v>
      </x:c>
      <x:c r="AB29" s="34" t="n">
        <x:f>MAX(0,MIN(AB$8+1,'Fleet'!$O26)-MAX(AB$7,'Fleet'!$G26))</x:f>
        <x:v>0</x:v>
      </x:c>
      <x:c r="AC29" s="34" t="n">
        <x:f>MAX(0,MIN(AC$8+1,'Fleet'!$O26)-MAX(AC$7,'Fleet'!$G26))</x:f>
        <x:v>0</x:v>
      </x:c>
      <x:c r="AD29" s="34" t="n">
        <x:f>MAX(0,MIN(AD$8+1,'Fleet'!$O26)-MAX(AD$7,'Fleet'!$G26))</x:f>
        <x:v>0</x:v>
      </x:c>
      <x:c r="AE29" s="34" t="n">
        <x:f>MAX(0,MIN(AE$8+1,'Fleet'!$O26)-MAX(AE$7,'Fleet'!$G26))</x:f>
        <x:v>0</x:v>
      </x:c>
      <x:c r="AF29" s="34" t="n">
        <x:f>MAX(0,MIN(AF$8+1,'Fleet'!$O26)-MAX(AF$7,'Fleet'!$G26))</x:f>
        <x:v>0</x:v>
      </x:c>
      <x:c r="AG29" s="34" t="n">
        <x:f>MAX(0,MIN(AG$8+1,'Fleet'!$O26)-MAX(AG$7,'Fleet'!$G26))</x:f>
        <x:v>0</x:v>
      </x:c>
      <x:c r="AH29" s="34" t="n">
        <x:f>MAX(0,MIN(AH$8+1,'Fleet'!$O26)-MAX(AH$7,'Fleet'!$G26))</x:f>
        <x:v>0</x:v>
      </x:c>
      <x:c r="AI29" s="34" t="n">
        <x:f>MAX(0,MIN(AI$8+1,'Fleet'!$O26)-MAX(AI$7,'Fleet'!$G26))</x:f>
        <x:v>0</x:v>
      </x:c>
      <x:c r="AJ29" s="34" t="n">
        <x:f>MAX(0,MIN(AJ$8+1,'Fleet'!$O26)-MAX(AJ$7,'Fleet'!$G26))</x:f>
        <x:v>0</x:v>
      </x:c>
      <x:c r="AK29" s="34" t="n">
        <x:f>MAX(0,MIN(AK$8+1,'Fleet'!$O26)-MAX(AK$7,'Fleet'!$G26))</x:f>
        <x:v>0</x:v>
      </x:c>
      <x:c r="AL29" s="34" t="n">
        <x:f>MAX(0,MIN(AL$8+1,'Fleet'!$O26)-MAX(AL$7,'Fleet'!$G26))</x:f>
        <x:v>0</x:v>
      </x:c>
      <x:c r="AM29" s="34" t="n">
        <x:f>MAX(0,MIN(AM$8+1,'Fleet'!$O26)-MAX(AM$7,'Fleet'!$G26))</x:f>
        <x:v>0</x:v>
      </x:c>
      <x:c r="AN29" s="34" t="n">
        <x:f>MAX(0,MIN(AN$8+1,'Fleet'!$O26)-MAX(AN$7,'Fleet'!$G26))</x:f>
        <x:v>0</x:v>
      </x:c>
      <x:c r="AO29" s="34" t="n">
        <x:f>MAX(0,MIN(AO$8+1,'Fleet'!$O26)-MAX(AO$7,'Fleet'!$G26))</x:f>
        <x:v>0</x:v>
      </x:c>
      <x:c r="AP29" s="34" t="n">
        <x:f>MAX(0,MIN(AP$8+1,'Fleet'!$O26)-MAX(AP$7,'Fleet'!$G26))</x:f>
        <x:v>0</x:v>
      </x:c>
      <x:c r="AQ29" s="34" t="n">
        <x:f>MAX(0,MIN(AQ$8+1,'Fleet'!$O26)-MAX(AQ$7,'Fleet'!$G26))</x:f>
        <x:v>0</x:v>
      </x:c>
    </x:row>
    <x:row r="30" ht="21" customHeight="1">
      <x:c r="A30" s="2"/>
      <x:c r="B30" s="2"/>
      <x:c r="C30" s="5" t="str">
        <x:f>'Fleet'!C27</x:f>
        <x:v>Genco Freedom</x:v>
      </x:c>
      <x:c r="D30" s="5" t="str">
        <x:f>'Fleet'!D27</x:f>
        <x:v>Ultramax</x:v>
      </x:c>
      <x:c r="E30" s="34" t="n">
        <x:f>MAX(0,MIN(E$8+1,'Fleet'!$O27)-MAX(E$7,'Fleet'!$G27))</x:f>
        <x:v>80</x:v>
      </x:c>
      <x:c r="F30" s="34" t="n">
        <x:f>MAX(0,MIN(F$8+1,'Fleet'!$O27)-MAX(F$7,'Fleet'!$G27))</x:f>
        <x:v>90</x:v>
      </x:c>
      <x:c r="G30" s="34" t="n">
        <x:f>MAX(0,MIN(G$8+1,'Fleet'!$O27)-MAX(G$7,'Fleet'!$G27))</x:f>
        <x:v>91</x:v>
      </x:c>
      <x:c r="H30" s="34" t="n">
        <x:f>MAX(0,MIN(H$8+1,'Fleet'!$O27)-MAX(H$7,'Fleet'!$G27))</x:f>
        <x:v>92</x:v>
      </x:c>
      <x:c r="I30" s="34" t="n">
        <x:f>MAX(0,MIN(I$8+1,'Fleet'!$O27)-MAX(I$7,'Fleet'!$G27))</x:f>
        <x:v>92</x:v>
      </x:c>
      <x:c r="J30" s="34" t="n">
        <x:f>MAX(0,MIN(J$8+1,'Fleet'!$O27)-MAX(J$7,'Fleet'!$G27))</x:f>
        <x:v>91</x:v>
      </x:c>
      <x:c r="K30" s="34" t="n">
        <x:f>MAX(0,MIN(K$8+1,'Fleet'!$O27)-MAX(K$7,'Fleet'!$G27))</x:f>
        <x:v>91</x:v>
      </x:c>
      <x:c r="L30" s="34" t="n">
        <x:f>MAX(0,MIN(L$8+1,'Fleet'!$O27)-MAX(L$7,'Fleet'!$G27))</x:f>
        <x:v>92</x:v>
      </x:c>
      <x:c r="M30" s="34" t="n">
        <x:f>MAX(0,MIN(M$8+1,'Fleet'!$O27)-MAX(M$7,'Fleet'!$G27))</x:f>
        <x:v>92</x:v>
      </x:c>
      <x:c r="N30" s="34" t="n">
        <x:f>MAX(0,MIN(N$8+1,'Fleet'!$O27)-MAX(N$7,'Fleet'!$G27))</x:f>
        <x:v>90</x:v>
      </x:c>
      <x:c r="O30" s="34" t="n">
        <x:f>MAX(0,MIN(O$8+1,'Fleet'!$O27)-MAX(O$7,'Fleet'!$G27))</x:f>
        <x:v>91</x:v>
      </x:c>
      <x:c r="P30" s="34" t="n">
        <x:f>MAX(0,MIN(P$8+1,'Fleet'!$O27)-MAX(P$7,'Fleet'!$G27))</x:f>
        <x:v>92</x:v>
      </x:c>
      <x:c r="Q30" s="34" t="n">
        <x:f>MAX(0,MIN(Q$8+1,'Fleet'!$O27)-MAX(Q$7,'Fleet'!$G27))</x:f>
        <x:v>365</x:v>
      </x:c>
      <x:c r="R30" s="34" t="n">
        <x:f>MAX(0,MIN(R$8+1,'Fleet'!$O27)-MAX(R$7,'Fleet'!$G27))</x:f>
        <x:v>365</x:v>
      </x:c>
      <x:c r="S30" s="34" t="n">
        <x:f>MAX(0,MIN(S$8+1,'Fleet'!$O27)-MAX(S$7,'Fleet'!$G27))</x:f>
        <x:v>366</x:v>
      </x:c>
      <x:c r="T30" s="34" t="n">
        <x:f>MAX(0,MIN(T$8+1,'Fleet'!$O27)-MAX(T$7,'Fleet'!$G27))</x:f>
        <x:v>365</x:v>
      </x:c>
      <x:c r="U30" s="34" t="n">
        <x:f>MAX(0,MIN(U$8+1,'Fleet'!$O27)-MAX(U$7,'Fleet'!$G27))</x:f>
        <x:v>365</x:v>
      </x:c>
      <x:c r="V30" s="34" t="n">
        <x:f>MAX(0,MIN(V$8+1,'Fleet'!$O27)-MAX(V$7,'Fleet'!$G27))</x:f>
        <x:v>365</x:v>
      </x:c>
      <x:c r="W30" s="34" t="n">
        <x:f>MAX(0,MIN(W$8+1,'Fleet'!$O27)-MAX(W$7,'Fleet'!$G27))</x:f>
        <x:v>366</x:v>
      </x:c>
      <x:c r="X30" s="34" t="n">
        <x:f>MAX(0,MIN(X$8+1,'Fleet'!$O27)-MAX(X$7,'Fleet'!$G27))</x:f>
        <x:v>365</x:v>
      </x:c>
      <x:c r="Y30" s="34" t="n">
        <x:f>MAX(0,MIN(Y$8+1,'Fleet'!$O27)-MAX(Y$7,'Fleet'!$G27))</x:f>
        <x:v>365</x:v>
      </x:c>
      <x:c r="Z30" s="34" t="n">
        <x:f>MAX(0,MIN(Z$8+1,'Fleet'!$O27)-MAX(Z$7,'Fleet'!$G27))</x:f>
        <x:v>365</x:v>
      </x:c>
      <x:c r="AA30" s="34" t="n">
        <x:f>MAX(0,MIN(AA$8+1,'Fleet'!$O27)-MAX(AA$7,'Fleet'!$G27))</x:f>
        <x:v>274</x:v>
      </x:c>
      <x:c r="AB30" s="34" t="n">
        <x:f>MAX(0,MIN(AB$8+1,'Fleet'!$O27)-MAX(AB$7,'Fleet'!$G27))</x:f>
        <x:v>0</x:v>
      </x:c>
      <x:c r="AC30" s="34" t="n">
        <x:f>MAX(0,MIN(AC$8+1,'Fleet'!$O27)-MAX(AC$7,'Fleet'!$G27))</x:f>
        <x:v>0</x:v>
      </x:c>
      <x:c r="AD30" s="34" t="n">
        <x:f>MAX(0,MIN(AD$8+1,'Fleet'!$O27)-MAX(AD$7,'Fleet'!$G27))</x:f>
        <x:v>0</x:v>
      </x:c>
      <x:c r="AE30" s="34" t="n">
        <x:f>MAX(0,MIN(AE$8+1,'Fleet'!$O27)-MAX(AE$7,'Fleet'!$G27))</x:f>
        <x:v>0</x:v>
      </x:c>
      <x:c r="AF30" s="34" t="n">
        <x:f>MAX(0,MIN(AF$8+1,'Fleet'!$O27)-MAX(AF$7,'Fleet'!$G27))</x:f>
        <x:v>0</x:v>
      </x:c>
      <x:c r="AG30" s="34" t="n">
        <x:f>MAX(0,MIN(AG$8+1,'Fleet'!$O27)-MAX(AG$7,'Fleet'!$G27))</x:f>
        <x:v>0</x:v>
      </x:c>
      <x:c r="AH30" s="34" t="n">
        <x:f>MAX(0,MIN(AH$8+1,'Fleet'!$O27)-MAX(AH$7,'Fleet'!$G27))</x:f>
        <x:v>0</x:v>
      </x:c>
      <x:c r="AI30" s="34" t="n">
        <x:f>MAX(0,MIN(AI$8+1,'Fleet'!$O27)-MAX(AI$7,'Fleet'!$G27))</x:f>
        <x:v>0</x:v>
      </x:c>
      <x:c r="AJ30" s="34" t="n">
        <x:f>MAX(0,MIN(AJ$8+1,'Fleet'!$O27)-MAX(AJ$7,'Fleet'!$G27))</x:f>
        <x:v>0</x:v>
      </x:c>
      <x:c r="AK30" s="34" t="n">
        <x:f>MAX(0,MIN(AK$8+1,'Fleet'!$O27)-MAX(AK$7,'Fleet'!$G27))</x:f>
        <x:v>0</x:v>
      </x:c>
      <x:c r="AL30" s="34" t="n">
        <x:f>MAX(0,MIN(AL$8+1,'Fleet'!$O27)-MAX(AL$7,'Fleet'!$G27))</x:f>
        <x:v>0</x:v>
      </x:c>
      <x:c r="AM30" s="34" t="n">
        <x:f>MAX(0,MIN(AM$8+1,'Fleet'!$O27)-MAX(AM$7,'Fleet'!$G27))</x:f>
        <x:v>0</x:v>
      </x:c>
      <x:c r="AN30" s="34" t="n">
        <x:f>MAX(0,MIN(AN$8+1,'Fleet'!$O27)-MAX(AN$7,'Fleet'!$G27))</x:f>
        <x:v>0</x:v>
      </x:c>
      <x:c r="AO30" s="34" t="n">
        <x:f>MAX(0,MIN(AO$8+1,'Fleet'!$O27)-MAX(AO$7,'Fleet'!$G27))</x:f>
        <x:v>0</x:v>
      </x:c>
      <x:c r="AP30" s="34" t="n">
        <x:f>MAX(0,MIN(AP$8+1,'Fleet'!$O27)-MAX(AP$7,'Fleet'!$G27))</x:f>
        <x:v>0</x:v>
      </x:c>
      <x:c r="AQ30" s="34" t="n">
        <x:f>MAX(0,MIN(AQ$8+1,'Fleet'!$O27)-MAX(AQ$7,'Fleet'!$G27))</x:f>
        <x:v>0</x:v>
      </x:c>
    </x:row>
    <x:row r="31" ht="21" customHeight="1">
      <x:c r="A31" s="2"/>
      <x:c r="B31" s="2"/>
      <x:c r="C31" s="5" t="str">
        <x:f>'Fleet'!C28</x:f>
        <x:v>Genco Hornet</x:v>
      </x:c>
      <x:c r="D31" s="5" t="str">
        <x:f>'Fleet'!D28</x:f>
        <x:v>Ultramax</x:v>
      </x:c>
      <x:c r="E31" s="34" t="n">
        <x:f>MAX(0,MIN(E$8+1,'Fleet'!$O28)-MAX(E$7,'Fleet'!$G28))</x:f>
        <x:v>80</x:v>
      </x:c>
      <x:c r="F31" s="34" t="n">
        <x:f>MAX(0,MIN(F$8+1,'Fleet'!$O28)-MAX(F$7,'Fleet'!$G28))</x:f>
        <x:v>90</x:v>
      </x:c>
      <x:c r="G31" s="34" t="n">
        <x:f>MAX(0,MIN(G$8+1,'Fleet'!$O28)-MAX(G$7,'Fleet'!$G28))</x:f>
        <x:v>91</x:v>
      </x:c>
      <x:c r="H31" s="34" t="n">
        <x:f>MAX(0,MIN(H$8+1,'Fleet'!$O28)-MAX(H$7,'Fleet'!$G28))</x:f>
        <x:v>92</x:v>
      </x:c>
      <x:c r="I31" s="34" t="n">
        <x:f>MAX(0,MIN(I$8+1,'Fleet'!$O28)-MAX(I$7,'Fleet'!$G28))</x:f>
        <x:v>92</x:v>
      </x:c>
      <x:c r="J31" s="34" t="n">
        <x:f>MAX(0,MIN(J$8+1,'Fleet'!$O28)-MAX(J$7,'Fleet'!$G28))</x:f>
        <x:v>91</x:v>
      </x:c>
      <x:c r="K31" s="34" t="n">
        <x:f>MAX(0,MIN(K$8+1,'Fleet'!$O28)-MAX(K$7,'Fleet'!$G28))</x:f>
        <x:v>91</x:v>
      </x:c>
      <x:c r="L31" s="34" t="n">
        <x:f>MAX(0,MIN(L$8+1,'Fleet'!$O28)-MAX(L$7,'Fleet'!$G28))</x:f>
        <x:v>92</x:v>
      </x:c>
      <x:c r="M31" s="34" t="n">
        <x:f>MAX(0,MIN(M$8+1,'Fleet'!$O28)-MAX(M$7,'Fleet'!$G28))</x:f>
        <x:v>92</x:v>
      </x:c>
      <x:c r="N31" s="34" t="n">
        <x:f>MAX(0,MIN(N$8+1,'Fleet'!$O28)-MAX(N$7,'Fleet'!$G28))</x:f>
        <x:v>90</x:v>
      </x:c>
      <x:c r="O31" s="34" t="n">
        <x:f>MAX(0,MIN(O$8+1,'Fleet'!$O28)-MAX(O$7,'Fleet'!$G28))</x:f>
        <x:v>91</x:v>
      </x:c>
      <x:c r="P31" s="34" t="n">
        <x:f>MAX(0,MIN(P$8+1,'Fleet'!$O28)-MAX(P$7,'Fleet'!$G28))</x:f>
        <x:v>92</x:v>
      </x:c>
      <x:c r="Q31" s="34" t="n">
        <x:f>MAX(0,MIN(Q$8+1,'Fleet'!$O28)-MAX(Q$7,'Fleet'!$G28))</x:f>
        <x:v>365</x:v>
      </x:c>
      <x:c r="R31" s="34" t="n">
        <x:f>MAX(0,MIN(R$8+1,'Fleet'!$O28)-MAX(R$7,'Fleet'!$G28))</x:f>
        <x:v>365</x:v>
      </x:c>
      <x:c r="S31" s="34" t="n">
        <x:f>MAX(0,MIN(S$8+1,'Fleet'!$O28)-MAX(S$7,'Fleet'!$G28))</x:f>
        <x:v>366</x:v>
      </x:c>
      <x:c r="T31" s="34" t="n">
        <x:f>MAX(0,MIN(T$8+1,'Fleet'!$O28)-MAX(T$7,'Fleet'!$G28))</x:f>
        <x:v>365</x:v>
      </x:c>
      <x:c r="U31" s="34" t="n">
        <x:f>MAX(0,MIN(U$8+1,'Fleet'!$O28)-MAX(U$7,'Fleet'!$G28))</x:f>
        <x:v>365</x:v>
      </x:c>
      <x:c r="V31" s="34" t="n">
        <x:f>MAX(0,MIN(V$8+1,'Fleet'!$O28)-MAX(V$7,'Fleet'!$G28))</x:f>
        <x:v>365</x:v>
      </x:c>
      <x:c r="W31" s="34" t="n">
        <x:f>MAX(0,MIN(W$8+1,'Fleet'!$O28)-MAX(W$7,'Fleet'!$G28))</x:f>
        <x:v>366</x:v>
      </x:c>
      <x:c r="X31" s="34" t="n">
        <x:f>MAX(0,MIN(X$8+1,'Fleet'!$O28)-MAX(X$7,'Fleet'!$G28))</x:f>
        <x:v>365</x:v>
      </x:c>
      <x:c r="Y31" s="34" t="n">
        <x:f>MAX(0,MIN(Y$8+1,'Fleet'!$O28)-MAX(Y$7,'Fleet'!$G28))</x:f>
        <x:v>365</x:v>
      </x:c>
      <x:c r="Z31" s="34" t="n">
        <x:f>MAX(0,MIN(Z$8+1,'Fleet'!$O28)-MAX(Z$7,'Fleet'!$G28))</x:f>
        <x:v>273</x:v>
      </x:c>
      <x:c r="AA31" s="34" t="n">
        <x:f>MAX(0,MIN(AA$8+1,'Fleet'!$O28)-MAX(AA$7,'Fleet'!$G28))</x:f>
        <x:v>0</x:v>
      </x:c>
      <x:c r="AB31" s="34" t="n">
        <x:f>MAX(0,MIN(AB$8+1,'Fleet'!$O28)-MAX(AB$7,'Fleet'!$G28))</x:f>
        <x:v>0</x:v>
      </x:c>
      <x:c r="AC31" s="34" t="n">
        <x:f>MAX(0,MIN(AC$8+1,'Fleet'!$O28)-MAX(AC$7,'Fleet'!$G28))</x:f>
        <x:v>0</x:v>
      </x:c>
      <x:c r="AD31" s="34" t="n">
        <x:f>MAX(0,MIN(AD$8+1,'Fleet'!$O28)-MAX(AD$7,'Fleet'!$G28))</x:f>
        <x:v>0</x:v>
      </x:c>
      <x:c r="AE31" s="34" t="n">
        <x:f>MAX(0,MIN(AE$8+1,'Fleet'!$O28)-MAX(AE$7,'Fleet'!$G28))</x:f>
        <x:v>0</x:v>
      </x:c>
      <x:c r="AF31" s="34" t="n">
        <x:f>MAX(0,MIN(AF$8+1,'Fleet'!$O28)-MAX(AF$7,'Fleet'!$G28))</x:f>
        <x:v>0</x:v>
      </x:c>
      <x:c r="AG31" s="34" t="n">
        <x:f>MAX(0,MIN(AG$8+1,'Fleet'!$O28)-MAX(AG$7,'Fleet'!$G28))</x:f>
        <x:v>0</x:v>
      </x:c>
      <x:c r="AH31" s="34" t="n">
        <x:f>MAX(0,MIN(AH$8+1,'Fleet'!$O28)-MAX(AH$7,'Fleet'!$G28))</x:f>
        <x:v>0</x:v>
      </x:c>
      <x:c r="AI31" s="34" t="n">
        <x:f>MAX(0,MIN(AI$8+1,'Fleet'!$O28)-MAX(AI$7,'Fleet'!$G28))</x:f>
        <x:v>0</x:v>
      </x:c>
      <x:c r="AJ31" s="34" t="n">
        <x:f>MAX(0,MIN(AJ$8+1,'Fleet'!$O28)-MAX(AJ$7,'Fleet'!$G28))</x:f>
        <x:v>0</x:v>
      </x:c>
      <x:c r="AK31" s="34" t="n">
        <x:f>MAX(0,MIN(AK$8+1,'Fleet'!$O28)-MAX(AK$7,'Fleet'!$G28))</x:f>
        <x:v>0</x:v>
      </x:c>
      <x:c r="AL31" s="34" t="n">
        <x:f>MAX(0,MIN(AL$8+1,'Fleet'!$O28)-MAX(AL$7,'Fleet'!$G28))</x:f>
        <x:v>0</x:v>
      </x:c>
      <x:c r="AM31" s="34" t="n">
        <x:f>MAX(0,MIN(AM$8+1,'Fleet'!$O28)-MAX(AM$7,'Fleet'!$G28))</x:f>
        <x:v>0</x:v>
      </x:c>
      <x:c r="AN31" s="34" t="n">
        <x:f>MAX(0,MIN(AN$8+1,'Fleet'!$O28)-MAX(AN$7,'Fleet'!$G28))</x:f>
        <x:v>0</x:v>
      </x:c>
      <x:c r="AO31" s="34" t="n">
        <x:f>MAX(0,MIN(AO$8+1,'Fleet'!$O28)-MAX(AO$7,'Fleet'!$G28))</x:f>
        <x:v>0</x:v>
      </x:c>
      <x:c r="AP31" s="34" t="n">
        <x:f>MAX(0,MIN(AP$8+1,'Fleet'!$O28)-MAX(AP$7,'Fleet'!$G28))</x:f>
        <x:v>0</x:v>
      </x:c>
      <x:c r="AQ31" s="34" t="n">
        <x:f>MAX(0,MIN(AQ$8+1,'Fleet'!$O28)-MAX(AQ$7,'Fleet'!$G28))</x:f>
        <x:v>0</x:v>
      </x:c>
    </x:row>
    <x:row r="32" ht="21" customHeight="1">
      <x:c r="A32" s="2"/>
      <x:c r="B32" s="2"/>
      <x:c r="C32" s="5" t="str">
        <x:f>'Fleet'!C29</x:f>
        <x:v>Genco Vigilant</x:v>
      </x:c>
      <x:c r="D32" s="5" t="str">
        <x:f>'Fleet'!D29</x:f>
        <x:v>Ultramax</x:v>
      </x:c>
      <x:c r="E32" s="34" t="n">
        <x:f>MAX(0,MIN(E$8+1,'Fleet'!$O29)-MAX(E$7,'Fleet'!$G29))</x:f>
        <x:v>80</x:v>
      </x:c>
      <x:c r="F32" s="34" t="n">
        <x:f>MAX(0,MIN(F$8+1,'Fleet'!$O29)-MAX(F$7,'Fleet'!$G29))</x:f>
        <x:v>90</x:v>
      </x:c>
      <x:c r="G32" s="34" t="n">
        <x:f>MAX(0,MIN(G$8+1,'Fleet'!$O29)-MAX(G$7,'Fleet'!$G29))</x:f>
        <x:v>91</x:v>
      </x:c>
      <x:c r="H32" s="34" t="n">
        <x:f>MAX(0,MIN(H$8+1,'Fleet'!$O29)-MAX(H$7,'Fleet'!$G29))</x:f>
        <x:v>92</x:v>
      </x:c>
      <x:c r="I32" s="34" t="n">
        <x:f>MAX(0,MIN(I$8+1,'Fleet'!$O29)-MAX(I$7,'Fleet'!$G29))</x:f>
        <x:v>92</x:v>
      </x:c>
      <x:c r="J32" s="34" t="n">
        <x:f>MAX(0,MIN(J$8+1,'Fleet'!$O29)-MAX(J$7,'Fleet'!$G29))</x:f>
        <x:v>91</x:v>
      </x:c>
      <x:c r="K32" s="34" t="n">
        <x:f>MAX(0,MIN(K$8+1,'Fleet'!$O29)-MAX(K$7,'Fleet'!$G29))</x:f>
        <x:v>91</x:v>
      </x:c>
      <x:c r="L32" s="34" t="n">
        <x:f>MAX(0,MIN(L$8+1,'Fleet'!$O29)-MAX(L$7,'Fleet'!$G29))</x:f>
        <x:v>92</x:v>
      </x:c>
      <x:c r="M32" s="34" t="n">
        <x:f>MAX(0,MIN(M$8+1,'Fleet'!$O29)-MAX(M$7,'Fleet'!$G29))</x:f>
        <x:v>92</x:v>
      </x:c>
      <x:c r="N32" s="34" t="n">
        <x:f>MAX(0,MIN(N$8+1,'Fleet'!$O29)-MAX(N$7,'Fleet'!$G29))</x:f>
        <x:v>90</x:v>
      </x:c>
      <x:c r="O32" s="34" t="n">
        <x:f>MAX(0,MIN(O$8+1,'Fleet'!$O29)-MAX(O$7,'Fleet'!$G29))</x:f>
        <x:v>91</x:v>
      </x:c>
      <x:c r="P32" s="34" t="n">
        <x:f>MAX(0,MIN(P$8+1,'Fleet'!$O29)-MAX(P$7,'Fleet'!$G29))</x:f>
        <x:v>92</x:v>
      </x:c>
      <x:c r="Q32" s="34" t="n">
        <x:f>MAX(0,MIN(Q$8+1,'Fleet'!$O29)-MAX(Q$7,'Fleet'!$G29))</x:f>
        <x:v>365</x:v>
      </x:c>
      <x:c r="R32" s="34" t="n">
        <x:f>MAX(0,MIN(R$8+1,'Fleet'!$O29)-MAX(R$7,'Fleet'!$G29))</x:f>
        <x:v>365</x:v>
      </x:c>
      <x:c r="S32" s="34" t="n">
        <x:f>MAX(0,MIN(S$8+1,'Fleet'!$O29)-MAX(S$7,'Fleet'!$G29))</x:f>
        <x:v>366</x:v>
      </x:c>
      <x:c r="T32" s="34" t="n">
        <x:f>MAX(0,MIN(T$8+1,'Fleet'!$O29)-MAX(T$7,'Fleet'!$G29))</x:f>
        <x:v>365</x:v>
      </x:c>
      <x:c r="U32" s="34" t="n">
        <x:f>MAX(0,MIN(U$8+1,'Fleet'!$O29)-MAX(U$7,'Fleet'!$G29))</x:f>
        <x:v>365</x:v>
      </x:c>
      <x:c r="V32" s="34" t="n">
        <x:f>MAX(0,MIN(V$8+1,'Fleet'!$O29)-MAX(V$7,'Fleet'!$G29))</x:f>
        <x:v>365</x:v>
      </x:c>
      <x:c r="W32" s="34" t="n">
        <x:f>MAX(0,MIN(W$8+1,'Fleet'!$O29)-MAX(W$7,'Fleet'!$G29))</x:f>
        <x:v>366</x:v>
      </x:c>
      <x:c r="X32" s="34" t="n">
        <x:f>MAX(0,MIN(X$8+1,'Fleet'!$O29)-MAX(X$7,'Fleet'!$G29))</x:f>
        <x:v>365</x:v>
      </x:c>
      <x:c r="Y32" s="34" t="n">
        <x:f>MAX(0,MIN(Y$8+1,'Fleet'!$O29)-MAX(Y$7,'Fleet'!$G29))</x:f>
        <x:v>365</x:v>
      </x:c>
      <x:c r="Z32" s="34" t="n">
        <x:f>MAX(0,MIN(Z$8+1,'Fleet'!$O29)-MAX(Z$7,'Fleet'!$G29))</x:f>
        <x:v>365</x:v>
      </x:c>
      <x:c r="AA32" s="34" t="n">
        <x:f>MAX(0,MIN(AA$8+1,'Fleet'!$O29)-MAX(AA$7,'Fleet'!$G29))</x:f>
        <x:v>274</x:v>
      </x:c>
      <x:c r="AB32" s="34" t="n">
        <x:f>MAX(0,MIN(AB$8+1,'Fleet'!$O29)-MAX(AB$7,'Fleet'!$G29))</x:f>
        <x:v>0</x:v>
      </x:c>
      <x:c r="AC32" s="34" t="n">
        <x:f>MAX(0,MIN(AC$8+1,'Fleet'!$O29)-MAX(AC$7,'Fleet'!$G29))</x:f>
        <x:v>0</x:v>
      </x:c>
      <x:c r="AD32" s="34" t="n">
        <x:f>MAX(0,MIN(AD$8+1,'Fleet'!$O29)-MAX(AD$7,'Fleet'!$G29))</x:f>
        <x:v>0</x:v>
      </x:c>
      <x:c r="AE32" s="34" t="n">
        <x:f>MAX(0,MIN(AE$8+1,'Fleet'!$O29)-MAX(AE$7,'Fleet'!$G29))</x:f>
        <x:v>0</x:v>
      </x:c>
      <x:c r="AF32" s="34" t="n">
        <x:f>MAX(0,MIN(AF$8+1,'Fleet'!$O29)-MAX(AF$7,'Fleet'!$G29))</x:f>
        <x:v>0</x:v>
      </x:c>
      <x:c r="AG32" s="34" t="n">
        <x:f>MAX(0,MIN(AG$8+1,'Fleet'!$O29)-MAX(AG$7,'Fleet'!$G29))</x:f>
        <x:v>0</x:v>
      </x:c>
      <x:c r="AH32" s="34" t="n">
        <x:f>MAX(0,MIN(AH$8+1,'Fleet'!$O29)-MAX(AH$7,'Fleet'!$G29))</x:f>
        <x:v>0</x:v>
      </x:c>
      <x:c r="AI32" s="34" t="n">
        <x:f>MAX(0,MIN(AI$8+1,'Fleet'!$O29)-MAX(AI$7,'Fleet'!$G29))</x:f>
        <x:v>0</x:v>
      </x:c>
      <x:c r="AJ32" s="34" t="n">
        <x:f>MAX(0,MIN(AJ$8+1,'Fleet'!$O29)-MAX(AJ$7,'Fleet'!$G29))</x:f>
        <x:v>0</x:v>
      </x:c>
      <x:c r="AK32" s="34" t="n">
        <x:f>MAX(0,MIN(AK$8+1,'Fleet'!$O29)-MAX(AK$7,'Fleet'!$G29))</x:f>
        <x:v>0</x:v>
      </x:c>
      <x:c r="AL32" s="34" t="n">
        <x:f>MAX(0,MIN(AL$8+1,'Fleet'!$O29)-MAX(AL$7,'Fleet'!$G29))</x:f>
        <x:v>0</x:v>
      </x:c>
      <x:c r="AM32" s="34" t="n">
        <x:f>MAX(0,MIN(AM$8+1,'Fleet'!$O29)-MAX(AM$7,'Fleet'!$G29))</x:f>
        <x:v>0</x:v>
      </x:c>
      <x:c r="AN32" s="34" t="n">
        <x:f>MAX(0,MIN(AN$8+1,'Fleet'!$O29)-MAX(AN$7,'Fleet'!$G29))</x:f>
        <x:v>0</x:v>
      </x:c>
      <x:c r="AO32" s="34" t="n">
        <x:f>MAX(0,MIN(AO$8+1,'Fleet'!$O29)-MAX(AO$7,'Fleet'!$G29))</x:f>
        <x:v>0</x:v>
      </x:c>
      <x:c r="AP32" s="34" t="n">
        <x:f>MAX(0,MIN(AP$8+1,'Fleet'!$O29)-MAX(AP$7,'Fleet'!$G29))</x:f>
        <x:v>0</x:v>
      </x:c>
      <x:c r="AQ32" s="34" t="n">
        <x:f>MAX(0,MIN(AQ$8+1,'Fleet'!$O29)-MAX(AQ$7,'Fleet'!$G29))</x:f>
        <x:v>0</x:v>
      </x:c>
    </x:row>
    <x:row r="33" ht="21" customHeight="1">
      <x:c r="A33" s="2"/>
      <x:c r="B33" s="2"/>
      <x:c r="C33" s="5" t="str">
        <x:f>'Fleet'!C30</x:f>
        <x:v>Genco Enterprise</x:v>
      </x:c>
      <x:c r="D33" s="5" t="str">
        <x:f>'Fleet'!D30</x:f>
        <x:v>Ultramax</x:v>
      </x:c>
      <x:c r="E33" s="34" t="n">
        <x:f>MAX(0,MIN(E$8+1,'Fleet'!$O30)-MAX(E$7,'Fleet'!$G30))</x:f>
        <x:v>80</x:v>
      </x:c>
      <x:c r="F33" s="34" t="n">
        <x:f>MAX(0,MIN(F$8+1,'Fleet'!$O30)-MAX(F$7,'Fleet'!$G30))</x:f>
        <x:v>90</x:v>
      </x:c>
      <x:c r="G33" s="34" t="n">
        <x:f>MAX(0,MIN(G$8+1,'Fleet'!$O30)-MAX(G$7,'Fleet'!$G30))</x:f>
        <x:v>91</x:v>
      </x:c>
      <x:c r="H33" s="34" t="n">
        <x:f>MAX(0,MIN(H$8+1,'Fleet'!$O30)-MAX(H$7,'Fleet'!$G30))</x:f>
        <x:v>92</x:v>
      </x:c>
      <x:c r="I33" s="34" t="n">
        <x:f>MAX(0,MIN(I$8+1,'Fleet'!$O30)-MAX(I$7,'Fleet'!$G30))</x:f>
        <x:v>92</x:v>
      </x:c>
      <x:c r="J33" s="34" t="n">
        <x:f>MAX(0,MIN(J$8+1,'Fleet'!$O30)-MAX(J$7,'Fleet'!$G30))</x:f>
        <x:v>91</x:v>
      </x:c>
      <x:c r="K33" s="34" t="n">
        <x:f>MAX(0,MIN(K$8+1,'Fleet'!$O30)-MAX(K$7,'Fleet'!$G30))</x:f>
        <x:v>91</x:v>
      </x:c>
      <x:c r="L33" s="34" t="n">
        <x:f>MAX(0,MIN(L$8+1,'Fleet'!$O30)-MAX(L$7,'Fleet'!$G30))</x:f>
        <x:v>92</x:v>
      </x:c>
      <x:c r="M33" s="34" t="n">
        <x:f>MAX(0,MIN(M$8+1,'Fleet'!$O30)-MAX(M$7,'Fleet'!$G30))</x:f>
        <x:v>92</x:v>
      </x:c>
      <x:c r="N33" s="34" t="n">
        <x:f>MAX(0,MIN(N$8+1,'Fleet'!$O30)-MAX(N$7,'Fleet'!$G30))</x:f>
        <x:v>90</x:v>
      </x:c>
      <x:c r="O33" s="34" t="n">
        <x:f>MAX(0,MIN(O$8+1,'Fleet'!$O30)-MAX(O$7,'Fleet'!$G30))</x:f>
        <x:v>91</x:v>
      </x:c>
      <x:c r="P33" s="34" t="n">
        <x:f>MAX(0,MIN(P$8+1,'Fleet'!$O30)-MAX(P$7,'Fleet'!$G30))</x:f>
        <x:v>92</x:v>
      </x:c>
      <x:c r="Q33" s="34" t="n">
        <x:f>MAX(0,MIN(Q$8+1,'Fleet'!$O30)-MAX(Q$7,'Fleet'!$G30))</x:f>
        <x:v>365</x:v>
      </x:c>
      <x:c r="R33" s="34" t="n">
        <x:f>MAX(0,MIN(R$8+1,'Fleet'!$O30)-MAX(R$7,'Fleet'!$G30))</x:f>
        <x:v>365</x:v>
      </x:c>
      <x:c r="S33" s="34" t="n">
        <x:f>MAX(0,MIN(S$8+1,'Fleet'!$O30)-MAX(S$7,'Fleet'!$G30))</x:f>
        <x:v>366</x:v>
      </x:c>
      <x:c r="T33" s="34" t="n">
        <x:f>MAX(0,MIN(T$8+1,'Fleet'!$O30)-MAX(T$7,'Fleet'!$G30))</x:f>
        <x:v>365</x:v>
      </x:c>
      <x:c r="U33" s="34" t="n">
        <x:f>MAX(0,MIN(U$8+1,'Fleet'!$O30)-MAX(U$7,'Fleet'!$G30))</x:f>
        <x:v>365</x:v>
      </x:c>
      <x:c r="V33" s="34" t="n">
        <x:f>MAX(0,MIN(V$8+1,'Fleet'!$O30)-MAX(V$7,'Fleet'!$G30))</x:f>
        <x:v>365</x:v>
      </x:c>
      <x:c r="W33" s="34" t="n">
        <x:f>MAX(0,MIN(W$8+1,'Fleet'!$O30)-MAX(W$7,'Fleet'!$G30))</x:f>
        <x:v>366</x:v>
      </x:c>
      <x:c r="X33" s="34" t="n">
        <x:f>MAX(0,MIN(X$8+1,'Fleet'!$O30)-MAX(X$7,'Fleet'!$G30))</x:f>
        <x:v>365</x:v>
      </x:c>
      <x:c r="Y33" s="34" t="n">
        <x:f>MAX(0,MIN(Y$8+1,'Fleet'!$O30)-MAX(Y$7,'Fleet'!$G30))</x:f>
        <x:v>365</x:v>
      </x:c>
      <x:c r="Z33" s="34" t="n">
        <x:f>MAX(0,MIN(Z$8+1,'Fleet'!$O30)-MAX(Z$7,'Fleet'!$G30))</x:f>
        <x:v>365</x:v>
      </x:c>
      <x:c r="AA33" s="34" t="n">
        <x:f>MAX(0,MIN(AA$8+1,'Fleet'!$O30)-MAX(AA$7,'Fleet'!$G30))</x:f>
        <x:v>366</x:v>
      </x:c>
      <x:c r="AB33" s="34" t="n">
        <x:f>MAX(0,MIN(AB$8+1,'Fleet'!$O30)-MAX(AB$7,'Fleet'!$G30))</x:f>
        <x:v>273</x:v>
      </x:c>
      <x:c r="AC33" s="34" t="n">
        <x:f>MAX(0,MIN(AC$8+1,'Fleet'!$O30)-MAX(AC$7,'Fleet'!$G30))</x:f>
        <x:v>0</x:v>
      </x:c>
      <x:c r="AD33" s="34" t="n">
        <x:f>MAX(0,MIN(AD$8+1,'Fleet'!$O30)-MAX(AD$7,'Fleet'!$G30))</x:f>
        <x:v>0</x:v>
      </x:c>
      <x:c r="AE33" s="34" t="n">
        <x:f>MAX(0,MIN(AE$8+1,'Fleet'!$O30)-MAX(AE$7,'Fleet'!$G30))</x:f>
        <x:v>0</x:v>
      </x:c>
      <x:c r="AF33" s="34" t="n">
        <x:f>MAX(0,MIN(AF$8+1,'Fleet'!$O30)-MAX(AF$7,'Fleet'!$G30))</x:f>
        <x:v>0</x:v>
      </x:c>
      <x:c r="AG33" s="34" t="n">
        <x:f>MAX(0,MIN(AG$8+1,'Fleet'!$O30)-MAX(AG$7,'Fleet'!$G30))</x:f>
        <x:v>0</x:v>
      </x:c>
      <x:c r="AH33" s="34" t="n">
        <x:f>MAX(0,MIN(AH$8+1,'Fleet'!$O30)-MAX(AH$7,'Fleet'!$G30))</x:f>
        <x:v>0</x:v>
      </x:c>
      <x:c r="AI33" s="34" t="n">
        <x:f>MAX(0,MIN(AI$8+1,'Fleet'!$O30)-MAX(AI$7,'Fleet'!$G30))</x:f>
        <x:v>0</x:v>
      </x:c>
      <x:c r="AJ33" s="34" t="n">
        <x:f>MAX(0,MIN(AJ$8+1,'Fleet'!$O30)-MAX(AJ$7,'Fleet'!$G30))</x:f>
        <x:v>0</x:v>
      </x:c>
      <x:c r="AK33" s="34" t="n">
        <x:f>MAX(0,MIN(AK$8+1,'Fleet'!$O30)-MAX(AK$7,'Fleet'!$G30))</x:f>
        <x:v>0</x:v>
      </x:c>
      <x:c r="AL33" s="34" t="n">
        <x:f>MAX(0,MIN(AL$8+1,'Fleet'!$O30)-MAX(AL$7,'Fleet'!$G30))</x:f>
        <x:v>0</x:v>
      </x:c>
      <x:c r="AM33" s="34" t="n">
        <x:f>MAX(0,MIN(AM$8+1,'Fleet'!$O30)-MAX(AM$7,'Fleet'!$G30))</x:f>
        <x:v>0</x:v>
      </x:c>
      <x:c r="AN33" s="34" t="n">
        <x:f>MAX(0,MIN(AN$8+1,'Fleet'!$O30)-MAX(AN$7,'Fleet'!$G30))</x:f>
        <x:v>0</x:v>
      </x:c>
      <x:c r="AO33" s="34" t="n">
        <x:f>MAX(0,MIN(AO$8+1,'Fleet'!$O30)-MAX(AO$7,'Fleet'!$G30))</x:f>
        <x:v>0</x:v>
      </x:c>
      <x:c r="AP33" s="34" t="n">
        <x:f>MAX(0,MIN(AP$8+1,'Fleet'!$O30)-MAX(AP$7,'Fleet'!$G30))</x:f>
        <x:v>0</x:v>
      </x:c>
      <x:c r="AQ33" s="34" t="n">
        <x:f>MAX(0,MIN(AQ$8+1,'Fleet'!$O30)-MAX(AQ$7,'Fleet'!$G30))</x:f>
        <x:v>0</x:v>
      </x:c>
    </x:row>
    <x:row r="34" ht="21" customHeight="1">
      <x:c r="A34" s="2"/>
      <x:c r="B34" s="2"/>
      <x:c r="C34" s="5" t="str">
        <x:f>'Fleet'!C31</x:f>
        <x:v>Genco Mantis</x:v>
      </x:c>
      <x:c r="D34" s="5" t="str">
        <x:f>'Fleet'!D31</x:f>
        <x:v>Ultramax</x:v>
      </x:c>
      <x:c r="E34" s="34" t="n">
        <x:f>MAX(0,MIN(E$8+1,'Fleet'!$O31)-MAX(E$7,'Fleet'!$G31))</x:f>
        <x:v>80</x:v>
      </x:c>
      <x:c r="F34" s="34" t="n">
        <x:f>MAX(0,MIN(F$8+1,'Fleet'!$O31)-MAX(F$7,'Fleet'!$G31))</x:f>
        <x:v>90</x:v>
      </x:c>
      <x:c r="G34" s="34" t="n">
        <x:f>MAX(0,MIN(G$8+1,'Fleet'!$O31)-MAX(G$7,'Fleet'!$G31))</x:f>
        <x:v>91</x:v>
      </x:c>
      <x:c r="H34" s="34" t="n">
        <x:f>MAX(0,MIN(H$8+1,'Fleet'!$O31)-MAX(H$7,'Fleet'!$G31))</x:f>
        <x:v>92</x:v>
      </x:c>
      <x:c r="I34" s="34" t="n">
        <x:f>MAX(0,MIN(I$8+1,'Fleet'!$O31)-MAX(I$7,'Fleet'!$G31))</x:f>
        <x:v>92</x:v>
      </x:c>
      <x:c r="J34" s="34" t="n">
        <x:f>MAX(0,MIN(J$8+1,'Fleet'!$O31)-MAX(J$7,'Fleet'!$G31))</x:f>
        <x:v>91</x:v>
      </x:c>
      <x:c r="K34" s="34" t="n">
        <x:f>MAX(0,MIN(K$8+1,'Fleet'!$O31)-MAX(K$7,'Fleet'!$G31))</x:f>
        <x:v>91</x:v>
      </x:c>
      <x:c r="L34" s="34" t="n">
        <x:f>MAX(0,MIN(L$8+1,'Fleet'!$O31)-MAX(L$7,'Fleet'!$G31))</x:f>
        <x:v>92</x:v>
      </x:c>
      <x:c r="M34" s="34" t="n">
        <x:f>MAX(0,MIN(M$8+1,'Fleet'!$O31)-MAX(M$7,'Fleet'!$G31))</x:f>
        <x:v>92</x:v>
      </x:c>
      <x:c r="N34" s="34" t="n">
        <x:f>MAX(0,MIN(N$8+1,'Fleet'!$O31)-MAX(N$7,'Fleet'!$G31))</x:f>
        <x:v>90</x:v>
      </x:c>
      <x:c r="O34" s="34" t="n">
        <x:f>MAX(0,MIN(O$8+1,'Fleet'!$O31)-MAX(O$7,'Fleet'!$G31))</x:f>
        <x:v>91</x:v>
      </x:c>
      <x:c r="P34" s="34" t="n">
        <x:f>MAX(0,MIN(P$8+1,'Fleet'!$O31)-MAX(P$7,'Fleet'!$G31))</x:f>
        <x:v>92</x:v>
      </x:c>
      <x:c r="Q34" s="34" t="n">
        <x:f>MAX(0,MIN(Q$8+1,'Fleet'!$O31)-MAX(Q$7,'Fleet'!$G31))</x:f>
        <x:v>365</x:v>
      </x:c>
      <x:c r="R34" s="34" t="n">
        <x:f>MAX(0,MIN(R$8+1,'Fleet'!$O31)-MAX(R$7,'Fleet'!$G31))</x:f>
        <x:v>365</x:v>
      </x:c>
      <x:c r="S34" s="34" t="n">
        <x:f>MAX(0,MIN(S$8+1,'Fleet'!$O31)-MAX(S$7,'Fleet'!$G31))</x:f>
        <x:v>366</x:v>
      </x:c>
      <x:c r="T34" s="34" t="n">
        <x:f>MAX(0,MIN(T$8+1,'Fleet'!$O31)-MAX(T$7,'Fleet'!$G31))</x:f>
        <x:v>365</x:v>
      </x:c>
      <x:c r="U34" s="34" t="n">
        <x:f>MAX(0,MIN(U$8+1,'Fleet'!$O31)-MAX(U$7,'Fleet'!$G31))</x:f>
        <x:v>365</x:v>
      </x:c>
      <x:c r="V34" s="34" t="n">
        <x:f>MAX(0,MIN(V$8+1,'Fleet'!$O31)-MAX(V$7,'Fleet'!$G31))</x:f>
        <x:v>365</x:v>
      </x:c>
      <x:c r="W34" s="34" t="n">
        <x:f>MAX(0,MIN(W$8+1,'Fleet'!$O31)-MAX(W$7,'Fleet'!$G31))</x:f>
        <x:v>366</x:v>
      </x:c>
      <x:c r="X34" s="34" t="n">
        <x:f>MAX(0,MIN(X$8+1,'Fleet'!$O31)-MAX(X$7,'Fleet'!$G31))</x:f>
        <x:v>365</x:v>
      </x:c>
      <x:c r="Y34" s="34" t="n">
        <x:f>MAX(0,MIN(Y$8+1,'Fleet'!$O31)-MAX(Y$7,'Fleet'!$G31))</x:f>
        <x:v>365</x:v>
      </x:c>
      <x:c r="Z34" s="34" t="n">
        <x:f>MAX(0,MIN(Z$8+1,'Fleet'!$O31)-MAX(Z$7,'Fleet'!$G31))</x:f>
        <x:v>365</x:v>
      </x:c>
      <x:c r="AA34" s="34" t="n">
        <x:f>MAX(0,MIN(AA$8+1,'Fleet'!$O31)-MAX(AA$7,'Fleet'!$G31))</x:f>
        <x:v>274</x:v>
      </x:c>
      <x:c r="AB34" s="34" t="n">
        <x:f>MAX(0,MIN(AB$8+1,'Fleet'!$O31)-MAX(AB$7,'Fleet'!$G31))</x:f>
        <x:v>0</x:v>
      </x:c>
      <x:c r="AC34" s="34" t="n">
        <x:f>MAX(0,MIN(AC$8+1,'Fleet'!$O31)-MAX(AC$7,'Fleet'!$G31))</x:f>
        <x:v>0</x:v>
      </x:c>
      <x:c r="AD34" s="34" t="n">
        <x:f>MAX(0,MIN(AD$8+1,'Fleet'!$O31)-MAX(AD$7,'Fleet'!$G31))</x:f>
        <x:v>0</x:v>
      </x:c>
      <x:c r="AE34" s="34" t="n">
        <x:f>MAX(0,MIN(AE$8+1,'Fleet'!$O31)-MAX(AE$7,'Fleet'!$G31))</x:f>
        <x:v>0</x:v>
      </x:c>
      <x:c r="AF34" s="34" t="n">
        <x:f>MAX(0,MIN(AF$8+1,'Fleet'!$O31)-MAX(AF$7,'Fleet'!$G31))</x:f>
        <x:v>0</x:v>
      </x:c>
      <x:c r="AG34" s="34" t="n">
        <x:f>MAX(0,MIN(AG$8+1,'Fleet'!$O31)-MAX(AG$7,'Fleet'!$G31))</x:f>
        <x:v>0</x:v>
      </x:c>
      <x:c r="AH34" s="34" t="n">
        <x:f>MAX(0,MIN(AH$8+1,'Fleet'!$O31)-MAX(AH$7,'Fleet'!$G31))</x:f>
        <x:v>0</x:v>
      </x:c>
      <x:c r="AI34" s="34" t="n">
        <x:f>MAX(0,MIN(AI$8+1,'Fleet'!$O31)-MAX(AI$7,'Fleet'!$G31))</x:f>
        <x:v>0</x:v>
      </x:c>
      <x:c r="AJ34" s="34" t="n">
        <x:f>MAX(0,MIN(AJ$8+1,'Fleet'!$O31)-MAX(AJ$7,'Fleet'!$G31))</x:f>
        <x:v>0</x:v>
      </x:c>
      <x:c r="AK34" s="34" t="n">
        <x:f>MAX(0,MIN(AK$8+1,'Fleet'!$O31)-MAX(AK$7,'Fleet'!$G31))</x:f>
        <x:v>0</x:v>
      </x:c>
      <x:c r="AL34" s="34" t="n">
        <x:f>MAX(0,MIN(AL$8+1,'Fleet'!$O31)-MAX(AL$7,'Fleet'!$G31))</x:f>
        <x:v>0</x:v>
      </x:c>
      <x:c r="AM34" s="34" t="n">
        <x:f>MAX(0,MIN(AM$8+1,'Fleet'!$O31)-MAX(AM$7,'Fleet'!$G31))</x:f>
        <x:v>0</x:v>
      </x:c>
      <x:c r="AN34" s="34" t="n">
        <x:f>MAX(0,MIN(AN$8+1,'Fleet'!$O31)-MAX(AN$7,'Fleet'!$G31))</x:f>
        <x:v>0</x:v>
      </x:c>
      <x:c r="AO34" s="34" t="n">
        <x:f>MAX(0,MIN(AO$8+1,'Fleet'!$O31)-MAX(AO$7,'Fleet'!$G31))</x:f>
        <x:v>0</x:v>
      </x:c>
      <x:c r="AP34" s="34" t="n">
        <x:f>MAX(0,MIN(AP$8+1,'Fleet'!$O31)-MAX(AP$7,'Fleet'!$G31))</x:f>
        <x:v>0</x:v>
      </x:c>
      <x:c r="AQ34" s="34" t="n">
        <x:f>MAX(0,MIN(AQ$8+1,'Fleet'!$O31)-MAX(AQ$7,'Fleet'!$G31))</x:f>
        <x:v>0</x:v>
      </x:c>
    </x:row>
    <x:row r="35" ht="21" customHeight="1">
      <x:c r="A35" s="2"/>
      <x:c r="B35" s="2"/>
      <x:c r="C35" s="5" t="str">
        <x:f>'Fleet'!C32</x:f>
        <x:v>Genco Scorpion</x:v>
      </x:c>
      <x:c r="D35" s="5" t="str">
        <x:f>'Fleet'!D32</x:f>
        <x:v>Ultramax</x:v>
      </x:c>
      <x:c r="E35" s="34" t="n">
        <x:f>MAX(0,MIN(E$8+1,'Fleet'!$O32)-MAX(E$7,'Fleet'!$G32))</x:f>
        <x:v>80</x:v>
      </x:c>
      <x:c r="F35" s="34" t="n">
        <x:f>MAX(0,MIN(F$8+1,'Fleet'!$O32)-MAX(F$7,'Fleet'!$G32))</x:f>
        <x:v>90</x:v>
      </x:c>
      <x:c r="G35" s="34" t="n">
        <x:f>MAX(0,MIN(G$8+1,'Fleet'!$O32)-MAX(G$7,'Fleet'!$G32))</x:f>
        <x:v>91</x:v>
      </x:c>
      <x:c r="H35" s="34" t="n">
        <x:f>MAX(0,MIN(H$8+1,'Fleet'!$O32)-MAX(H$7,'Fleet'!$G32))</x:f>
        <x:v>92</x:v>
      </x:c>
      <x:c r="I35" s="34" t="n">
        <x:f>MAX(0,MIN(I$8+1,'Fleet'!$O32)-MAX(I$7,'Fleet'!$G32))</x:f>
        <x:v>92</x:v>
      </x:c>
      <x:c r="J35" s="34" t="n">
        <x:f>MAX(0,MIN(J$8+1,'Fleet'!$O32)-MAX(J$7,'Fleet'!$G32))</x:f>
        <x:v>91</x:v>
      </x:c>
      <x:c r="K35" s="34" t="n">
        <x:f>MAX(0,MIN(K$8+1,'Fleet'!$O32)-MAX(K$7,'Fleet'!$G32))</x:f>
        <x:v>91</x:v>
      </x:c>
      <x:c r="L35" s="34" t="n">
        <x:f>MAX(0,MIN(L$8+1,'Fleet'!$O32)-MAX(L$7,'Fleet'!$G32))</x:f>
        <x:v>92</x:v>
      </x:c>
      <x:c r="M35" s="34" t="n">
        <x:f>MAX(0,MIN(M$8+1,'Fleet'!$O32)-MAX(M$7,'Fleet'!$G32))</x:f>
        <x:v>92</x:v>
      </x:c>
      <x:c r="N35" s="34" t="n">
        <x:f>MAX(0,MIN(N$8+1,'Fleet'!$O32)-MAX(N$7,'Fleet'!$G32))</x:f>
        <x:v>90</x:v>
      </x:c>
      <x:c r="O35" s="34" t="n">
        <x:f>MAX(0,MIN(O$8+1,'Fleet'!$O32)-MAX(O$7,'Fleet'!$G32))</x:f>
        <x:v>91</x:v>
      </x:c>
      <x:c r="P35" s="34" t="n">
        <x:f>MAX(0,MIN(P$8+1,'Fleet'!$O32)-MAX(P$7,'Fleet'!$G32))</x:f>
        <x:v>92</x:v>
      </x:c>
      <x:c r="Q35" s="34" t="n">
        <x:f>MAX(0,MIN(Q$8+1,'Fleet'!$O32)-MAX(Q$7,'Fleet'!$G32))</x:f>
        <x:v>365</x:v>
      </x:c>
      <x:c r="R35" s="34" t="n">
        <x:f>MAX(0,MIN(R$8+1,'Fleet'!$O32)-MAX(R$7,'Fleet'!$G32))</x:f>
        <x:v>365</x:v>
      </x:c>
      <x:c r="S35" s="34" t="n">
        <x:f>MAX(0,MIN(S$8+1,'Fleet'!$O32)-MAX(S$7,'Fleet'!$G32))</x:f>
        <x:v>366</x:v>
      </x:c>
      <x:c r="T35" s="34" t="n">
        <x:f>MAX(0,MIN(T$8+1,'Fleet'!$O32)-MAX(T$7,'Fleet'!$G32))</x:f>
        <x:v>365</x:v>
      </x:c>
      <x:c r="U35" s="34" t="n">
        <x:f>MAX(0,MIN(U$8+1,'Fleet'!$O32)-MAX(U$7,'Fleet'!$G32))</x:f>
        <x:v>365</x:v>
      </x:c>
      <x:c r="V35" s="34" t="n">
        <x:f>MAX(0,MIN(V$8+1,'Fleet'!$O32)-MAX(V$7,'Fleet'!$G32))</x:f>
        <x:v>365</x:v>
      </x:c>
      <x:c r="W35" s="34" t="n">
        <x:f>MAX(0,MIN(W$8+1,'Fleet'!$O32)-MAX(W$7,'Fleet'!$G32))</x:f>
        <x:v>366</x:v>
      </x:c>
      <x:c r="X35" s="34" t="n">
        <x:f>MAX(0,MIN(X$8+1,'Fleet'!$O32)-MAX(X$7,'Fleet'!$G32))</x:f>
        <x:v>365</x:v>
      </x:c>
      <x:c r="Y35" s="34" t="n">
        <x:f>MAX(0,MIN(Y$8+1,'Fleet'!$O32)-MAX(Y$7,'Fleet'!$G32))</x:f>
        <x:v>365</x:v>
      </x:c>
      <x:c r="Z35" s="34" t="n">
        <x:f>MAX(0,MIN(Z$8+1,'Fleet'!$O32)-MAX(Z$7,'Fleet'!$G32))</x:f>
        <x:v>365</x:v>
      </x:c>
      <x:c r="AA35" s="34" t="n">
        <x:f>MAX(0,MIN(AA$8+1,'Fleet'!$O32)-MAX(AA$7,'Fleet'!$G32))</x:f>
        <x:v>274</x:v>
      </x:c>
      <x:c r="AB35" s="34" t="n">
        <x:f>MAX(0,MIN(AB$8+1,'Fleet'!$O32)-MAX(AB$7,'Fleet'!$G32))</x:f>
        <x:v>0</x:v>
      </x:c>
      <x:c r="AC35" s="34" t="n">
        <x:f>MAX(0,MIN(AC$8+1,'Fleet'!$O32)-MAX(AC$7,'Fleet'!$G32))</x:f>
        <x:v>0</x:v>
      </x:c>
      <x:c r="AD35" s="34" t="n">
        <x:f>MAX(0,MIN(AD$8+1,'Fleet'!$O32)-MAX(AD$7,'Fleet'!$G32))</x:f>
        <x:v>0</x:v>
      </x:c>
      <x:c r="AE35" s="34" t="n">
        <x:f>MAX(0,MIN(AE$8+1,'Fleet'!$O32)-MAX(AE$7,'Fleet'!$G32))</x:f>
        <x:v>0</x:v>
      </x:c>
      <x:c r="AF35" s="34" t="n">
        <x:f>MAX(0,MIN(AF$8+1,'Fleet'!$O32)-MAX(AF$7,'Fleet'!$G32))</x:f>
        <x:v>0</x:v>
      </x:c>
      <x:c r="AG35" s="34" t="n">
        <x:f>MAX(0,MIN(AG$8+1,'Fleet'!$O32)-MAX(AG$7,'Fleet'!$G32))</x:f>
        <x:v>0</x:v>
      </x:c>
      <x:c r="AH35" s="34" t="n">
        <x:f>MAX(0,MIN(AH$8+1,'Fleet'!$O32)-MAX(AH$7,'Fleet'!$G32))</x:f>
        <x:v>0</x:v>
      </x:c>
      <x:c r="AI35" s="34" t="n">
        <x:f>MAX(0,MIN(AI$8+1,'Fleet'!$O32)-MAX(AI$7,'Fleet'!$G32))</x:f>
        <x:v>0</x:v>
      </x:c>
      <x:c r="AJ35" s="34" t="n">
        <x:f>MAX(0,MIN(AJ$8+1,'Fleet'!$O32)-MAX(AJ$7,'Fleet'!$G32))</x:f>
        <x:v>0</x:v>
      </x:c>
      <x:c r="AK35" s="34" t="n">
        <x:f>MAX(0,MIN(AK$8+1,'Fleet'!$O32)-MAX(AK$7,'Fleet'!$G32))</x:f>
        <x:v>0</x:v>
      </x:c>
      <x:c r="AL35" s="34" t="n">
        <x:f>MAX(0,MIN(AL$8+1,'Fleet'!$O32)-MAX(AL$7,'Fleet'!$G32))</x:f>
        <x:v>0</x:v>
      </x:c>
      <x:c r="AM35" s="34" t="n">
        <x:f>MAX(0,MIN(AM$8+1,'Fleet'!$O32)-MAX(AM$7,'Fleet'!$G32))</x:f>
        <x:v>0</x:v>
      </x:c>
      <x:c r="AN35" s="34" t="n">
        <x:f>MAX(0,MIN(AN$8+1,'Fleet'!$O32)-MAX(AN$7,'Fleet'!$G32))</x:f>
        <x:v>0</x:v>
      </x:c>
      <x:c r="AO35" s="34" t="n">
        <x:f>MAX(0,MIN(AO$8+1,'Fleet'!$O32)-MAX(AO$7,'Fleet'!$G32))</x:f>
        <x:v>0</x:v>
      </x:c>
      <x:c r="AP35" s="34" t="n">
        <x:f>MAX(0,MIN(AP$8+1,'Fleet'!$O32)-MAX(AP$7,'Fleet'!$G32))</x:f>
        <x:v>0</x:v>
      </x:c>
      <x:c r="AQ35" s="34" t="n">
        <x:f>MAX(0,MIN(AQ$8+1,'Fleet'!$O32)-MAX(AQ$7,'Fleet'!$G32))</x:f>
        <x:v>0</x:v>
      </x:c>
    </x:row>
    <x:row r="36" ht="21" customHeight="1">
      <x:c r="A36" s="2"/>
      <x:c r="B36" s="2"/>
      <x:c r="C36" s="5" t="str">
        <x:f>'Fleet'!C33</x:f>
        <x:v>Genco Magic</x:v>
      </x:c>
      <x:c r="D36" s="5" t="str">
        <x:f>'Fleet'!D33</x:f>
        <x:v>Ultramax</x:v>
      </x:c>
      <x:c r="E36" s="34" t="n">
        <x:f>MAX(0,MIN(E$8+1,'Fleet'!$O33)-MAX(E$7,'Fleet'!$G33))</x:f>
        <x:v>80</x:v>
      </x:c>
      <x:c r="F36" s="34" t="n">
        <x:f>MAX(0,MIN(F$8+1,'Fleet'!$O33)-MAX(F$7,'Fleet'!$G33))</x:f>
        <x:v>90</x:v>
      </x:c>
      <x:c r="G36" s="34" t="n">
        <x:f>MAX(0,MIN(G$8+1,'Fleet'!$O33)-MAX(G$7,'Fleet'!$G33))</x:f>
        <x:v>91</x:v>
      </x:c>
      <x:c r="H36" s="34" t="n">
        <x:f>MAX(0,MIN(H$8+1,'Fleet'!$O33)-MAX(H$7,'Fleet'!$G33))</x:f>
        <x:v>92</x:v>
      </x:c>
      <x:c r="I36" s="34" t="n">
        <x:f>MAX(0,MIN(I$8+1,'Fleet'!$O33)-MAX(I$7,'Fleet'!$G33))</x:f>
        <x:v>92</x:v>
      </x:c>
      <x:c r="J36" s="34" t="n">
        <x:f>MAX(0,MIN(J$8+1,'Fleet'!$O33)-MAX(J$7,'Fleet'!$G33))</x:f>
        <x:v>91</x:v>
      </x:c>
      <x:c r="K36" s="34" t="n">
        <x:f>MAX(0,MIN(K$8+1,'Fleet'!$O33)-MAX(K$7,'Fleet'!$G33))</x:f>
        <x:v>91</x:v>
      </x:c>
      <x:c r="L36" s="34" t="n">
        <x:f>MAX(0,MIN(L$8+1,'Fleet'!$O33)-MAX(L$7,'Fleet'!$G33))</x:f>
        <x:v>92</x:v>
      </x:c>
      <x:c r="M36" s="34" t="n">
        <x:f>MAX(0,MIN(M$8+1,'Fleet'!$O33)-MAX(M$7,'Fleet'!$G33))</x:f>
        <x:v>92</x:v>
      </x:c>
      <x:c r="N36" s="34" t="n">
        <x:f>MAX(0,MIN(N$8+1,'Fleet'!$O33)-MAX(N$7,'Fleet'!$G33))</x:f>
        <x:v>90</x:v>
      </x:c>
      <x:c r="O36" s="34" t="n">
        <x:f>MAX(0,MIN(O$8+1,'Fleet'!$O33)-MAX(O$7,'Fleet'!$G33))</x:f>
        <x:v>91</x:v>
      </x:c>
      <x:c r="P36" s="34" t="n">
        <x:f>MAX(0,MIN(P$8+1,'Fleet'!$O33)-MAX(P$7,'Fleet'!$G33))</x:f>
        <x:v>92</x:v>
      </x:c>
      <x:c r="Q36" s="34" t="n">
        <x:f>MAX(0,MIN(Q$8+1,'Fleet'!$O33)-MAX(Q$7,'Fleet'!$G33))</x:f>
        <x:v>365</x:v>
      </x:c>
      <x:c r="R36" s="34" t="n">
        <x:f>MAX(0,MIN(R$8+1,'Fleet'!$O33)-MAX(R$7,'Fleet'!$G33))</x:f>
        <x:v>365</x:v>
      </x:c>
      <x:c r="S36" s="34" t="n">
        <x:f>MAX(0,MIN(S$8+1,'Fleet'!$O33)-MAX(S$7,'Fleet'!$G33))</x:f>
        <x:v>366</x:v>
      </x:c>
      <x:c r="T36" s="34" t="n">
        <x:f>MAX(0,MIN(T$8+1,'Fleet'!$O33)-MAX(T$7,'Fleet'!$G33))</x:f>
        <x:v>365</x:v>
      </x:c>
      <x:c r="U36" s="34" t="n">
        <x:f>MAX(0,MIN(U$8+1,'Fleet'!$O33)-MAX(U$7,'Fleet'!$G33))</x:f>
        <x:v>365</x:v>
      </x:c>
      <x:c r="V36" s="34" t="n">
        <x:f>MAX(0,MIN(V$8+1,'Fleet'!$O33)-MAX(V$7,'Fleet'!$G33))</x:f>
        <x:v>365</x:v>
      </x:c>
      <x:c r="W36" s="34" t="n">
        <x:f>MAX(0,MIN(W$8+1,'Fleet'!$O33)-MAX(W$7,'Fleet'!$G33))</x:f>
        <x:v>366</x:v>
      </x:c>
      <x:c r="X36" s="34" t="n">
        <x:f>MAX(0,MIN(X$8+1,'Fleet'!$O33)-MAX(X$7,'Fleet'!$G33))</x:f>
        <x:v>365</x:v>
      </x:c>
      <x:c r="Y36" s="34" t="n">
        <x:f>MAX(0,MIN(Y$8+1,'Fleet'!$O33)-MAX(Y$7,'Fleet'!$G33))</x:f>
        <x:v>365</x:v>
      </x:c>
      <x:c r="Z36" s="34" t="n">
        <x:f>MAX(0,MIN(Z$8+1,'Fleet'!$O33)-MAX(Z$7,'Fleet'!$G33))</x:f>
        <x:v>273</x:v>
      </x:c>
      <x:c r="AA36" s="34" t="n">
        <x:f>MAX(0,MIN(AA$8+1,'Fleet'!$O33)-MAX(AA$7,'Fleet'!$G33))</x:f>
        <x:v>0</x:v>
      </x:c>
      <x:c r="AB36" s="34" t="n">
        <x:f>MAX(0,MIN(AB$8+1,'Fleet'!$O33)-MAX(AB$7,'Fleet'!$G33))</x:f>
        <x:v>0</x:v>
      </x:c>
      <x:c r="AC36" s="34" t="n">
        <x:f>MAX(0,MIN(AC$8+1,'Fleet'!$O33)-MAX(AC$7,'Fleet'!$G33))</x:f>
        <x:v>0</x:v>
      </x:c>
      <x:c r="AD36" s="34" t="n">
        <x:f>MAX(0,MIN(AD$8+1,'Fleet'!$O33)-MAX(AD$7,'Fleet'!$G33))</x:f>
        <x:v>0</x:v>
      </x:c>
      <x:c r="AE36" s="34" t="n">
        <x:f>MAX(0,MIN(AE$8+1,'Fleet'!$O33)-MAX(AE$7,'Fleet'!$G33))</x:f>
        <x:v>0</x:v>
      </x:c>
      <x:c r="AF36" s="34" t="n">
        <x:f>MAX(0,MIN(AF$8+1,'Fleet'!$O33)-MAX(AF$7,'Fleet'!$G33))</x:f>
        <x:v>0</x:v>
      </x:c>
      <x:c r="AG36" s="34" t="n">
        <x:f>MAX(0,MIN(AG$8+1,'Fleet'!$O33)-MAX(AG$7,'Fleet'!$G33))</x:f>
        <x:v>0</x:v>
      </x:c>
      <x:c r="AH36" s="34" t="n">
        <x:f>MAX(0,MIN(AH$8+1,'Fleet'!$O33)-MAX(AH$7,'Fleet'!$G33))</x:f>
        <x:v>0</x:v>
      </x:c>
      <x:c r="AI36" s="34" t="n">
        <x:f>MAX(0,MIN(AI$8+1,'Fleet'!$O33)-MAX(AI$7,'Fleet'!$G33))</x:f>
        <x:v>0</x:v>
      </x:c>
      <x:c r="AJ36" s="34" t="n">
        <x:f>MAX(0,MIN(AJ$8+1,'Fleet'!$O33)-MAX(AJ$7,'Fleet'!$G33))</x:f>
        <x:v>0</x:v>
      </x:c>
      <x:c r="AK36" s="34" t="n">
        <x:f>MAX(0,MIN(AK$8+1,'Fleet'!$O33)-MAX(AK$7,'Fleet'!$G33))</x:f>
        <x:v>0</x:v>
      </x:c>
      <x:c r="AL36" s="34" t="n">
        <x:f>MAX(0,MIN(AL$8+1,'Fleet'!$O33)-MAX(AL$7,'Fleet'!$G33))</x:f>
        <x:v>0</x:v>
      </x:c>
      <x:c r="AM36" s="34" t="n">
        <x:f>MAX(0,MIN(AM$8+1,'Fleet'!$O33)-MAX(AM$7,'Fleet'!$G33))</x:f>
        <x:v>0</x:v>
      </x:c>
      <x:c r="AN36" s="34" t="n">
        <x:f>MAX(0,MIN(AN$8+1,'Fleet'!$O33)-MAX(AN$7,'Fleet'!$G33))</x:f>
        <x:v>0</x:v>
      </x:c>
      <x:c r="AO36" s="34" t="n">
        <x:f>MAX(0,MIN(AO$8+1,'Fleet'!$O33)-MAX(AO$7,'Fleet'!$G33))</x:f>
        <x:v>0</x:v>
      </x:c>
      <x:c r="AP36" s="34" t="n">
        <x:f>MAX(0,MIN(AP$8+1,'Fleet'!$O33)-MAX(AP$7,'Fleet'!$G33))</x:f>
        <x:v>0</x:v>
      </x:c>
      <x:c r="AQ36" s="34" t="n">
        <x:f>MAX(0,MIN(AQ$8+1,'Fleet'!$O33)-MAX(AQ$7,'Fleet'!$G33))</x:f>
        <x:v>0</x:v>
      </x:c>
    </x:row>
    <x:row r="37" ht="21" customHeight="1">
      <x:c r="A37" s="2"/>
      <x:c r="B37" s="2"/>
      <x:c r="C37" s="5" t="str">
        <x:f>'Fleet'!C34</x:f>
        <x:v>Genco Wasp</x:v>
      </x:c>
      <x:c r="D37" s="5" t="str">
        <x:f>'Fleet'!D34</x:f>
        <x:v>Ultramax</x:v>
      </x:c>
      <x:c r="E37" s="34" t="n">
        <x:f>MAX(0,MIN(E$8+1,'Fleet'!$O34)-MAX(E$7,'Fleet'!$G34))</x:f>
        <x:v>80</x:v>
      </x:c>
      <x:c r="F37" s="34" t="n">
        <x:f>MAX(0,MIN(F$8+1,'Fleet'!$O34)-MAX(F$7,'Fleet'!$G34))</x:f>
        <x:v>90</x:v>
      </x:c>
      <x:c r="G37" s="34" t="n">
        <x:f>MAX(0,MIN(G$8+1,'Fleet'!$O34)-MAX(G$7,'Fleet'!$G34))</x:f>
        <x:v>91</x:v>
      </x:c>
      <x:c r="H37" s="34" t="n">
        <x:f>MAX(0,MIN(H$8+1,'Fleet'!$O34)-MAX(H$7,'Fleet'!$G34))</x:f>
        <x:v>92</x:v>
      </x:c>
      <x:c r="I37" s="34" t="n">
        <x:f>MAX(0,MIN(I$8+1,'Fleet'!$O34)-MAX(I$7,'Fleet'!$G34))</x:f>
        <x:v>92</x:v>
      </x:c>
      <x:c r="J37" s="34" t="n">
        <x:f>MAX(0,MIN(J$8+1,'Fleet'!$O34)-MAX(J$7,'Fleet'!$G34))</x:f>
        <x:v>91</x:v>
      </x:c>
      <x:c r="K37" s="34" t="n">
        <x:f>MAX(0,MIN(K$8+1,'Fleet'!$O34)-MAX(K$7,'Fleet'!$G34))</x:f>
        <x:v>91</x:v>
      </x:c>
      <x:c r="L37" s="34" t="n">
        <x:f>MAX(0,MIN(L$8+1,'Fleet'!$O34)-MAX(L$7,'Fleet'!$G34))</x:f>
        <x:v>92</x:v>
      </x:c>
      <x:c r="M37" s="34" t="n">
        <x:f>MAX(0,MIN(M$8+1,'Fleet'!$O34)-MAX(M$7,'Fleet'!$G34))</x:f>
        <x:v>92</x:v>
      </x:c>
      <x:c r="N37" s="34" t="n">
        <x:f>MAX(0,MIN(N$8+1,'Fleet'!$O34)-MAX(N$7,'Fleet'!$G34))</x:f>
        <x:v>90</x:v>
      </x:c>
      <x:c r="O37" s="34" t="n">
        <x:f>MAX(0,MIN(O$8+1,'Fleet'!$O34)-MAX(O$7,'Fleet'!$G34))</x:f>
        <x:v>91</x:v>
      </x:c>
      <x:c r="P37" s="34" t="n">
        <x:f>MAX(0,MIN(P$8+1,'Fleet'!$O34)-MAX(P$7,'Fleet'!$G34))</x:f>
        <x:v>92</x:v>
      </x:c>
      <x:c r="Q37" s="34" t="n">
        <x:f>MAX(0,MIN(Q$8+1,'Fleet'!$O34)-MAX(Q$7,'Fleet'!$G34))</x:f>
        <x:v>365</x:v>
      </x:c>
      <x:c r="R37" s="34" t="n">
        <x:f>MAX(0,MIN(R$8+1,'Fleet'!$O34)-MAX(R$7,'Fleet'!$G34))</x:f>
        <x:v>365</x:v>
      </x:c>
      <x:c r="S37" s="34" t="n">
        <x:f>MAX(0,MIN(S$8+1,'Fleet'!$O34)-MAX(S$7,'Fleet'!$G34))</x:f>
        <x:v>366</x:v>
      </x:c>
      <x:c r="T37" s="34" t="n">
        <x:f>MAX(0,MIN(T$8+1,'Fleet'!$O34)-MAX(T$7,'Fleet'!$G34))</x:f>
        <x:v>365</x:v>
      </x:c>
      <x:c r="U37" s="34" t="n">
        <x:f>MAX(0,MIN(U$8+1,'Fleet'!$O34)-MAX(U$7,'Fleet'!$G34))</x:f>
        <x:v>365</x:v>
      </x:c>
      <x:c r="V37" s="34" t="n">
        <x:f>MAX(0,MIN(V$8+1,'Fleet'!$O34)-MAX(V$7,'Fleet'!$G34))</x:f>
        <x:v>365</x:v>
      </x:c>
      <x:c r="W37" s="34" t="n">
        <x:f>MAX(0,MIN(W$8+1,'Fleet'!$O34)-MAX(W$7,'Fleet'!$G34))</x:f>
        <x:v>366</x:v>
      </x:c>
      <x:c r="X37" s="34" t="n">
        <x:f>MAX(0,MIN(X$8+1,'Fleet'!$O34)-MAX(X$7,'Fleet'!$G34))</x:f>
        <x:v>365</x:v>
      </x:c>
      <x:c r="Y37" s="34" t="n">
        <x:f>MAX(0,MIN(Y$8+1,'Fleet'!$O34)-MAX(Y$7,'Fleet'!$G34))</x:f>
        <x:v>365</x:v>
      </x:c>
      <x:c r="Z37" s="34" t="n">
        <x:f>MAX(0,MIN(Z$8+1,'Fleet'!$O34)-MAX(Z$7,'Fleet'!$G34))</x:f>
        <x:v>365</x:v>
      </x:c>
      <x:c r="AA37" s="34" t="n">
        <x:f>MAX(0,MIN(AA$8+1,'Fleet'!$O34)-MAX(AA$7,'Fleet'!$G34))</x:f>
        <x:v>274</x:v>
      </x:c>
      <x:c r="AB37" s="34" t="n">
        <x:f>MAX(0,MIN(AB$8+1,'Fleet'!$O34)-MAX(AB$7,'Fleet'!$G34))</x:f>
        <x:v>0</x:v>
      </x:c>
      <x:c r="AC37" s="34" t="n">
        <x:f>MAX(0,MIN(AC$8+1,'Fleet'!$O34)-MAX(AC$7,'Fleet'!$G34))</x:f>
        <x:v>0</x:v>
      </x:c>
      <x:c r="AD37" s="34" t="n">
        <x:f>MAX(0,MIN(AD$8+1,'Fleet'!$O34)-MAX(AD$7,'Fleet'!$G34))</x:f>
        <x:v>0</x:v>
      </x:c>
      <x:c r="AE37" s="34" t="n">
        <x:f>MAX(0,MIN(AE$8+1,'Fleet'!$O34)-MAX(AE$7,'Fleet'!$G34))</x:f>
        <x:v>0</x:v>
      </x:c>
      <x:c r="AF37" s="34" t="n">
        <x:f>MAX(0,MIN(AF$8+1,'Fleet'!$O34)-MAX(AF$7,'Fleet'!$G34))</x:f>
        <x:v>0</x:v>
      </x:c>
      <x:c r="AG37" s="34" t="n">
        <x:f>MAX(0,MIN(AG$8+1,'Fleet'!$O34)-MAX(AG$7,'Fleet'!$G34))</x:f>
        <x:v>0</x:v>
      </x:c>
      <x:c r="AH37" s="34" t="n">
        <x:f>MAX(0,MIN(AH$8+1,'Fleet'!$O34)-MAX(AH$7,'Fleet'!$G34))</x:f>
        <x:v>0</x:v>
      </x:c>
      <x:c r="AI37" s="34" t="n">
        <x:f>MAX(0,MIN(AI$8+1,'Fleet'!$O34)-MAX(AI$7,'Fleet'!$G34))</x:f>
        <x:v>0</x:v>
      </x:c>
      <x:c r="AJ37" s="34" t="n">
        <x:f>MAX(0,MIN(AJ$8+1,'Fleet'!$O34)-MAX(AJ$7,'Fleet'!$G34))</x:f>
        <x:v>0</x:v>
      </x:c>
      <x:c r="AK37" s="34" t="n">
        <x:f>MAX(0,MIN(AK$8+1,'Fleet'!$O34)-MAX(AK$7,'Fleet'!$G34))</x:f>
        <x:v>0</x:v>
      </x:c>
      <x:c r="AL37" s="34" t="n">
        <x:f>MAX(0,MIN(AL$8+1,'Fleet'!$O34)-MAX(AL$7,'Fleet'!$G34))</x:f>
        <x:v>0</x:v>
      </x:c>
      <x:c r="AM37" s="34" t="n">
        <x:f>MAX(0,MIN(AM$8+1,'Fleet'!$O34)-MAX(AM$7,'Fleet'!$G34))</x:f>
        <x:v>0</x:v>
      </x:c>
      <x:c r="AN37" s="34" t="n">
        <x:f>MAX(0,MIN(AN$8+1,'Fleet'!$O34)-MAX(AN$7,'Fleet'!$G34))</x:f>
        <x:v>0</x:v>
      </x:c>
      <x:c r="AO37" s="34" t="n">
        <x:f>MAX(0,MIN(AO$8+1,'Fleet'!$O34)-MAX(AO$7,'Fleet'!$G34))</x:f>
        <x:v>0</x:v>
      </x:c>
      <x:c r="AP37" s="34" t="n">
        <x:f>MAX(0,MIN(AP$8+1,'Fleet'!$O34)-MAX(AP$7,'Fleet'!$G34))</x:f>
        <x:v>0</x:v>
      </x:c>
      <x:c r="AQ37" s="34" t="n">
        <x:f>MAX(0,MIN(AQ$8+1,'Fleet'!$O34)-MAX(AQ$7,'Fleet'!$G34))</x:f>
        <x:v>0</x:v>
      </x:c>
    </x:row>
    <x:row r="38" ht="21" customHeight="1">
      <x:c r="A38" s="2"/>
      <x:c r="B38" s="2"/>
      <x:c r="C38" s="5" t="str">
        <x:f>'Fleet'!C35</x:f>
        <x:v>Genco Constellation</x:v>
      </x:c>
      <x:c r="D38" s="5" t="str">
        <x:f>'Fleet'!D35</x:f>
        <x:v>Ultramax</x:v>
      </x:c>
      <x:c r="E38" s="34" t="n">
        <x:f>MAX(0,MIN(E$8+1,'Fleet'!$O35)-MAX(E$7,'Fleet'!$G35))</x:f>
        <x:v>80</x:v>
      </x:c>
      <x:c r="F38" s="34" t="n">
        <x:f>MAX(0,MIN(F$8+1,'Fleet'!$O35)-MAX(F$7,'Fleet'!$G35))</x:f>
        <x:v>90</x:v>
      </x:c>
      <x:c r="G38" s="34" t="n">
        <x:f>MAX(0,MIN(G$8+1,'Fleet'!$O35)-MAX(G$7,'Fleet'!$G35))</x:f>
        <x:v>91</x:v>
      </x:c>
      <x:c r="H38" s="34" t="n">
        <x:f>MAX(0,MIN(H$8+1,'Fleet'!$O35)-MAX(H$7,'Fleet'!$G35))</x:f>
        <x:v>92</x:v>
      </x:c>
      <x:c r="I38" s="34" t="n">
        <x:f>MAX(0,MIN(I$8+1,'Fleet'!$O35)-MAX(I$7,'Fleet'!$G35))</x:f>
        <x:v>92</x:v>
      </x:c>
      <x:c r="J38" s="34" t="n">
        <x:f>MAX(0,MIN(J$8+1,'Fleet'!$O35)-MAX(J$7,'Fleet'!$G35))</x:f>
        <x:v>91</x:v>
      </x:c>
      <x:c r="K38" s="34" t="n">
        <x:f>MAX(0,MIN(K$8+1,'Fleet'!$O35)-MAX(K$7,'Fleet'!$G35))</x:f>
        <x:v>91</x:v>
      </x:c>
      <x:c r="L38" s="34" t="n">
        <x:f>MAX(0,MIN(L$8+1,'Fleet'!$O35)-MAX(L$7,'Fleet'!$G35))</x:f>
        <x:v>92</x:v>
      </x:c>
      <x:c r="M38" s="34" t="n">
        <x:f>MAX(0,MIN(M$8+1,'Fleet'!$O35)-MAX(M$7,'Fleet'!$G35))</x:f>
        <x:v>92</x:v>
      </x:c>
      <x:c r="N38" s="34" t="n">
        <x:f>MAX(0,MIN(N$8+1,'Fleet'!$O35)-MAX(N$7,'Fleet'!$G35))</x:f>
        <x:v>90</x:v>
      </x:c>
      <x:c r="O38" s="34" t="n">
        <x:f>MAX(0,MIN(O$8+1,'Fleet'!$O35)-MAX(O$7,'Fleet'!$G35))</x:f>
        <x:v>91</x:v>
      </x:c>
      <x:c r="P38" s="34" t="n">
        <x:f>MAX(0,MIN(P$8+1,'Fleet'!$O35)-MAX(P$7,'Fleet'!$G35))</x:f>
        <x:v>92</x:v>
      </x:c>
      <x:c r="Q38" s="34" t="n">
        <x:f>MAX(0,MIN(Q$8+1,'Fleet'!$O35)-MAX(Q$7,'Fleet'!$G35))</x:f>
        <x:v>365</x:v>
      </x:c>
      <x:c r="R38" s="34" t="n">
        <x:f>MAX(0,MIN(R$8+1,'Fleet'!$O35)-MAX(R$7,'Fleet'!$G35))</x:f>
        <x:v>365</x:v>
      </x:c>
      <x:c r="S38" s="34" t="n">
        <x:f>MAX(0,MIN(S$8+1,'Fleet'!$O35)-MAX(S$7,'Fleet'!$G35))</x:f>
        <x:v>366</x:v>
      </x:c>
      <x:c r="T38" s="34" t="n">
        <x:f>MAX(0,MIN(T$8+1,'Fleet'!$O35)-MAX(T$7,'Fleet'!$G35))</x:f>
        <x:v>365</x:v>
      </x:c>
      <x:c r="U38" s="34" t="n">
        <x:f>MAX(0,MIN(U$8+1,'Fleet'!$O35)-MAX(U$7,'Fleet'!$G35))</x:f>
        <x:v>365</x:v>
      </x:c>
      <x:c r="V38" s="34" t="n">
        <x:f>MAX(0,MIN(V$8+1,'Fleet'!$O35)-MAX(V$7,'Fleet'!$G35))</x:f>
        <x:v>365</x:v>
      </x:c>
      <x:c r="W38" s="34" t="n">
        <x:f>MAX(0,MIN(W$8+1,'Fleet'!$O35)-MAX(W$7,'Fleet'!$G35))</x:f>
        <x:v>366</x:v>
      </x:c>
      <x:c r="X38" s="34" t="n">
        <x:f>MAX(0,MIN(X$8+1,'Fleet'!$O35)-MAX(X$7,'Fleet'!$G35))</x:f>
        <x:v>365</x:v>
      </x:c>
      <x:c r="Y38" s="34" t="n">
        <x:f>MAX(0,MIN(Y$8+1,'Fleet'!$O35)-MAX(Y$7,'Fleet'!$G35))</x:f>
        <x:v>365</x:v>
      </x:c>
      <x:c r="Z38" s="34" t="n">
        <x:f>MAX(0,MIN(Z$8+1,'Fleet'!$O35)-MAX(Z$7,'Fleet'!$G35))</x:f>
        <x:v>365</x:v>
      </x:c>
      <x:c r="AA38" s="34" t="n">
        <x:f>MAX(0,MIN(AA$8+1,'Fleet'!$O35)-MAX(AA$7,'Fleet'!$G35))</x:f>
        <x:v>366</x:v>
      </x:c>
      <x:c r="AB38" s="34" t="n">
        <x:f>MAX(0,MIN(AB$8+1,'Fleet'!$O35)-MAX(AB$7,'Fleet'!$G35))</x:f>
        <x:v>365</x:v>
      </x:c>
      <x:c r="AC38" s="34" t="n">
        <x:f>MAX(0,MIN(AC$8+1,'Fleet'!$O35)-MAX(AC$7,'Fleet'!$G35))</x:f>
        <x:v>273</x:v>
      </x:c>
      <x:c r="AD38" s="34" t="n">
        <x:f>MAX(0,MIN(AD$8+1,'Fleet'!$O35)-MAX(AD$7,'Fleet'!$G35))</x:f>
        <x:v>0</x:v>
      </x:c>
      <x:c r="AE38" s="34" t="n">
        <x:f>MAX(0,MIN(AE$8+1,'Fleet'!$O35)-MAX(AE$7,'Fleet'!$G35))</x:f>
        <x:v>0</x:v>
      </x:c>
      <x:c r="AF38" s="34" t="n">
        <x:f>MAX(0,MIN(AF$8+1,'Fleet'!$O35)-MAX(AF$7,'Fleet'!$G35))</x:f>
        <x:v>0</x:v>
      </x:c>
      <x:c r="AG38" s="34" t="n">
        <x:f>MAX(0,MIN(AG$8+1,'Fleet'!$O35)-MAX(AG$7,'Fleet'!$G35))</x:f>
        <x:v>0</x:v>
      </x:c>
      <x:c r="AH38" s="34" t="n">
        <x:f>MAX(0,MIN(AH$8+1,'Fleet'!$O35)-MAX(AH$7,'Fleet'!$G35))</x:f>
        <x:v>0</x:v>
      </x:c>
      <x:c r="AI38" s="34" t="n">
        <x:f>MAX(0,MIN(AI$8+1,'Fleet'!$O35)-MAX(AI$7,'Fleet'!$G35))</x:f>
        <x:v>0</x:v>
      </x:c>
      <x:c r="AJ38" s="34" t="n">
        <x:f>MAX(0,MIN(AJ$8+1,'Fleet'!$O35)-MAX(AJ$7,'Fleet'!$G35))</x:f>
        <x:v>0</x:v>
      </x:c>
      <x:c r="AK38" s="34" t="n">
        <x:f>MAX(0,MIN(AK$8+1,'Fleet'!$O35)-MAX(AK$7,'Fleet'!$G35))</x:f>
        <x:v>0</x:v>
      </x:c>
      <x:c r="AL38" s="34" t="n">
        <x:f>MAX(0,MIN(AL$8+1,'Fleet'!$O35)-MAX(AL$7,'Fleet'!$G35))</x:f>
        <x:v>0</x:v>
      </x:c>
      <x:c r="AM38" s="34" t="n">
        <x:f>MAX(0,MIN(AM$8+1,'Fleet'!$O35)-MAX(AM$7,'Fleet'!$G35))</x:f>
        <x:v>0</x:v>
      </x:c>
      <x:c r="AN38" s="34" t="n">
        <x:f>MAX(0,MIN(AN$8+1,'Fleet'!$O35)-MAX(AN$7,'Fleet'!$G35))</x:f>
        <x:v>0</x:v>
      </x:c>
      <x:c r="AO38" s="34" t="n">
        <x:f>MAX(0,MIN(AO$8+1,'Fleet'!$O35)-MAX(AO$7,'Fleet'!$G35))</x:f>
        <x:v>0</x:v>
      </x:c>
      <x:c r="AP38" s="34" t="n">
        <x:f>MAX(0,MIN(AP$8+1,'Fleet'!$O35)-MAX(AP$7,'Fleet'!$G35))</x:f>
        <x:v>0</x:v>
      </x:c>
      <x:c r="AQ38" s="34" t="n">
        <x:f>MAX(0,MIN(AQ$8+1,'Fleet'!$O35)-MAX(AQ$7,'Fleet'!$G35))</x:f>
        <x:v>0</x:v>
      </x:c>
    </x:row>
    <x:row r="39" ht="21" customHeight="1">
      <x:c r="A39" s="2"/>
      <x:c r="B39" s="2"/>
      <x:c r="C39" s="5" t="str">
        <x:f>'Fleet'!C36</x:f>
        <x:v>Genco Mayflower</x:v>
      </x:c>
      <x:c r="D39" s="5" t="str">
        <x:f>'Fleet'!D36</x:f>
        <x:v>Ultramax</x:v>
      </x:c>
      <x:c r="E39" s="34" t="n">
        <x:f>MAX(0,MIN(E$8+1,'Fleet'!$O36)-MAX(E$7,'Fleet'!$G36))</x:f>
        <x:v>80</x:v>
      </x:c>
      <x:c r="F39" s="34" t="n">
        <x:f>MAX(0,MIN(F$8+1,'Fleet'!$O36)-MAX(F$7,'Fleet'!$G36))</x:f>
        <x:v>90</x:v>
      </x:c>
      <x:c r="G39" s="34" t="n">
        <x:f>MAX(0,MIN(G$8+1,'Fleet'!$O36)-MAX(G$7,'Fleet'!$G36))</x:f>
        <x:v>91</x:v>
      </x:c>
      <x:c r="H39" s="34" t="n">
        <x:f>MAX(0,MIN(H$8+1,'Fleet'!$O36)-MAX(H$7,'Fleet'!$G36))</x:f>
        <x:v>92</x:v>
      </x:c>
      <x:c r="I39" s="34" t="n">
        <x:f>MAX(0,MIN(I$8+1,'Fleet'!$O36)-MAX(I$7,'Fleet'!$G36))</x:f>
        <x:v>92</x:v>
      </x:c>
      <x:c r="J39" s="34" t="n">
        <x:f>MAX(0,MIN(J$8+1,'Fleet'!$O36)-MAX(J$7,'Fleet'!$G36))</x:f>
        <x:v>91</x:v>
      </x:c>
      <x:c r="K39" s="34" t="n">
        <x:f>MAX(0,MIN(K$8+1,'Fleet'!$O36)-MAX(K$7,'Fleet'!$G36))</x:f>
        <x:v>91</x:v>
      </x:c>
      <x:c r="L39" s="34" t="n">
        <x:f>MAX(0,MIN(L$8+1,'Fleet'!$O36)-MAX(L$7,'Fleet'!$G36))</x:f>
        <x:v>92</x:v>
      </x:c>
      <x:c r="M39" s="34" t="n">
        <x:f>MAX(0,MIN(M$8+1,'Fleet'!$O36)-MAX(M$7,'Fleet'!$G36))</x:f>
        <x:v>92</x:v>
      </x:c>
      <x:c r="N39" s="34" t="n">
        <x:f>MAX(0,MIN(N$8+1,'Fleet'!$O36)-MAX(N$7,'Fleet'!$G36))</x:f>
        <x:v>90</x:v>
      </x:c>
      <x:c r="O39" s="34" t="n">
        <x:f>MAX(0,MIN(O$8+1,'Fleet'!$O36)-MAX(O$7,'Fleet'!$G36))</x:f>
        <x:v>91</x:v>
      </x:c>
      <x:c r="P39" s="34" t="n">
        <x:f>MAX(0,MIN(P$8+1,'Fleet'!$O36)-MAX(P$7,'Fleet'!$G36))</x:f>
        <x:v>92</x:v>
      </x:c>
      <x:c r="Q39" s="34" t="n">
        <x:f>MAX(0,MIN(Q$8+1,'Fleet'!$O36)-MAX(Q$7,'Fleet'!$G36))</x:f>
        <x:v>365</x:v>
      </x:c>
      <x:c r="R39" s="34" t="n">
        <x:f>MAX(0,MIN(R$8+1,'Fleet'!$O36)-MAX(R$7,'Fleet'!$G36))</x:f>
        <x:v>365</x:v>
      </x:c>
      <x:c r="S39" s="34" t="n">
        <x:f>MAX(0,MIN(S$8+1,'Fleet'!$O36)-MAX(S$7,'Fleet'!$G36))</x:f>
        <x:v>366</x:v>
      </x:c>
      <x:c r="T39" s="34" t="n">
        <x:f>MAX(0,MIN(T$8+1,'Fleet'!$O36)-MAX(T$7,'Fleet'!$G36))</x:f>
        <x:v>365</x:v>
      </x:c>
      <x:c r="U39" s="34" t="n">
        <x:f>MAX(0,MIN(U$8+1,'Fleet'!$O36)-MAX(U$7,'Fleet'!$G36))</x:f>
        <x:v>365</x:v>
      </x:c>
      <x:c r="V39" s="34" t="n">
        <x:f>MAX(0,MIN(V$8+1,'Fleet'!$O36)-MAX(V$7,'Fleet'!$G36))</x:f>
        <x:v>365</x:v>
      </x:c>
      <x:c r="W39" s="34" t="n">
        <x:f>MAX(0,MIN(W$8+1,'Fleet'!$O36)-MAX(W$7,'Fleet'!$G36))</x:f>
        <x:v>366</x:v>
      </x:c>
      <x:c r="X39" s="34" t="n">
        <x:f>MAX(0,MIN(X$8+1,'Fleet'!$O36)-MAX(X$7,'Fleet'!$G36))</x:f>
        <x:v>365</x:v>
      </x:c>
      <x:c r="Y39" s="34" t="n">
        <x:f>MAX(0,MIN(Y$8+1,'Fleet'!$O36)-MAX(Y$7,'Fleet'!$G36))</x:f>
        <x:v>365</x:v>
      </x:c>
      <x:c r="Z39" s="34" t="n">
        <x:f>MAX(0,MIN(Z$8+1,'Fleet'!$O36)-MAX(Z$7,'Fleet'!$G36))</x:f>
        <x:v>365</x:v>
      </x:c>
      <x:c r="AA39" s="34" t="n">
        <x:f>MAX(0,MIN(AA$8+1,'Fleet'!$O36)-MAX(AA$7,'Fleet'!$G36))</x:f>
        <x:v>366</x:v>
      </x:c>
      <x:c r="AB39" s="34" t="n">
        <x:f>MAX(0,MIN(AB$8+1,'Fleet'!$O36)-MAX(AB$7,'Fleet'!$G36))</x:f>
        <x:v>365</x:v>
      </x:c>
      <x:c r="AC39" s="34" t="n">
        <x:f>MAX(0,MIN(AC$8+1,'Fleet'!$O36)-MAX(AC$7,'Fleet'!$G36))</x:f>
        <x:v>273</x:v>
      </x:c>
      <x:c r="AD39" s="34" t="n">
        <x:f>MAX(0,MIN(AD$8+1,'Fleet'!$O36)-MAX(AD$7,'Fleet'!$G36))</x:f>
        <x:v>0</x:v>
      </x:c>
      <x:c r="AE39" s="34" t="n">
        <x:f>MAX(0,MIN(AE$8+1,'Fleet'!$O36)-MAX(AE$7,'Fleet'!$G36))</x:f>
        <x:v>0</x:v>
      </x:c>
      <x:c r="AF39" s="34" t="n">
        <x:f>MAX(0,MIN(AF$8+1,'Fleet'!$O36)-MAX(AF$7,'Fleet'!$G36))</x:f>
        <x:v>0</x:v>
      </x:c>
      <x:c r="AG39" s="34" t="n">
        <x:f>MAX(0,MIN(AG$8+1,'Fleet'!$O36)-MAX(AG$7,'Fleet'!$G36))</x:f>
        <x:v>0</x:v>
      </x:c>
      <x:c r="AH39" s="34" t="n">
        <x:f>MAX(0,MIN(AH$8+1,'Fleet'!$O36)-MAX(AH$7,'Fleet'!$G36))</x:f>
        <x:v>0</x:v>
      </x:c>
      <x:c r="AI39" s="34" t="n">
        <x:f>MAX(0,MIN(AI$8+1,'Fleet'!$O36)-MAX(AI$7,'Fleet'!$G36))</x:f>
        <x:v>0</x:v>
      </x:c>
      <x:c r="AJ39" s="34" t="n">
        <x:f>MAX(0,MIN(AJ$8+1,'Fleet'!$O36)-MAX(AJ$7,'Fleet'!$G36))</x:f>
        <x:v>0</x:v>
      </x:c>
      <x:c r="AK39" s="34" t="n">
        <x:f>MAX(0,MIN(AK$8+1,'Fleet'!$O36)-MAX(AK$7,'Fleet'!$G36))</x:f>
        <x:v>0</x:v>
      </x:c>
      <x:c r="AL39" s="34" t="n">
        <x:f>MAX(0,MIN(AL$8+1,'Fleet'!$O36)-MAX(AL$7,'Fleet'!$G36))</x:f>
        <x:v>0</x:v>
      </x:c>
      <x:c r="AM39" s="34" t="n">
        <x:f>MAX(0,MIN(AM$8+1,'Fleet'!$O36)-MAX(AM$7,'Fleet'!$G36))</x:f>
        <x:v>0</x:v>
      </x:c>
      <x:c r="AN39" s="34" t="n">
        <x:f>MAX(0,MIN(AN$8+1,'Fleet'!$O36)-MAX(AN$7,'Fleet'!$G36))</x:f>
        <x:v>0</x:v>
      </x:c>
      <x:c r="AO39" s="34" t="n">
        <x:f>MAX(0,MIN(AO$8+1,'Fleet'!$O36)-MAX(AO$7,'Fleet'!$G36))</x:f>
        <x:v>0</x:v>
      </x:c>
      <x:c r="AP39" s="34" t="n">
        <x:f>MAX(0,MIN(AP$8+1,'Fleet'!$O36)-MAX(AP$7,'Fleet'!$G36))</x:f>
        <x:v>0</x:v>
      </x:c>
      <x:c r="AQ39" s="34" t="n">
        <x:f>MAX(0,MIN(AQ$8+1,'Fleet'!$O36)-MAX(AQ$7,'Fleet'!$G36))</x:f>
        <x:v>0</x:v>
      </x:c>
    </x:row>
    <x:row r="40" ht="21" customHeight="1">
      <x:c r="A40" s="2"/>
      <x:c r="B40" s="2"/>
      <x:c r="C40" s="5" t="str">
        <x:f>'Fleet'!C37</x:f>
        <x:v>Genco Madeleine</x:v>
      </x:c>
      <x:c r="D40" s="5" t="str">
        <x:f>'Fleet'!D37</x:f>
        <x:v>Ultramax</x:v>
      </x:c>
      <x:c r="E40" s="34" t="n">
        <x:f>MAX(0,MIN(E$8+1,'Fleet'!$O37)-MAX(E$7,'Fleet'!$G37))</x:f>
        <x:v>80</x:v>
      </x:c>
      <x:c r="F40" s="34" t="n">
        <x:f>MAX(0,MIN(F$8+1,'Fleet'!$O37)-MAX(F$7,'Fleet'!$G37))</x:f>
        <x:v>90</x:v>
      </x:c>
      <x:c r="G40" s="34" t="n">
        <x:f>MAX(0,MIN(G$8+1,'Fleet'!$O37)-MAX(G$7,'Fleet'!$G37))</x:f>
        <x:v>91</x:v>
      </x:c>
      <x:c r="H40" s="34" t="n">
        <x:f>MAX(0,MIN(H$8+1,'Fleet'!$O37)-MAX(H$7,'Fleet'!$G37))</x:f>
        <x:v>92</x:v>
      </x:c>
      <x:c r="I40" s="34" t="n">
        <x:f>MAX(0,MIN(I$8+1,'Fleet'!$O37)-MAX(I$7,'Fleet'!$G37))</x:f>
        <x:v>92</x:v>
      </x:c>
      <x:c r="J40" s="34" t="n">
        <x:f>MAX(0,MIN(J$8+1,'Fleet'!$O37)-MAX(J$7,'Fleet'!$G37))</x:f>
        <x:v>91</x:v>
      </x:c>
      <x:c r="K40" s="34" t="n">
        <x:f>MAX(0,MIN(K$8+1,'Fleet'!$O37)-MAX(K$7,'Fleet'!$G37))</x:f>
        <x:v>91</x:v>
      </x:c>
      <x:c r="L40" s="34" t="n">
        <x:f>MAX(0,MIN(L$8+1,'Fleet'!$O37)-MAX(L$7,'Fleet'!$G37))</x:f>
        <x:v>92</x:v>
      </x:c>
      <x:c r="M40" s="34" t="n">
        <x:f>MAX(0,MIN(M$8+1,'Fleet'!$O37)-MAX(M$7,'Fleet'!$G37))</x:f>
        <x:v>92</x:v>
      </x:c>
      <x:c r="N40" s="34" t="n">
        <x:f>MAX(0,MIN(N$8+1,'Fleet'!$O37)-MAX(N$7,'Fleet'!$G37))</x:f>
        <x:v>90</x:v>
      </x:c>
      <x:c r="O40" s="34" t="n">
        <x:f>MAX(0,MIN(O$8+1,'Fleet'!$O37)-MAX(O$7,'Fleet'!$G37))</x:f>
        <x:v>91</x:v>
      </x:c>
      <x:c r="P40" s="34" t="n">
        <x:f>MAX(0,MIN(P$8+1,'Fleet'!$O37)-MAX(P$7,'Fleet'!$G37))</x:f>
        <x:v>92</x:v>
      </x:c>
      <x:c r="Q40" s="34" t="n">
        <x:f>MAX(0,MIN(Q$8+1,'Fleet'!$O37)-MAX(Q$7,'Fleet'!$G37))</x:f>
        <x:v>365</x:v>
      </x:c>
      <x:c r="R40" s="34" t="n">
        <x:f>MAX(0,MIN(R$8+1,'Fleet'!$O37)-MAX(R$7,'Fleet'!$G37))</x:f>
        <x:v>365</x:v>
      </x:c>
      <x:c r="S40" s="34" t="n">
        <x:f>MAX(0,MIN(S$8+1,'Fleet'!$O37)-MAX(S$7,'Fleet'!$G37))</x:f>
        <x:v>366</x:v>
      </x:c>
      <x:c r="T40" s="34" t="n">
        <x:f>MAX(0,MIN(T$8+1,'Fleet'!$O37)-MAX(T$7,'Fleet'!$G37))</x:f>
        <x:v>365</x:v>
      </x:c>
      <x:c r="U40" s="34" t="n">
        <x:f>MAX(0,MIN(U$8+1,'Fleet'!$O37)-MAX(U$7,'Fleet'!$G37))</x:f>
        <x:v>365</x:v>
      </x:c>
      <x:c r="V40" s="34" t="n">
        <x:f>MAX(0,MIN(V$8+1,'Fleet'!$O37)-MAX(V$7,'Fleet'!$G37))</x:f>
        <x:v>365</x:v>
      </x:c>
      <x:c r="W40" s="34" t="n">
        <x:f>MAX(0,MIN(W$8+1,'Fleet'!$O37)-MAX(W$7,'Fleet'!$G37))</x:f>
        <x:v>366</x:v>
      </x:c>
      <x:c r="X40" s="34" t="n">
        <x:f>MAX(0,MIN(X$8+1,'Fleet'!$O37)-MAX(X$7,'Fleet'!$G37))</x:f>
        <x:v>365</x:v>
      </x:c>
      <x:c r="Y40" s="34" t="n">
        <x:f>MAX(0,MIN(Y$8+1,'Fleet'!$O37)-MAX(Y$7,'Fleet'!$G37))</x:f>
        <x:v>365</x:v>
      </x:c>
      <x:c r="Z40" s="34" t="n">
        <x:f>MAX(0,MIN(Z$8+1,'Fleet'!$O37)-MAX(Z$7,'Fleet'!$G37))</x:f>
        <x:v>273</x:v>
      </x:c>
      <x:c r="AA40" s="34" t="n">
        <x:f>MAX(0,MIN(AA$8+1,'Fleet'!$O37)-MAX(AA$7,'Fleet'!$G37))</x:f>
        <x:v>0</x:v>
      </x:c>
      <x:c r="AB40" s="34" t="n">
        <x:f>MAX(0,MIN(AB$8+1,'Fleet'!$O37)-MAX(AB$7,'Fleet'!$G37))</x:f>
        <x:v>0</x:v>
      </x:c>
      <x:c r="AC40" s="34" t="n">
        <x:f>MAX(0,MIN(AC$8+1,'Fleet'!$O37)-MAX(AC$7,'Fleet'!$G37))</x:f>
        <x:v>0</x:v>
      </x:c>
      <x:c r="AD40" s="34" t="n">
        <x:f>MAX(0,MIN(AD$8+1,'Fleet'!$O37)-MAX(AD$7,'Fleet'!$G37))</x:f>
        <x:v>0</x:v>
      </x:c>
      <x:c r="AE40" s="34" t="n">
        <x:f>MAX(0,MIN(AE$8+1,'Fleet'!$O37)-MAX(AE$7,'Fleet'!$G37))</x:f>
        <x:v>0</x:v>
      </x:c>
      <x:c r="AF40" s="34" t="n">
        <x:f>MAX(0,MIN(AF$8+1,'Fleet'!$O37)-MAX(AF$7,'Fleet'!$G37))</x:f>
        <x:v>0</x:v>
      </x:c>
      <x:c r="AG40" s="34" t="n">
        <x:f>MAX(0,MIN(AG$8+1,'Fleet'!$O37)-MAX(AG$7,'Fleet'!$G37))</x:f>
        <x:v>0</x:v>
      </x:c>
      <x:c r="AH40" s="34" t="n">
        <x:f>MAX(0,MIN(AH$8+1,'Fleet'!$O37)-MAX(AH$7,'Fleet'!$G37))</x:f>
        <x:v>0</x:v>
      </x:c>
      <x:c r="AI40" s="34" t="n">
        <x:f>MAX(0,MIN(AI$8+1,'Fleet'!$O37)-MAX(AI$7,'Fleet'!$G37))</x:f>
        <x:v>0</x:v>
      </x:c>
      <x:c r="AJ40" s="34" t="n">
        <x:f>MAX(0,MIN(AJ$8+1,'Fleet'!$O37)-MAX(AJ$7,'Fleet'!$G37))</x:f>
        <x:v>0</x:v>
      </x:c>
      <x:c r="AK40" s="34" t="n">
        <x:f>MAX(0,MIN(AK$8+1,'Fleet'!$O37)-MAX(AK$7,'Fleet'!$G37))</x:f>
        <x:v>0</x:v>
      </x:c>
      <x:c r="AL40" s="34" t="n">
        <x:f>MAX(0,MIN(AL$8+1,'Fleet'!$O37)-MAX(AL$7,'Fleet'!$G37))</x:f>
        <x:v>0</x:v>
      </x:c>
      <x:c r="AM40" s="34" t="n">
        <x:f>MAX(0,MIN(AM$8+1,'Fleet'!$O37)-MAX(AM$7,'Fleet'!$G37))</x:f>
        <x:v>0</x:v>
      </x:c>
      <x:c r="AN40" s="34" t="n">
        <x:f>MAX(0,MIN(AN$8+1,'Fleet'!$O37)-MAX(AN$7,'Fleet'!$G37))</x:f>
        <x:v>0</x:v>
      </x:c>
      <x:c r="AO40" s="34" t="n">
        <x:f>MAX(0,MIN(AO$8+1,'Fleet'!$O37)-MAX(AO$7,'Fleet'!$G37))</x:f>
        <x:v>0</x:v>
      </x:c>
      <x:c r="AP40" s="34" t="n">
        <x:f>MAX(0,MIN(AP$8+1,'Fleet'!$O37)-MAX(AP$7,'Fleet'!$G37))</x:f>
        <x:v>0</x:v>
      </x:c>
      <x:c r="AQ40" s="34" t="n">
        <x:f>MAX(0,MIN(AQ$8+1,'Fleet'!$O37)-MAX(AQ$7,'Fleet'!$G37))</x:f>
        <x:v>0</x:v>
      </x:c>
    </x:row>
    <x:row r="41" ht="21" customHeight="1">
      <x:c r="A41" s="2"/>
      <x:c r="B41" s="2"/>
      <x:c r="C41" s="5" t="str">
        <x:f>'Fleet'!C38</x:f>
        <x:v>Genco Weatherly</x:v>
      </x:c>
      <x:c r="D41" s="5" t="str">
        <x:f>'Fleet'!D38</x:f>
        <x:v>Ultramax</x:v>
      </x:c>
      <x:c r="E41" s="34" t="n">
        <x:f>MAX(0,MIN(E$8+1,'Fleet'!$O38)-MAX(E$7,'Fleet'!$G38))</x:f>
        <x:v>80</x:v>
      </x:c>
      <x:c r="F41" s="34" t="n">
        <x:f>MAX(0,MIN(F$8+1,'Fleet'!$O38)-MAX(F$7,'Fleet'!$G38))</x:f>
        <x:v>90</x:v>
      </x:c>
      <x:c r="G41" s="34" t="n">
        <x:f>MAX(0,MIN(G$8+1,'Fleet'!$O38)-MAX(G$7,'Fleet'!$G38))</x:f>
        <x:v>91</x:v>
      </x:c>
      <x:c r="H41" s="34" t="n">
        <x:f>MAX(0,MIN(H$8+1,'Fleet'!$O38)-MAX(H$7,'Fleet'!$G38))</x:f>
        <x:v>92</x:v>
      </x:c>
      <x:c r="I41" s="34" t="n">
        <x:f>MAX(0,MIN(I$8+1,'Fleet'!$O38)-MAX(I$7,'Fleet'!$G38))</x:f>
        <x:v>92</x:v>
      </x:c>
      <x:c r="J41" s="34" t="n">
        <x:f>MAX(0,MIN(J$8+1,'Fleet'!$O38)-MAX(J$7,'Fleet'!$G38))</x:f>
        <x:v>91</x:v>
      </x:c>
      <x:c r="K41" s="34" t="n">
        <x:f>MAX(0,MIN(K$8+1,'Fleet'!$O38)-MAX(K$7,'Fleet'!$G38))</x:f>
        <x:v>91</x:v>
      </x:c>
      <x:c r="L41" s="34" t="n">
        <x:f>MAX(0,MIN(L$8+1,'Fleet'!$O38)-MAX(L$7,'Fleet'!$G38))</x:f>
        <x:v>92</x:v>
      </x:c>
      <x:c r="M41" s="34" t="n">
        <x:f>MAX(0,MIN(M$8+1,'Fleet'!$O38)-MAX(M$7,'Fleet'!$G38))</x:f>
        <x:v>92</x:v>
      </x:c>
      <x:c r="N41" s="34" t="n">
        <x:f>MAX(0,MIN(N$8+1,'Fleet'!$O38)-MAX(N$7,'Fleet'!$G38))</x:f>
        <x:v>90</x:v>
      </x:c>
      <x:c r="O41" s="34" t="n">
        <x:f>MAX(0,MIN(O$8+1,'Fleet'!$O38)-MAX(O$7,'Fleet'!$G38))</x:f>
        <x:v>91</x:v>
      </x:c>
      <x:c r="P41" s="34" t="n">
        <x:f>MAX(0,MIN(P$8+1,'Fleet'!$O38)-MAX(P$7,'Fleet'!$G38))</x:f>
        <x:v>92</x:v>
      </x:c>
      <x:c r="Q41" s="34" t="n">
        <x:f>MAX(0,MIN(Q$8+1,'Fleet'!$O38)-MAX(Q$7,'Fleet'!$G38))</x:f>
        <x:v>365</x:v>
      </x:c>
      <x:c r="R41" s="34" t="n">
        <x:f>MAX(0,MIN(R$8+1,'Fleet'!$O38)-MAX(R$7,'Fleet'!$G38))</x:f>
        <x:v>365</x:v>
      </x:c>
      <x:c r="S41" s="34" t="n">
        <x:f>MAX(0,MIN(S$8+1,'Fleet'!$O38)-MAX(S$7,'Fleet'!$G38))</x:f>
        <x:v>366</x:v>
      </x:c>
      <x:c r="T41" s="34" t="n">
        <x:f>MAX(0,MIN(T$8+1,'Fleet'!$O38)-MAX(T$7,'Fleet'!$G38))</x:f>
        <x:v>365</x:v>
      </x:c>
      <x:c r="U41" s="34" t="n">
        <x:f>MAX(0,MIN(U$8+1,'Fleet'!$O38)-MAX(U$7,'Fleet'!$G38))</x:f>
        <x:v>365</x:v>
      </x:c>
      <x:c r="V41" s="34" t="n">
        <x:f>MAX(0,MIN(V$8+1,'Fleet'!$O38)-MAX(V$7,'Fleet'!$G38))</x:f>
        <x:v>365</x:v>
      </x:c>
      <x:c r="W41" s="34" t="n">
        <x:f>MAX(0,MIN(W$8+1,'Fleet'!$O38)-MAX(W$7,'Fleet'!$G38))</x:f>
        <x:v>366</x:v>
      </x:c>
      <x:c r="X41" s="34" t="n">
        <x:f>MAX(0,MIN(X$8+1,'Fleet'!$O38)-MAX(X$7,'Fleet'!$G38))</x:f>
        <x:v>365</x:v>
      </x:c>
      <x:c r="Y41" s="34" t="n">
        <x:f>MAX(0,MIN(Y$8+1,'Fleet'!$O38)-MAX(Y$7,'Fleet'!$G38))</x:f>
        <x:v>365</x:v>
      </x:c>
      <x:c r="Z41" s="34" t="n">
        <x:f>MAX(0,MIN(Z$8+1,'Fleet'!$O38)-MAX(Z$7,'Fleet'!$G38))</x:f>
        <x:v>273</x:v>
      </x:c>
      <x:c r="AA41" s="34" t="n">
        <x:f>MAX(0,MIN(AA$8+1,'Fleet'!$O38)-MAX(AA$7,'Fleet'!$G38))</x:f>
        <x:v>0</x:v>
      </x:c>
      <x:c r="AB41" s="34" t="n">
        <x:f>MAX(0,MIN(AB$8+1,'Fleet'!$O38)-MAX(AB$7,'Fleet'!$G38))</x:f>
        <x:v>0</x:v>
      </x:c>
      <x:c r="AC41" s="34" t="n">
        <x:f>MAX(0,MIN(AC$8+1,'Fleet'!$O38)-MAX(AC$7,'Fleet'!$G38))</x:f>
        <x:v>0</x:v>
      </x:c>
      <x:c r="AD41" s="34" t="n">
        <x:f>MAX(0,MIN(AD$8+1,'Fleet'!$O38)-MAX(AD$7,'Fleet'!$G38))</x:f>
        <x:v>0</x:v>
      </x:c>
      <x:c r="AE41" s="34" t="n">
        <x:f>MAX(0,MIN(AE$8+1,'Fleet'!$O38)-MAX(AE$7,'Fleet'!$G38))</x:f>
        <x:v>0</x:v>
      </x:c>
      <x:c r="AF41" s="34" t="n">
        <x:f>MAX(0,MIN(AF$8+1,'Fleet'!$O38)-MAX(AF$7,'Fleet'!$G38))</x:f>
        <x:v>0</x:v>
      </x:c>
      <x:c r="AG41" s="34" t="n">
        <x:f>MAX(0,MIN(AG$8+1,'Fleet'!$O38)-MAX(AG$7,'Fleet'!$G38))</x:f>
        <x:v>0</x:v>
      </x:c>
      <x:c r="AH41" s="34" t="n">
        <x:f>MAX(0,MIN(AH$8+1,'Fleet'!$O38)-MAX(AH$7,'Fleet'!$G38))</x:f>
        <x:v>0</x:v>
      </x:c>
      <x:c r="AI41" s="34" t="n">
        <x:f>MAX(0,MIN(AI$8+1,'Fleet'!$O38)-MAX(AI$7,'Fleet'!$G38))</x:f>
        <x:v>0</x:v>
      </x:c>
      <x:c r="AJ41" s="34" t="n">
        <x:f>MAX(0,MIN(AJ$8+1,'Fleet'!$O38)-MAX(AJ$7,'Fleet'!$G38))</x:f>
        <x:v>0</x:v>
      </x:c>
      <x:c r="AK41" s="34" t="n">
        <x:f>MAX(0,MIN(AK$8+1,'Fleet'!$O38)-MAX(AK$7,'Fleet'!$G38))</x:f>
        <x:v>0</x:v>
      </x:c>
      <x:c r="AL41" s="34" t="n">
        <x:f>MAX(0,MIN(AL$8+1,'Fleet'!$O38)-MAX(AL$7,'Fleet'!$G38))</x:f>
        <x:v>0</x:v>
      </x:c>
      <x:c r="AM41" s="34" t="n">
        <x:f>MAX(0,MIN(AM$8+1,'Fleet'!$O38)-MAX(AM$7,'Fleet'!$G38))</x:f>
        <x:v>0</x:v>
      </x:c>
      <x:c r="AN41" s="34" t="n">
        <x:f>MAX(0,MIN(AN$8+1,'Fleet'!$O38)-MAX(AN$7,'Fleet'!$G38))</x:f>
        <x:v>0</x:v>
      </x:c>
      <x:c r="AO41" s="34" t="n">
        <x:f>MAX(0,MIN(AO$8+1,'Fleet'!$O38)-MAX(AO$7,'Fleet'!$G38))</x:f>
        <x:v>0</x:v>
      </x:c>
      <x:c r="AP41" s="34" t="n">
        <x:f>MAX(0,MIN(AP$8+1,'Fleet'!$O38)-MAX(AP$7,'Fleet'!$G38))</x:f>
        <x:v>0</x:v>
      </x:c>
      <x:c r="AQ41" s="34" t="n">
        <x:f>MAX(0,MIN(AQ$8+1,'Fleet'!$O38)-MAX(AQ$7,'Fleet'!$G38))</x:f>
        <x:v>0</x:v>
      </x:c>
    </x:row>
    <x:row r="42" ht="21" customHeight="1">
      <x:c r="A42" s="2"/>
      <x:c r="B42" s="2"/>
      <x:c r="C42" s="5" t="str">
        <x:f>'Fleet'!C39</x:f>
        <x:v>Genco Mary</x:v>
      </x:c>
      <x:c r="D42" s="5" t="str">
        <x:f>'Fleet'!D39</x:f>
        <x:v>Ultramax</x:v>
      </x:c>
      <x:c r="E42" s="34" t="n">
        <x:f>MAX(0,MIN(E$8+1,'Fleet'!$O39)-MAX(E$7,'Fleet'!$G39))</x:f>
        <x:v>80</x:v>
      </x:c>
      <x:c r="F42" s="34" t="n">
        <x:f>MAX(0,MIN(F$8+1,'Fleet'!$O39)-MAX(F$7,'Fleet'!$G39))</x:f>
        <x:v>90</x:v>
      </x:c>
      <x:c r="G42" s="34" t="n">
        <x:f>MAX(0,MIN(G$8+1,'Fleet'!$O39)-MAX(G$7,'Fleet'!$G39))</x:f>
        <x:v>91</x:v>
      </x:c>
      <x:c r="H42" s="34" t="n">
        <x:f>MAX(0,MIN(H$8+1,'Fleet'!$O39)-MAX(H$7,'Fleet'!$G39))</x:f>
        <x:v>92</x:v>
      </x:c>
      <x:c r="I42" s="34" t="n">
        <x:f>MAX(0,MIN(I$8+1,'Fleet'!$O39)-MAX(I$7,'Fleet'!$G39))</x:f>
        <x:v>92</x:v>
      </x:c>
      <x:c r="J42" s="34" t="n">
        <x:f>MAX(0,MIN(J$8+1,'Fleet'!$O39)-MAX(J$7,'Fleet'!$G39))</x:f>
        <x:v>91</x:v>
      </x:c>
      <x:c r="K42" s="34" t="n">
        <x:f>MAX(0,MIN(K$8+1,'Fleet'!$O39)-MAX(K$7,'Fleet'!$G39))</x:f>
        <x:v>91</x:v>
      </x:c>
      <x:c r="L42" s="34" t="n">
        <x:f>MAX(0,MIN(L$8+1,'Fleet'!$O39)-MAX(L$7,'Fleet'!$G39))</x:f>
        <x:v>92</x:v>
      </x:c>
      <x:c r="M42" s="34" t="n">
        <x:f>MAX(0,MIN(M$8+1,'Fleet'!$O39)-MAX(M$7,'Fleet'!$G39))</x:f>
        <x:v>92</x:v>
      </x:c>
      <x:c r="N42" s="34" t="n">
        <x:f>MAX(0,MIN(N$8+1,'Fleet'!$O39)-MAX(N$7,'Fleet'!$G39))</x:f>
        <x:v>90</x:v>
      </x:c>
      <x:c r="O42" s="34" t="n">
        <x:f>MAX(0,MIN(O$8+1,'Fleet'!$O39)-MAX(O$7,'Fleet'!$G39))</x:f>
        <x:v>91</x:v>
      </x:c>
      <x:c r="P42" s="34" t="n">
        <x:f>MAX(0,MIN(P$8+1,'Fleet'!$O39)-MAX(P$7,'Fleet'!$G39))</x:f>
        <x:v>92</x:v>
      </x:c>
      <x:c r="Q42" s="34" t="n">
        <x:f>MAX(0,MIN(Q$8+1,'Fleet'!$O39)-MAX(Q$7,'Fleet'!$G39))</x:f>
        <x:v>365</x:v>
      </x:c>
      <x:c r="R42" s="34" t="n">
        <x:f>MAX(0,MIN(R$8+1,'Fleet'!$O39)-MAX(R$7,'Fleet'!$G39))</x:f>
        <x:v>365</x:v>
      </x:c>
      <x:c r="S42" s="34" t="n">
        <x:f>MAX(0,MIN(S$8+1,'Fleet'!$O39)-MAX(S$7,'Fleet'!$G39))</x:f>
        <x:v>366</x:v>
      </x:c>
      <x:c r="T42" s="34" t="n">
        <x:f>MAX(0,MIN(T$8+1,'Fleet'!$O39)-MAX(T$7,'Fleet'!$G39))</x:f>
        <x:v>365</x:v>
      </x:c>
      <x:c r="U42" s="34" t="n">
        <x:f>MAX(0,MIN(U$8+1,'Fleet'!$O39)-MAX(U$7,'Fleet'!$G39))</x:f>
        <x:v>365</x:v>
      </x:c>
      <x:c r="V42" s="34" t="n">
        <x:f>MAX(0,MIN(V$8+1,'Fleet'!$O39)-MAX(V$7,'Fleet'!$G39))</x:f>
        <x:v>365</x:v>
      </x:c>
      <x:c r="W42" s="34" t="n">
        <x:f>MAX(0,MIN(W$8+1,'Fleet'!$O39)-MAX(W$7,'Fleet'!$G39))</x:f>
        <x:v>366</x:v>
      </x:c>
      <x:c r="X42" s="34" t="n">
        <x:f>MAX(0,MIN(X$8+1,'Fleet'!$O39)-MAX(X$7,'Fleet'!$G39))</x:f>
        <x:v>365</x:v>
      </x:c>
      <x:c r="Y42" s="34" t="n">
        <x:f>MAX(0,MIN(Y$8+1,'Fleet'!$O39)-MAX(Y$7,'Fleet'!$G39))</x:f>
        <x:v>365</x:v>
      </x:c>
      <x:c r="Z42" s="34" t="n">
        <x:f>MAX(0,MIN(Z$8+1,'Fleet'!$O39)-MAX(Z$7,'Fleet'!$G39))</x:f>
        <x:v>365</x:v>
      </x:c>
      <x:c r="AA42" s="34" t="n">
        <x:f>MAX(0,MIN(AA$8+1,'Fleet'!$O39)-MAX(AA$7,'Fleet'!$G39))</x:f>
        <x:v>366</x:v>
      </x:c>
      <x:c r="AB42" s="34" t="n">
        <x:f>MAX(0,MIN(AB$8+1,'Fleet'!$O39)-MAX(AB$7,'Fleet'!$G39))</x:f>
        <x:v>365</x:v>
      </x:c>
      <x:c r="AC42" s="34" t="n">
        <x:f>MAX(0,MIN(AC$8+1,'Fleet'!$O39)-MAX(AC$7,'Fleet'!$G39))</x:f>
        <x:v>365</x:v>
      </x:c>
      <x:c r="AD42" s="34" t="n">
        <x:f>MAX(0,MIN(AD$8+1,'Fleet'!$O39)-MAX(AD$7,'Fleet'!$G39))</x:f>
        <x:v>365</x:v>
      </x:c>
      <x:c r="AE42" s="34" t="n">
        <x:f>MAX(0,MIN(AE$8+1,'Fleet'!$O39)-MAX(AE$7,'Fleet'!$G39))</x:f>
        <x:v>366</x:v>
      </x:c>
      <x:c r="AF42" s="34" t="n">
        <x:f>MAX(0,MIN(AF$8+1,'Fleet'!$O39)-MAX(AF$7,'Fleet'!$G39))</x:f>
        <x:v>365</x:v>
      </x:c>
      <x:c r="AG42" s="34" t="n">
        <x:f>MAX(0,MIN(AG$8+1,'Fleet'!$O39)-MAX(AG$7,'Fleet'!$G39))</x:f>
        <x:v>365</x:v>
      </x:c>
      <x:c r="AH42" s="34" t="n">
        <x:f>MAX(0,MIN(AH$8+1,'Fleet'!$O39)-MAX(AH$7,'Fleet'!$G39))</x:f>
        <x:v>273</x:v>
      </x:c>
      <x:c r="AI42" s="34" t="n">
        <x:f>MAX(0,MIN(AI$8+1,'Fleet'!$O39)-MAX(AI$7,'Fleet'!$G39))</x:f>
        <x:v>0</x:v>
      </x:c>
      <x:c r="AJ42" s="34" t="n">
        <x:f>MAX(0,MIN(AJ$8+1,'Fleet'!$O39)-MAX(AJ$7,'Fleet'!$G39))</x:f>
        <x:v>0</x:v>
      </x:c>
      <x:c r="AK42" s="34" t="n">
        <x:f>MAX(0,MIN(AK$8+1,'Fleet'!$O39)-MAX(AK$7,'Fleet'!$G39))</x:f>
        <x:v>0</x:v>
      </x:c>
      <x:c r="AL42" s="34" t="n">
        <x:f>MAX(0,MIN(AL$8+1,'Fleet'!$O39)-MAX(AL$7,'Fleet'!$G39))</x:f>
        <x:v>0</x:v>
      </x:c>
      <x:c r="AM42" s="34" t="n">
        <x:f>MAX(0,MIN(AM$8+1,'Fleet'!$O39)-MAX(AM$7,'Fleet'!$G39))</x:f>
        <x:v>0</x:v>
      </x:c>
      <x:c r="AN42" s="34" t="n">
        <x:f>MAX(0,MIN(AN$8+1,'Fleet'!$O39)-MAX(AN$7,'Fleet'!$G39))</x:f>
        <x:v>0</x:v>
      </x:c>
      <x:c r="AO42" s="34" t="n">
        <x:f>MAX(0,MIN(AO$8+1,'Fleet'!$O39)-MAX(AO$7,'Fleet'!$G39))</x:f>
        <x:v>0</x:v>
      </x:c>
      <x:c r="AP42" s="34" t="n">
        <x:f>MAX(0,MIN(AP$8+1,'Fleet'!$O39)-MAX(AP$7,'Fleet'!$G39))</x:f>
        <x:v>0</x:v>
      </x:c>
      <x:c r="AQ42" s="34" t="n">
        <x:f>MAX(0,MIN(AQ$8+1,'Fleet'!$O39)-MAX(AQ$7,'Fleet'!$G39))</x:f>
        <x:v>0</x:v>
      </x:c>
    </x:row>
    <x:row r="43" ht="21" customHeight="1">
      <x:c r="A43" s="2"/>
      <x:c r="B43" s="2"/>
      <x:c r="C43" s="5" t="str">
        <x:f>'Fleet'!C40</x:f>
        <x:v>Genco Laddey</x:v>
      </x:c>
      <x:c r="D43" s="5" t="str">
        <x:f>'Fleet'!D40</x:f>
        <x:v>Ultramax</x:v>
      </x:c>
      <x:c r="E43" s="34" t="n">
        <x:f>MAX(0,MIN(E$8+1,'Fleet'!$O40)-MAX(E$7,'Fleet'!$G40))</x:f>
        <x:v>80</x:v>
      </x:c>
      <x:c r="F43" s="34" t="n">
        <x:f>MAX(0,MIN(F$8+1,'Fleet'!$O40)-MAX(F$7,'Fleet'!$G40))</x:f>
        <x:v>90</x:v>
      </x:c>
      <x:c r="G43" s="34" t="n">
        <x:f>MAX(0,MIN(G$8+1,'Fleet'!$O40)-MAX(G$7,'Fleet'!$G40))</x:f>
        <x:v>91</x:v>
      </x:c>
      <x:c r="H43" s="34" t="n">
        <x:f>MAX(0,MIN(H$8+1,'Fleet'!$O40)-MAX(H$7,'Fleet'!$G40))</x:f>
        <x:v>92</x:v>
      </x:c>
      <x:c r="I43" s="34" t="n">
        <x:f>MAX(0,MIN(I$8+1,'Fleet'!$O40)-MAX(I$7,'Fleet'!$G40))</x:f>
        <x:v>92</x:v>
      </x:c>
      <x:c r="J43" s="34" t="n">
        <x:f>MAX(0,MIN(J$8+1,'Fleet'!$O40)-MAX(J$7,'Fleet'!$G40))</x:f>
        <x:v>91</x:v>
      </x:c>
      <x:c r="K43" s="34" t="n">
        <x:f>MAX(0,MIN(K$8+1,'Fleet'!$O40)-MAX(K$7,'Fleet'!$G40))</x:f>
        <x:v>91</x:v>
      </x:c>
      <x:c r="L43" s="34" t="n">
        <x:f>MAX(0,MIN(L$8+1,'Fleet'!$O40)-MAX(L$7,'Fleet'!$G40))</x:f>
        <x:v>92</x:v>
      </x:c>
      <x:c r="M43" s="34" t="n">
        <x:f>MAX(0,MIN(M$8+1,'Fleet'!$O40)-MAX(M$7,'Fleet'!$G40))</x:f>
        <x:v>92</x:v>
      </x:c>
      <x:c r="N43" s="34" t="n">
        <x:f>MAX(0,MIN(N$8+1,'Fleet'!$O40)-MAX(N$7,'Fleet'!$G40))</x:f>
        <x:v>90</x:v>
      </x:c>
      <x:c r="O43" s="34" t="n">
        <x:f>MAX(0,MIN(O$8+1,'Fleet'!$O40)-MAX(O$7,'Fleet'!$G40))</x:f>
        <x:v>91</x:v>
      </x:c>
      <x:c r="P43" s="34" t="n">
        <x:f>MAX(0,MIN(P$8+1,'Fleet'!$O40)-MAX(P$7,'Fleet'!$G40))</x:f>
        <x:v>92</x:v>
      </x:c>
      <x:c r="Q43" s="34" t="n">
        <x:f>MAX(0,MIN(Q$8+1,'Fleet'!$O40)-MAX(Q$7,'Fleet'!$G40))</x:f>
        <x:v>365</x:v>
      </x:c>
      <x:c r="R43" s="34" t="n">
        <x:f>MAX(0,MIN(R$8+1,'Fleet'!$O40)-MAX(R$7,'Fleet'!$G40))</x:f>
        <x:v>365</x:v>
      </x:c>
      <x:c r="S43" s="34" t="n">
        <x:f>MAX(0,MIN(S$8+1,'Fleet'!$O40)-MAX(S$7,'Fleet'!$G40))</x:f>
        <x:v>366</x:v>
      </x:c>
      <x:c r="T43" s="34" t="n">
        <x:f>MAX(0,MIN(T$8+1,'Fleet'!$O40)-MAX(T$7,'Fleet'!$G40))</x:f>
        <x:v>365</x:v>
      </x:c>
      <x:c r="U43" s="34" t="n">
        <x:f>MAX(0,MIN(U$8+1,'Fleet'!$O40)-MAX(U$7,'Fleet'!$G40))</x:f>
        <x:v>365</x:v>
      </x:c>
      <x:c r="V43" s="34" t="n">
        <x:f>MAX(0,MIN(V$8+1,'Fleet'!$O40)-MAX(V$7,'Fleet'!$G40))</x:f>
        <x:v>365</x:v>
      </x:c>
      <x:c r="W43" s="34" t="n">
        <x:f>MAX(0,MIN(W$8+1,'Fleet'!$O40)-MAX(W$7,'Fleet'!$G40))</x:f>
        <x:v>366</x:v>
      </x:c>
      <x:c r="X43" s="34" t="n">
        <x:f>MAX(0,MIN(X$8+1,'Fleet'!$O40)-MAX(X$7,'Fleet'!$G40))</x:f>
        <x:v>365</x:v>
      </x:c>
      <x:c r="Y43" s="34" t="n">
        <x:f>MAX(0,MIN(Y$8+1,'Fleet'!$O40)-MAX(Y$7,'Fleet'!$G40))</x:f>
        <x:v>365</x:v>
      </x:c>
      <x:c r="Z43" s="34" t="n">
        <x:f>MAX(0,MIN(Z$8+1,'Fleet'!$O40)-MAX(Z$7,'Fleet'!$G40))</x:f>
        <x:v>365</x:v>
      </x:c>
      <x:c r="AA43" s="34" t="n">
        <x:f>MAX(0,MIN(AA$8+1,'Fleet'!$O40)-MAX(AA$7,'Fleet'!$G40))</x:f>
        <x:v>366</x:v>
      </x:c>
      <x:c r="AB43" s="34" t="n">
        <x:f>MAX(0,MIN(AB$8+1,'Fleet'!$O40)-MAX(AB$7,'Fleet'!$G40))</x:f>
        <x:v>365</x:v>
      </x:c>
      <x:c r="AC43" s="34" t="n">
        <x:f>MAX(0,MIN(AC$8+1,'Fleet'!$O40)-MAX(AC$7,'Fleet'!$G40))</x:f>
        <x:v>365</x:v>
      </x:c>
      <x:c r="AD43" s="34" t="n">
        <x:f>MAX(0,MIN(AD$8+1,'Fleet'!$O40)-MAX(AD$7,'Fleet'!$G40))</x:f>
        <x:v>365</x:v>
      </x:c>
      <x:c r="AE43" s="34" t="n">
        <x:f>MAX(0,MIN(AE$8+1,'Fleet'!$O40)-MAX(AE$7,'Fleet'!$G40))</x:f>
        <x:v>366</x:v>
      </x:c>
      <x:c r="AF43" s="34" t="n">
        <x:f>MAX(0,MIN(AF$8+1,'Fleet'!$O40)-MAX(AF$7,'Fleet'!$G40))</x:f>
        <x:v>365</x:v>
      </x:c>
      <x:c r="AG43" s="34" t="n">
        <x:f>MAX(0,MIN(AG$8+1,'Fleet'!$O40)-MAX(AG$7,'Fleet'!$G40))</x:f>
        <x:v>365</x:v>
      </x:c>
      <x:c r="AH43" s="34" t="n">
        <x:f>MAX(0,MIN(AH$8+1,'Fleet'!$O40)-MAX(AH$7,'Fleet'!$G40))</x:f>
        <x:v>273</x:v>
      </x:c>
      <x:c r="AI43" s="34" t="n">
        <x:f>MAX(0,MIN(AI$8+1,'Fleet'!$O40)-MAX(AI$7,'Fleet'!$G40))</x:f>
        <x:v>0</x:v>
      </x:c>
      <x:c r="AJ43" s="34" t="n">
        <x:f>MAX(0,MIN(AJ$8+1,'Fleet'!$O40)-MAX(AJ$7,'Fleet'!$G40))</x:f>
        <x:v>0</x:v>
      </x:c>
      <x:c r="AK43" s="34" t="n">
        <x:f>MAX(0,MIN(AK$8+1,'Fleet'!$O40)-MAX(AK$7,'Fleet'!$G40))</x:f>
        <x:v>0</x:v>
      </x:c>
      <x:c r="AL43" s="34" t="n">
        <x:f>MAX(0,MIN(AL$8+1,'Fleet'!$O40)-MAX(AL$7,'Fleet'!$G40))</x:f>
        <x:v>0</x:v>
      </x:c>
      <x:c r="AM43" s="34" t="n">
        <x:f>MAX(0,MIN(AM$8+1,'Fleet'!$O40)-MAX(AM$7,'Fleet'!$G40))</x:f>
        <x:v>0</x:v>
      </x:c>
      <x:c r="AN43" s="34" t="n">
        <x:f>MAX(0,MIN(AN$8+1,'Fleet'!$O40)-MAX(AN$7,'Fleet'!$G40))</x:f>
        <x:v>0</x:v>
      </x:c>
      <x:c r="AO43" s="34" t="n">
        <x:f>MAX(0,MIN(AO$8+1,'Fleet'!$O40)-MAX(AO$7,'Fleet'!$G40))</x:f>
        <x:v>0</x:v>
      </x:c>
      <x:c r="AP43" s="34" t="n">
        <x:f>MAX(0,MIN(AP$8+1,'Fleet'!$O40)-MAX(AP$7,'Fleet'!$G40))</x:f>
        <x:v>0</x:v>
      </x:c>
      <x:c r="AQ43" s="34" t="n">
        <x:f>MAX(0,MIN(AQ$8+1,'Fleet'!$O40)-MAX(AQ$7,'Fleet'!$G40))</x:f>
        <x:v>0</x:v>
      </x:c>
    </x:row>
    <x:row r="44" ht="21" customHeight="1">
      <x:c r="A44" s="2"/>
      <x:c r="B44" s="2"/>
      <x:c r="C44" s="5" t="str">
        <x:f>'Fleet'!C41</x:f>
        <x:v>Genco Columbia</x:v>
      </x:c>
      <x:c r="D44" s="5" t="str">
        <x:f>'Fleet'!D41</x:f>
        <x:v>Ultramax</x:v>
      </x:c>
      <x:c r="E44" s="34" t="n">
        <x:f>MAX(0,MIN(E$8+1,'Fleet'!$O41)-MAX(E$7,'Fleet'!$G41))</x:f>
        <x:v>80</x:v>
      </x:c>
      <x:c r="F44" s="34" t="n">
        <x:f>MAX(0,MIN(F$8+1,'Fleet'!$O41)-MAX(F$7,'Fleet'!$G41))</x:f>
        <x:v>90</x:v>
      </x:c>
      <x:c r="G44" s="34" t="n">
        <x:f>MAX(0,MIN(G$8+1,'Fleet'!$O41)-MAX(G$7,'Fleet'!$G41))</x:f>
        <x:v>91</x:v>
      </x:c>
      <x:c r="H44" s="34" t="n">
        <x:f>MAX(0,MIN(H$8+1,'Fleet'!$O41)-MAX(H$7,'Fleet'!$G41))</x:f>
        <x:v>92</x:v>
      </x:c>
      <x:c r="I44" s="34" t="n">
        <x:f>MAX(0,MIN(I$8+1,'Fleet'!$O41)-MAX(I$7,'Fleet'!$G41))</x:f>
        <x:v>92</x:v>
      </x:c>
      <x:c r="J44" s="34" t="n">
        <x:f>MAX(0,MIN(J$8+1,'Fleet'!$O41)-MAX(J$7,'Fleet'!$G41))</x:f>
        <x:v>91</x:v>
      </x:c>
      <x:c r="K44" s="34" t="n">
        <x:f>MAX(0,MIN(K$8+1,'Fleet'!$O41)-MAX(K$7,'Fleet'!$G41))</x:f>
        <x:v>91</x:v>
      </x:c>
      <x:c r="L44" s="34" t="n">
        <x:f>MAX(0,MIN(L$8+1,'Fleet'!$O41)-MAX(L$7,'Fleet'!$G41))</x:f>
        <x:v>92</x:v>
      </x:c>
      <x:c r="M44" s="34" t="n">
        <x:f>MAX(0,MIN(M$8+1,'Fleet'!$O41)-MAX(M$7,'Fleet'!$G41))</x:f>
        <x:v>92</x:v>
      </x:c>
      <x:c r="N44" s="34" t="n">
        <x:f>MAX(0,MIN(N$8+1,'Fleet'!$O41)-MAX(N$7,'Fleet'!$G41))</x:f>
        <x:v>90</x:v>
      </x:c>
      <x:c r="O44" s="34" t="n">
        <x:f>MAX(0,MIN(O$8+1,'Fleet'!$O41)-MAX(O$7,'Fleet'!$G41))</x:f>
        <x:v>91</x:v>
      </x:c>
      <x:c r="P44" s="34" t="n">
        <x:f>MAX(0,MIN(P$8+1,'Fleet'!$O41)-MAX(P$7,'Fleet'!$G41))</x:f>
        <x:v>92</x:v>
      </x:c>
      <x:c r="Q44" s="34" t="n">
        <x:f>MAX(0,MIN(Q$8+1,'Fleet'!$O41)-MAX(Q$7,'Fleet'!$G41))</x:f>
        <x:v>365</x:v>
      </x:c>
      <x:c r="R44" s="34" t="n">
        <x:f>MAX(0,MIN(R$8+1,'Fleet'!$O41)-MAX(R$7,'Fleet'!$G41))</x:f>
        <x:v>365</x:v>
      </x:c>
      <x:c r="S44" s="34" t="n">
        <x:f>MAX(0,MIN(S$8+1,'Fleet'!$O41)-MAX(S$7,'Fleet'!$G41))</x:f>
        <x:v>366</x:v>
      </x:c>
      <x:c r="T44" s="34" t="n">
        <x:f>MAX(0,MIN(T$8+1,'Fleet'!$O41)-MAX(T$7,'Fleet'!$G41))</x:f>
        <x:v>365</x:v>
      </x:c>
      <x:c r="U44" s="34" t="n">
        <x:f>MAX(0,MIN(U$8+1,'Fleet'!$O41)-MAX(U$7,'Fleet'!$G41))</x:f>
        <x:v>365</x:v>
      </x:c>
      <x:c r="V44" s="34" t="n">
        <x:f>MAX(0,MIN(V$8+1,'Fleet'!$O41)-MAX(V$7,'Fleet'!$G41))</x:f>
        <x:v>365</x:v>
      </x:c>
      <x:c r="W44" s="34" t="n">
        <x:f>MAX(0,MIN(W$8+1,'Fleet'!$O41)-MAX(W$7,'Fleet'!$G41))</x:f>
        <x:v>366</x:v>
      </x:c>
      <x:c r="X44" s="34" t="n">
        <x:f>MAX(0,MIN(X$8+1,'Fleet'!$O41)-MAX(X$7,'Fleet'!$G41))</x:f>
        <x:v>365</x:v>
      </x:c>
      <x:c r="Y44" s="34" t="n">
        <x:f>MAX(0,MIN(Y$8+1,'Fleet'!$O41)-MAX(Y$7,'Fleet'!$G41))</x:f>
        <x:v>365</x:v>
      </x:c>
      <x:c r="Z44" s="34" t="n">
        <x:f>MAX(0,MIN(Z$8+1,'Fleet'!$O41)-MAX(Z$7,'Fleet'!$G41))</x:f>
        <x:v>365</x:v>
      </x:c>
      <x:c r="AA44" s="34" t="n">
        <x:f>MAX(0,MIN(AA$8+1,'Fleet'!$O41)-MAX(AA$7,'Fleet'!$G41))</x:f>
        <x:v>366</x:v>
      </x:c>
      <x:c r="AB44" s="34" t="n">
        <x:f>MAX(0,MIN(AB$8+1,'Fleet'!$O41)-MAX(AB$7,'Fleet'!$G41))</x:f>
        <x:v>273</x:v>
      </x:c>
      <x:c r="AC44" s="34" t="n">
        <x:f>MAX(0,MIN(AC$8+1,'Fleet'!$O41)-MAX(AC$7,'Fleet'!$G41))</x:f>
        <x:v>0</x:v>
      </x:c>
      <x:c r="AD44" s="34" t="n">
        <x:f>MAX(0,MIN(AD$8+1,'Fleet'!$O41)-MAX(AD$7,'Fleet'!$G41))</x:f>
        <x:v>0</x:v>
      </x:c>
      <x:c r="AE44" s="34" t="n">
        <x:f>MAX(0,MIN(AE$8+1,'Fleet'!$O41)-MAX(AE$7,'Fleet'!$G41))</x:f>
        <x:v>0</x:v>
      </x:c>
      <x:c r="AF44" s="34" t="n">
        <x:f>MAX(0,MIN(AF$8+1,'Fleet'!$O41)-MAX(AF$7,'Fleet'!$G41))</x:f>
        <x:v>0</x:v>
      </x:c>
      <x:c r="AG44" s="34" t="n">
        <x:f>MAX(0,MIN(AG$8+1,'Fleet'!$O41)-MAX(AG$7,'Fleet'!$G41))</x:f>
        <x:v>0</x:v>
      </x:c>
      <x:c r="AH44" s="34" t="n">
        <x:f>MAX(0,MIN(AH$8+1,'Fleet'!$O41)-MAX(AH$7,'Fleet'!$G41))</x:f>
        <x:v>0</x:v>
      </x:c>
      <x:c r="AI44" s="34" t="n">
        <x:f>MAX(0,MIN(AI$8+1,'Fleet'!$O41)-MAX(AI$7,'Fleet'!$G41))</x:f>
        <x:v>0</x:v>
      </x:c>
      <x:c r="AJ44" s="34" t="n">
        <x:f>MAX(0,MIN(AJ$8+1,'Fleet'!$O41)-MAX(AJ$7,'Fleet'!$G41))</x:f>
        <x:v>0</x:v>
      </x:c>
      <x:c r="AK44" s="34" t="n">
        <x:f>MAX(0,MIN(AK$8+1,'Fleet'!$O41)-MAX(AK$7,'Fleet'!$G41))</x:f>
        <x:v>0</x:v>
      </x:c>
      <x:c r="AL44" s="34" t="n">
        <x:f>MAX(0,MIN(AL$8+1,'Fleet'!$O41)-MAX(AL$7,'Fleet'!$G41))</x:f>
        <x:v>0</x:v>
      </x:c>
      <x:c r="AM44" s="34" t="n">
        <x:f>MAX(0,MIN(AM$8+1,'Fleet'!$O41)-MAX(AM$7,'Fleet'!$G41))</x:f>
        <x:v>0</x:v>
      </x:c>
      <x:c r="AN44" s="34" t="n">
        <x:f>MAX(0,MIN(AN$8+1,'Fleet'!$O41)-MAX(AN$7,'Fleet'!$G41))</x:f>
        <x:v>0</x:v>
      </x:c>
      <x:c r="AO44" s="34" t="n">
        <x:f>MAX(0,MIN(AO$8+1,'Fleet'!$O41)-MAX(AO$7,'Fleet'!$G41))</x:f>
        <x:v>0</x:v>
      </x:c>
      <x:c r="AP44" s="34" t="n">
        <x:f>MAX(0,MIN(AP$8+1,'Fleet'!$O41)-MAX(AP$7,'Fleet'!$G41))</x:f>
        <x:v>0</x:v>
      </x:c>
      <x:c r="AQ44" s="34" t="n">
        <x:f>MAX(0,MIN(AQ$8+1,'Fleet'!$O41)-MAX(AQ$7,'Fleet'!$G41))</x:f>
        <x:v>0</x:v>
      </x:c>
    </x:row>
    <x:row r="45" ht="21" customHeight="1">
      <x:c r="A45" s="2"/>
      <x:c r="B45" s="2"/>
      <x:c r="C45" s="5" t="str">
        <x:f>'Fleet'!C42</x:f>
        <x:v>Genco Hunter</x:v>
      </x:c>
      <x:c r="D45" s="5" t="str">
        <x:f>'Fleet'!D42</x:f>
        <x:v>Supramax</x:v>
      </x:c>
      <x:c r="E45" s="34" t="n">
        <x:f>MAX(0,MIN(E$8+1,'Fleet'!$O42)-MAX(E$7,'Fleet'!$G42))</x:f>
        <x:v>80</x:v>
      </x:c>
      <x:c r="F45" s="34" t="n">
        <x:f>MAX(0,MIN(F$8+1,'Fleet'!$O42)-MAX(F$7,'Fleet'!$G42))</x:f>
        <x:v>90</x:v>
      </x:c>
      <x:c r="G45" s="34" t="n">
        <x:f>MAX(0,MIN(G$8+1,'Fleet'!$O42)-MAX(G$7,'Fleet'!$G42))</x:f>
        <x:v>91</x:v>
      </x:c>
      <x:c r="H45" s="34" t="n">
        <x:f>MAX(0,MIN(H$8+1,'Fleet'!$O42)-MAX(H$7,'Fleet'!$G42))</x:f>
        <x:v>92</x:v>
      </x:c>
      <x:c r="I45" s="34" t="n">
        <x:f>MAX(0,MIN(I$8+1,'Fleet'!$O42)-MAX(I$7,'Fleet'!$G42))</x:f>
        <x:v>92</x:v>
      </x:c>
      <x:c r="J45" s="34" t="n">
        <x:f>MAX(0,MIN(J$8+1,'Fleet'!$O42)-MAX(J$7,'Fleet'!$G42))</x:f>
        <x:v>91</x:v>
      </x:c>
      <x:c r="K45" s="34" t="n">
        <x:f>MAX(0,MIN(K$8+1,'Fleet'!$O42)-MAX(K$7,'Fleet'!$G42))</x:f>
        <x:v>91</x:v>
      </x:c>
      <x:c r="L45" s="34" t="n">
        <x:f>MAX(0,MIN(L$8+1,'Fleet'!$O42)-MAX(L$7,'Fleet'!$G42))</x:f>
        <x:v>92</x:v>
      </x:c>
      <x:c r="M45" s="34" t="n">
        <x:f>MAX(0,MIN(M$8+1,'Fleet'!$O42)-MAX(M$7,'Fleet'!$G42))</x:f>
        <x:v>92</x:v>
      </x:c>
      <x:c r="N45" s="34" t="n">
        <x:f>MAX(0,MIN(N$8+1,'Fleet'!$O42)-MAX(N$7,'Fleet'!$G42))</x:f>
        <x:v>90</x:v>
      </x:c>
      <x:c r="O45" s="34" t="n">
        <x:f>MAX(0,MIN(O$8+1,'Fleet'!$O42)-MAX(O$7,'Fleet'!$G42))</x:f>
        <x:v>91</x:v>
      </x:c>
      <x:c r="P45" s="34" t="n">
        <x:f>MAX(0,MIN(P$8+1,'Fleet'!$O42)-MAX(P$7,'Fleet'!$G42))</x:f>
        <x:v>92</x:v>
      </x:c>
      <x:c r="Q45" s="34" t="n">
        <x:f>MAX(0,MIN(Q$8+1,'Fleet'!$O42)-MAX(Q$7,'Fleet'!$G42))</x:f>
        <x:v>365</x:v>
      </x:c>
      <x:c r="R45" s="34" t="n">
        <x:f>MAX(0,MIN(R$8+1,'Fleet'!$O42)-MAX(R$7,'Fleet'!$G42))</x:f>
        <x:v>365</x:v>
      </x:c>
      <x:c r="S45" s="34" t="n">
        <x:f>MAX(0,MIN(S$8+1,'Fleet'!$O42)-MAX(S$7,'Fleet'!$G42))</x:f>
        <x:v>274</x:v>
      </x:c>
      <x:c r="T45" s="34" t="n">
        <x:f>MAX(0,MIN(T$8+1,'Fleet'!$O42)-MAX(T$7,'Fleet'!$G42))</x:f>
        <x:v>0</x:v>
      </x:c>
      <x:c r="U45" s="34" t="n">
        <x:f>MAX(0,MIN(U$8+1,'Fleet'!$O42)-MAX(U$7,'Fleet'!$G42))</x:f>
        <x:v>0</x:v>
      </x:c>
      <x:c r="V45" s="34" t="n">
        <x:f>MAX(0,MIN(V$8+1,'Fleet'!$O42)-MAX(V$7,'Fleet'!$G42))</x:f>
        <x:v>0</x:v>
      </x:c>
      <x:c r="W45" s="34" t="n">
        <x:f>MAX(0,MIN(W$8+1,'Fleet'!$O42)-MAX(W$7,'Fleet'!$G42))</x:f>
        <x:v>0</x:v>
      </x:c>
      <x:c r="X45" s="34" t="n">
        <x:f>MAX(0,MIN(X$8+1,'Fleet'!$O42)-MAX(X$7,'Fleet'!$G42))</x:f>
        <x:v>0</x:v>
      </x:c>
      <x:c r="Y45" s="34" t="n">
        <x:f>MAX(0,MIN(Y$8+1,'Fleet'!$O42)-MAX(Y$7,'Fleet'!$G42))</x:f>
        <x:v>0</x:v>
      </x:c>
      <x:c r="Z45" s="34" t="n">
        <x:f>MAX(0,MIN(Z$8+1,'Fleet'!$O42)-MAX(Z$7,'Fleet'!$G42))</x:f>
        <x:v>0</x:v>
      </x:c>
      <x:c r="AA45" s="34" t="n">
        <x:f>MAX(0,MIN(AA$8+1,'Fleet'!$O42)-MAX(AA$7,'Fleet'!$G42))</x:f>
        <x:v>0</x:v>
      </x:c>
      <x:c r="AB45" s="34" t="n">
        <x:f>MAX(0,MIN(AB$8+1,'Fleet'!$O42)-MAX(AB$7,'Fleet'!$G42))</x:f>
        <x:v>0</x:v>
      </x:c>
      <x:c r="AC45" s="34" t="n">
        <x:f>MAX(0,MIN(AC$8+1,'Fleet'!$O42)-MAX(AC$7,'Fleet'!$G42))</x:f>
        <x:v>0</x:v>
      </x:c>
      <x:c r="AD45" s="34" t="n">
        <x:f>MAX(0,MIN(AD$8+1,'Fleet'!$O42)-MAX(AD$7,'Fleet'!$G42))</x:f>
        <x:v>0</x:v>
      </x:c>
      <x:c r="AE45" s="34" t="n">
        <x:f>MAX(0,MIN(AE$8+1,'Fleet'!$O42)-MAX(AE$7,'Fleet'!$G42))</x:f>
        <x:v>0</x:v>
      </x:c>
      <x:c r="AF45" s="34" t="n">
        <x:f>MAX(0,MIN(AF$8+1,'Fleet'!$O42)-MAX(AF$7,'Fleet'!$G42))</x:f>
        <x:v>0</x:v>
      </x:c>
      <x:c r="AG45" s="34" t="n">
        <x:f>MAX(0,MIN(AG$8+1,'Fleet'!$O42)-MAX(AG$7,'Fleet'!$G42))</x:f>
        <x:v>0</x:v>
      </x:c>
      <x:c r="AH45" s="34" t="n">
        <x:f>MAX(0,MIN(AH$8+1,'Fleet'!$O42)-MAX(AH$7,'Fleet'!$G42))</x:f>
        <x:v>0</x:v>
      </x:c>
      <x:c r="AI45" s="34" t="n">
        <x:f>MAX(0,MIN(AI$8+1,'Fleet'!$O42)-MAX(AI$7,'Fleet'!$G42))</x:f>
        <x:v>0</x:v>
      </x:c>
      <x:c r="AJ45" s="34" t="n">
        <x:f>MAX(0,MIN(AJ$8+1,'Fleet'!$O42)-MAX(AJ$7,'Fleet'!$G42))</x:f>
        <x:v>0</x:v>
      </x:c>
      <x:c r="AK45" s="34" t="n">
        <x:f>MAX(0,MIN(AK$8+1,'Fleet'!$O42)-MAX(AK$7,'Fleet'!$G42))</x:f>
        <x:v>0</x:v>
      </x:c>
      <x:c r="AL45" s="34" t="n">
        <x:f>MAX(0,MIN(AL$8+1,'Fleet'!$O42)-MAX(AL$7,'Fleet'!$G42))</x:f>
        <x:v>0</x:v>
      </x:c>
      <x:c r="AM45" s="34" t="n">
        <x:f>MAX(0,MIN(AM$8+1,'Fleet'!$O42)-MAX(AM$7,'Fleet'!$G42))</x:f>
        <x:v>0</x:v>
      </x:c>
      <x:c r="AN45" s="34" t="n">
        <x:f>MAX(0,MIN(AN$8+1,'Fleet'!$O42)-MAX(AN$7,'Fleet'!$G42))</x:f>
        <x:v>0</x:v>
      </x:c>
      <x:c r="AO45" s="34" t="n">
        <x:f>MAX(0,MIN(AO$8+1,'Fleet'!$O42)-MAX(AO$7,'Fleet'!$G42))</x:f>
        <x:v>0</x:v>
      </x:c>
      <x:c r="AP45" s="34" t="n">
        <x:f>MAX(0,MIN(AP$8+1,'Fleet'!$O42)-MAX(AP$7,'Fleet'!$G42))</x:f>
        <x:v>0</x:v>
      </x:c>
      <x:c r="AQ45" s="34" t="n">
        <x:f>MAX(0,MIN(AQ$8+1,'Fleet'!$O42)-MAX(AQ$7,'Fleet'!$G42))</x:f>
        <x:v>0</x:v>
      </x:c>
    </x:row>
    <x:row r="46" ht="21" customHeight="1">
      <x:c r="A46" s="2"/>
      <x:c r="B46" s="2"/>
      <x:c r="C46" s="5" t="str">
        <x:f>'Fleet'!C43</x:f>
        <x:v>Genco Auvergne</x:v>
      </x:c>
      <x:c r="D46" s="5" t="str">
        <x:f>'Fleet'!D43</x:f>
        <x:v>Supramax</x:v>
      </x:c>
      <x:c r="E46" s="34" t="n">
        <x:f>MAX(0,MIN(E$8+1,'Fleet'!$O43)-MAX(E$7,'Fleet'!$G43))</x:f>
        <x:v>80</x:v>
      </x:c>
      <x:c r="F46" s="34" t="n">
        <x:f>MAX(0,MIN(F$8+1,'Fleet'!$O43)-MAX(F$7,'Fleet'!$G43))</x:f>
        <x:v>90</x:v>
      </x:c>
      <x:c r="G46" s="34" t="n">
        <x:f>MAX(0,MIN(G$8+1,'Fleet'!$O43)-MAX(G$7,'Fleet'!$G43))</x:f>
        <x:v>91</x:v>
      </x:c>
      <x:c r="H46" s="34" t="n">
        <x:f>MAX(0,MIN(H$8+1,'Fleet'!$O43)-MAX(H$7,'Fleet'!$G43))</x:f>
        <x:v>92</x:v>
      </x:c>
      <x:c r="I46" s="34" t="n">
        <x:f>MAX(0,MIN(I$8+1,'Fleet'!$O43)-MAX(I$7,'Fleet'!$G43))</x:f>
        <x:v>92</x:v>
      </x:c>
      <x:c r="J46" s="34" t="n">
        <x:f>MAX(0,MIN(J$8+1,'Fleet'!$O43)-MAX(J$7,'Fleet'!$G43))</x:f>
        <x:v>91</x:v>
      </x:c>
      <x:c r="K46" s="34" t="n">
        <x:f>MAX(0,MIN(K$8+1,'Fleet'!$O43)-MAX(K$7,'Fleet'!$G43))</x:f>
        <x:v>91</x:v>
      </x:c>
      <x:c r="L46" s="34" t="n">
        <x:f>MAX(0,MIN(L$8+1,'Fleet'!$O43)-MAX(L$7,'Fleet'!$G43))</x:f>
        <x:v>92</x:v>
      </x:c>
      <x:c r="M46" s="34" t="n">
        <x:f>MAX(0,MIN(M$8+1,'Fleet'!$O43)-MAX(M$7,'Fleet'!$G43))</x:f>
        <x:v>92</x:v>
      </x:c>
      <x:c r="N46" s="34" t="n">
        <x:f>MAX(0,MIN(N$8+1,'Fleet'!$O43)-MAX(N$7,'Fleet'!$G43))</x:f>
        <x:v>90</x:v>
      </x:c>
      <x:c r="O46" s="34" t="n">
        <x:f>MAX(0,MIN(O$8+1,'Fleet'!$O43)-MAX(O$7,'Fleet'!$G43))</x:f>
        <x:v>91</x:v>
      </x:c>
      <x:c r="P46" s="34" t="n">
        <x:f>MAX(0,MIN(P$8+1,'Fleet'!$O43)-MAX(P$7,'Fleet'!$G43))</x:f>
        <x:v>92</x:v>
      </x:c>
      <x:c r="Q46" s="34" t="n">
        <x:f>MAX(0,MIN(Q$8+1,'Fleet'!$O43)-MAX(Q$7,'Fleet'!$G43))</x:f>
        <x:v>365</x:v>
      </x:c>
      <x:c r="R46" s="34" t="n">
        <x:f>MAX(0,MIN(R$8+1,'Fleet'!$O43)-MAX(R$7,'Fleet'!$G43))</x:f>
        <x:v>365</x:v>
      </x:c>
      <x:c r="S46" s="34" t="n">
        <x:f>MAX(0,MIN(S$8+1,'Fleet'!$O43)-MAX(S$7,'Fleet'!$G43))</x:f>
        <x:v>366</x:v>
      </x:c>
      <x:c r="T46" s="34" t="n">
        <x:f>MAX(0,MIN(T$8+1,'Fleet'!$O43)-MAX(T$7,'Fleet'!$G43))</x:f>
        <x:v>365</x:v>
      </x:c>
      <x:c r="U46" s="34" t="n">
        <x:f>MAX(0,MIN(U$8+1,'Fleet'!$O43)-MAX(U$7,'Fleet'!$G43))</x:f>
        <x:v>273</x:v>
      </x:c>
      <x:c r="V46" s="34" t="n">
        <x:f>MAX(0,MIN(V$8+1,'Fleet'!$O43)-MAX(V$7,'Fleet'!$G43))</x:f>
        <x:v>0</x:v>
      </x:c>
      <x:c r="W46" s="34" t="n">
        <x:f>MAX(0,MIN(W$8+1,'Fleet'!$O43)-MAX(W$7,'Fleet'!$G43))</x:f>
        <x:v>0</x:v>
      </x:c>
      <x:c r="X46" s="34" t="n">
        <x:f>MAX(0,MIN(X$8+1,'Fleet'!$O43)-MAX(X$7,'Fleet'!$G43))</x:f>
        <x:v>0</x:v>
      </x:c>
      <x:c r="Y46" s="34" t="n">
        <x:f>MAX(0,MIN(Y$8+1,'Fleet'!$O43)-MAX(Y$7,'Fleet'!$G43))</x:f>
        <x:v>0</x:v>
      </x:c>
      <x:c r="Z46" s="34" t="n">
        <x:f>MAX(0,MIN(Z$8+1,'Fleet'!$O43)-MAX(Z$7,'Fleet'!$G43))</x:f>
        <x:v>0</x:v>
      </x:c>
      <x:c r="AA46" s="34" t="n">
        <x:f>MAX(0,MIN(AA$8+1,'Fleet'!$O43)-MAX(AA$7,'Fleet'!$G43))</x:f>
        <x:v>0</x:v>
      </x:c>
      <x:c r="AB46" s="34" t="n">
        <x:f>MAX(0,MIN(AB$8+1,'Fleet'!$O43)-MAX(AB$7,'Fleet'!$G43))</x:f>
        <x:v>0</x:v>
      </x:c>
      <x:c r="AC46" s="34" t="n">
        <x:f>MAX(0,MIN(AC$8+1,'Fleet'!$O43)-MAX(AC$7,'Fleet'!$G43))</x:f>
        <x:v>0</x:v>
      </x:c>
      <x:c r="AD46" s="34" t="n">
        <x:f>MAX(0,MIN(AD$8+1,'Fleet'!$O43)-MAX(AD$7,'Fleet'!$G43))</x:f>
        <x:v>0</x:v>
      </x:c>
      <x:c r="AE46" s="34" t="n">
        <x:f>MAX(0,MIN(AE$8+1,'Fleet'!$O43)-MAX(AE$7,'Fleet'!$G43))</x:f>
        <x:v>0</x:v>
      </x:c>
      <x:c r="AF46" s="34" t="n">
        <x:f>MAX(0,MIN(AF$8+1,'Fleet'!$O43)-MAX(AF$7,'Fleet'!$G43))</x:f>
        <x:v>0</x:v>
      </x:c>
      <x:c r="AG46" s="34" t="n">
        <x:f>MAX(0,MIN(AG$8+1,'Fleet'!$O43)-MAX(AG$7,'Fleet'!$G43))</x:f>
        <x:v>0</x:v>
      </x:c>
      <x:c r="AH46" s="34" t="n">
        <x:f>MAX(0,MIN(AH$8+1,'Fleet'!$O43)-MAX(AH$7,'Fleet'!$G43))</x:f>
        <x:v>0</x:v>
      </x:c>
      <x:c r="AI46" s="34" t="n">
        <x:f>MAX(0,MIN(AI$8+1,'Fleet'!$O43)-MAX(AI$7,'Fleet'!$G43))</x:f>
        <x:v>0</x:v>
      </x:c>
      <x:c r="AJ46" s="34" t="n">
        <x:f>MAX(0,MIN(AJ$8+1,'Fleet'!$O43)-MAX(AJ$7,'Fleet'!$G43))</x:f>
        <x:v>0</x:v>
      </x:c>
      <x:c r="AK46" s="34" t="n">
        <x:f>MAX(0,MIN(AK$8+1,'Fleet'!$O43)-MAX(AK$7,'Fleet'!$G43))</x:f>
        <x:v>0</x:v>
      </x:c>
      <x:c r="AL46" s="34" t="n">
        <x:f>MAX(0,MIN(AL$8+1,'Fleet'!$O43)-MAX(AL$7,'Fleet'!$G43))</x:f>
        <x:v>0</x:v>
      </x:c>
      <x:c r="AM46" s="34" t="n">
        <x:f>MAX(0,MIN(AM$8+1,'Fleet'!$O43)-MAX(AM$7,'Fleet'!$G43))</x:f>
        <x:v>0</x:v>
      </x:c>
      <x:c r="AN46" s="34" t="n">
        <x:f>MAX(0,MIN(AN$8+1,'Fleet'!$O43)-MAX(AN$7,'Fleet'!$G43))</x:f>
        <x:v>0</x:v>
      </x:c>
      <x:c r="AO46" s="34" t="n">
        <x:f>MAX(0,MIN(AO$8+1,'Fleet'!$O43)-MAX(AO$7,'Fleet'!$G43))</x:f>
        <x:v>0</x:v>
      </x:c>
      <x:c r="AP46" s="34" t="n">
        <x:f>MAX(0,MIN(AP$8+1,'Fleet'!$O43)-MAX(AP$7,'Fleet'!$G43))</x:f>
        <x:v>0</x:v>
      </x:c>
      <x:c r="AQ46" s="34" t="n">
        <x:f>MAX(0,MIN(AQ$8+1,'Fleet'!$O43)-MAX(AQ$7,'Fleet'!$G43))</x:f>
        <x:v>0</x:v>
      </x:c>
    </x:row>
    <x:row r="47" ht="21" customHeight="1">
      <x:c r="A47" s="2"/>
      <x:c r="B47" s="2"/>
      <x:c r="C47" s="5" t="str">
        <x:f>'Fleet'!C44</x:f>
        <x:v>Genco Bourgogne</x:v>
      </x:c>
      <x:c r="D47" s="5" t="str">
        <x:f>'Fleet'!D44</x:f>
        <x:v>Supramax</x:v>
      </x:c>
      <x:c r="E47" s="34" t="n">
        <x:f>MAX(0,MIN(E$8+1,'Fleet'!$O44)-MAX(E$7,'Fleet'!$G44))</x:f>
        <x:v>80</x:v>
      </x:c>
      <x:c r="F47" s="34" t="n">
        <x:f>MAX(0,MIN(F$8+1,'Fleet'!$O44)-MAX(F$7,'Fleet'!$G44))</x:f>
        <x:v>90</x:v>
      </x:c>
      <x:c r="G47" s="34" t="n">
        <x:f>MAX(0,MIN(G$8+1,'Fleet'!$O44)-MAX(G$7,'Fleet'!$G44))</x:f>
        <x:v>91</x:v>
      </x:c>
      <x:c r="H47" s="34" t="n">
        <x:f>MAX(0,MIN(H$8+1,'Fleet'!$O44)-MAX(H$7,'Fleet'!$G44))</x:f>
        <x:v>92</x:v>
      </x:c>
      <x:c r="I47" s="34" t="n">
        <x:f>MAX(0,MIN(I$8+1,'Fleet'!$O44)-MAX(I$7,'Fleet'!$G44))</x:f>
        <x:v>92</x:v>
      </x:c>
      <x:c r="J47" s="34" t="n">
        <x:f>MAX(0,MIN(J$8+1,'Fleet'!$O44)-MAX(J$7,'Fleet'!$G44))</x:f>
        <x:v>91</x:v>
      </x:c>
      <x:c r="K47" s="34" t="n">
        <x:f>MAX(0,MIN(K$8+1,'Fleet'!$O44)-MAX(K$7,'Fleet'!$G44))</x:f>
        <x:v>91</x:v>
      </x:c>
      <x:c r="L47" s="34" t="n">
        <x:f>MAX(0,MIN(L$8+1,'Fleet'!$O44)-MAX(L$7,'Fleet'!$G44))</x:f>
        <x:v>92</x:v>
      </x:c>
      <x:c r="M47" s="34" t="n">
        <x:f>MAX(0,MIN(M$8+1,'Fleet'!$O44)-MAX(M$7,'Fleet'!$G44))</x:f>
        <x:v>92</x:v>
      </x:c>
      <x:c r="N47" s="34" t="n">
        <x:f>MAX(0,MIN(N$8+1,'Fleet'!$O44)-MAX(N$7,'Fleet'!$G44))</x:f>
        <x:v>90</x:v>
      </x:c>
      <x:c r="O47" s="34" t="n">
        <x:f>MAX(0,MIN(O$8+1,'Fleet'!$O44)-MAX(O$7,'Fleet'!$G44))</x:f>
        <x:v>91</x:v>
      </x:c>
      <x:c r="P47" s="34" t="n">
        <x:f>MAX(0,MIN(P$8+1,'Fleet'!$O44)-MAX(P$7,'Fleet'!$G44))</x:f>
        <x:v>92</x:v>
      </x:c>
      <x:c r="Q47" s="34" t="n">
        <x:f>MAX(0,MIN(Q$8+1,'Fleet'!$O44)-MAX(Q$7,'Fleet'!$G44))</x:f>
        <x:v>365</x:v>
      </x:c>
      <x:c r="R47" s="34" t="n">
        <x:f>MAX(0,MIN(R$8+1,'Fleet'!$O44)-MAX(R$7,'Fleet'!$G44))</x:f>
        <x:v>365</x:v>
      </x:c>
      <x:c r="S47" s="34" t="n">
        <x:f>MAX(0,MIN(S$8+1,'Fleet'!$O44)-MAX(S$7,'Fleet'!$G44))</x:f>
        <x:v>366</x:v>
      </x:c>
      <x:c r="T47" s="34" t="n">
        <x:f>MAX(0,MIN(T$8+1,'Fleet'!$O44)-MAX(T$7,'Fleet'!$G44))</x:f>
        <x:v>365</x:v>
      </x:c>
      <x:c r="U47" s="34" t="n">
        <x:f>MAX(0,MIN(U$8+1,'Fleet'!$O44)-MAX(U$7,'Fleet'!$G44))</x:f>
        <x:v>365</x:v>
      </x:c>
      <x:c r="V47" s="34" t="n">
        <x:f>MAX(0,MIN(V$8+1,'Fleet'!$O44)-MAX(V$7,'Fleet'!$G44))</x:f>
        <x:v>273</x:v>
      </x:c>
      <x:c r="W47" s="34" t="n">
        <x:f>MAX(0,MIN(W$8+1,'Fleet'!$O44)-MAX(W$7,'Fleet'!$G44))</x:f>
        <x:v>0</x:v>
      </x:c>
      <x:c r="X47" s="34" t="n">
        <x:f>MAX(0,MIN(X$8+1,'Fleet'!$O44)-MAX(X$7,'Fleet'!$G44))</x:f>
        <x:v>0</x:v>
      </x:c>
      <x:c r="Y47" s="34" t="n">
        <x:f>MAX(0,MIN(Y$8+1,'Fleet'!$O44)-MAX(Y$7,'Fleet'!$G44))</x:f>
        <x:v>0</x:v>
      </x:c>
      <x:c r="Z47" s="34" t="n">
        <x:f>MAX(0,MIN(Z$8+1,'Fleet'!$O44)-MAX(Z$7,'Fleet'!$G44))</x:f>
        <x:v>0</x:v>
      </x:c>
      <x:c r="AA47" s="34" t="n">
        <x:f>MAX(0,MIN(AA$8+1,'Fleet'!$O44)-MAX(AA$7,'Fleet'!$G44))</x:f>
        <x:v>0</x:v>
      </x:c>
      <x:c r="AB47" s="34" t="n">
        <x:f>MAX(0,MIN(AB$8+1,'Fleet'!$O44)-MAX(AB$7,'Fleet'!$G44))</x:f>
        <x:v>0</x:v>
      </x:c>
      <x:c r="AC47" s="34" t="n">
        <x:f>MAX(0,MIN(AC$8+1,'Fleet'!$O44)-MAX(AC$7,'Fleet'!$G44))</x:f>
        <x:v>0</x:v>
      </x:c>
      <x:c r="AD47" s="34" t="n">
        <x:f>MAX(0,MIN(AD$8+1,'Fleet'!$O44)-MAX(AD$7,'Fleet'!$G44))</x:f>
        <x:v>0</x:v>
      </x:c>
      <x:c r="AE47" s="34" t="n">
        <x:f>MAX(0,MIN(AE$8+1,'Fleet'!$O44)-MAX(AE$7,'Fleet'!$G44))</x:f>
        <x:v>0</x:v>
      </x:c>
      <x:c r="AF47" s="34" t="n">
        <x:f>MAX(0,MIN(AF$8+1,'Fleet'!$O44)-MAX(AF$7,'Fleet'!$G44))</x:f>
        <x:v>0</x:v>
      </x:c>
      <x:c r="AG47" s="34" t="n">
        <x:f>MAX(0,MIN(AG$8+1,'Fleet'!$O44)-MAX(AG$7,'Fleet'!$G44))</x:f>
        <x:v>0</x:v>
      </x:c>
      <x:c r="AH47" s="34" t="n">
        <x:f>MAX(0,MIN(AH$8+1,'Fleet'!$O44)-MAX(AH$7,'Fleet'!$G44))</x:f>
        <x:v>0</x:v>
      </x:c>
      <x:c r="AI47" s="34" t="n">
        <x:f>MAX(0,MIN(AI$8+1,'Fleet'!$O44)-MAX(AI$7,'Fleet'!$G44))</x:f>
        <x:v>0</x:v>
      </x:c>
      <x:c r="AJ47" s="34" t="n">
        <x:f>MAX(0,MIN(AJ$8+1,'Fleet'!$O44)-MAX(AJ$7,'Fleet'!$G44))</x:f>
        <x:v>0</x:v>
      </x:c>
      <x:c r="AK47" s="34" t="n">
        <x:f>MAX(0,MIN(AK$8+1,'Fleet'!$O44)-MAX(AK$7,'Fleet'!$G44))</x:f>
        <x:v>0</x:v>
      </x:c>
      <x:c r="AL47" s="34" t="n">
        <x:f>MAX(0,MIN(AL$8+1,'Fleet'!$O44)-MAX(AL$7,'Fleet'!$G44))</x:f>
        <x:v>0</x:v>
      </x:c>
      <x:c r="AM47" s="34" t="n">
        <x:f>MAX(0,MIN(AM$8+1,'Fleet'!$O44)-MAX(AM$7,'Fleet'!$G44))</x:f>
        <x:v>0</x:v>
      </x:c>
      <x:c r="AN47" s="34" t="n">
        <x:f>MAX(0,MIN(AN$8+1,'Fleet'!$O44)-MAX(AN$7,'Fleet'!$G44))</x:f>
        <x:v>0</x:v>
      </x:c>
      <x:c r="AO47" s="34" t="n">
        <x:f>MAX(0,MIN(AO$8+1,'Fleet'!$O44)-MAX(AO$7,'Fleet'!$G44))</x:f>
        <x:v>0</x:v>
      </x:c>
      <x:c r="AP47" s="34" t="n">
        <x:f>MAX(0,MIN(AP$8+1,'Fleet'!$O44)-MAX(AP$7,'Fleet'!$G44))</x:f>
        <x:v>0</x:v>
      </x:c>
      <x:c r="AQ47" s="34" t="n">
        <x:f>MAX(0,MIN(AQ$8+1,'Fleet'!$O44)-MAX(AQ$7,'Fleet'!$G44))</x:f>
        <x:v>0</x:v>
      </x:c>
    </x:row>
    <x:row r="48" ht="21" customHeight="1">
      <x:c r="A48" s="2"/>
      <x:c r="B48" s="2"/>
      <x:c r="C48" s="5" t="str">
        <x:f>'Fleet'!C45</x:f>
        <x:v>Genco Languedoc</x:v>
      </x:c>
      <x:c r="D48" s="5" t="str">
        <x:f>'Fleet'!D45</x:f>
        <x:v>Supramax</x:v>
      </x:c>
      <x:c r="E48" s="34" t="n">
        <x:f>MAX(0,MIN(E$8+1,'Fleet'!$O45)-MAX(E$7,'Fleet'!$G45))</x:f>
        <x:v>80</x:v>
      </x:c>
      <x:c r="F48" s="34" t="n">
        <x:f>MAX(0,MIN(F$8+1,'Fleet'!$O45)-MAX(F$7,'Fleet'!$G45))</x:f>
        <x:v>90</x:v>
      </x:c>
      <x:c r="G48" s="34" t="n">
        <x:f>MAX(0,MIN(G$8+1,'Fleet'!$O45)-MAX(G$7,'Fleet'!$G45))</x:f>
        <x:v>91</x:v>
      </x:c>
      <x:c r="H48" s="34" t="n">
        <x:f>MAX(0,MIN(H$8+1,'Fleet'!$O45)-MAX(H$7,'Fleet'!$G45))</x:f>
        <x:v>92</x:v>
      </x:c>
      <x:c r="I48" s="34" t="n">
        <x:f>MAX(0,MIN(I$8+1,'Fleet'!$O45)-MAX(I$7,'Fleet'!$G45))</x:f>
        <x:v>92</x:v>
      </x:c>
      <x:c r="J48" s="34" t="n">
        <x:f>MAX(0,MIN(J$8+1,'Fleet'!$O45)-MAX(J$7,'Fleet'!$G45))</x:f>
        <x:v>91</x:v>
      </x:c>
      <x:c r="K48" s="34" t="n">
        <x:f>MAX(0,MIN(K$8+1,'Fleet'!$O45)-MAX(K$7,'Fleet'!$G45))</x:f>
        <x:v>91</x:v>
      </x:c>
      <x:c r="L48" s="34" t="n">
        <x:f>MAX(0,MIN(L$8+1,'Fleet'!$O45)-MAX(L$7,'Fleet'!$G45))</x:f>
        <x:v>92</x:v>
      </x:c>
      <x:c r="M48" s="34" t="n">
        <x:f>MAX(0,MIN(M$8+1,'Fleet'!$O45)-MAX(M$7,'Fleet'!$G45))</x:f>
        <x:v>92</x:v>
      </x:c>
      <x:c r="N48" s="34" t="n">
        <x:f>MAX(0,MIN(N$8+1,'Fleet'!$O45)-MAX(N$7,'Fleet'!$G45))</x:f>
        <x:v>90</x:v>
      </x:c>
      <x:c r="O48" s="34" t="n">
        <x:f>MAX(0,MIN(O$8+1,'Fleet'!$O45)-MAX(O$7,'Fleet'!$G45))</x:f>
        <x:v>91</x:v>
      </x:c>
      <x:c r="P48" s="34" t="n">
        <x:f>MAX(0,MIN(P$8+1,'Fleet'!$O45)-MAX(P$7,'Fleet'!$G45))</x:f>
        <x:v>92</x:v>
      </x:c>
      <x:c r="Q48" s="34" t="n">
        <x:f>MAX(0,MIN(Q$8+1,'Fleet'!$O45)-MAX(Q$7,'Fleet'!$G45))</x:f>
        <x:v>365</x:v>
      </x:c>
      <x:c r="R48" s="34" t="n">
        <x:f>MAX(0,MIN(R$8+1,'Fleet'!$O45)-MAX(R$7,'Fleet'!$G45))</x:f>
        <x:v>365</x:v>
      </x:c>
      <x:c r="S48" s="34" t="n">
        <x:f>MAX(0,MIN(S$8+1,'Fleet'!$O45)-MAX(S$7,'Fleet'!$G45))</x:f>
        <x:v>366</x:v>
      </x:c>
      <x:c r="T48" s="34" t="n">
        <x:f>MAX(0,MIN(T$8+1,'Fleet'!$O45)-MAX(T$7,'Fleet'!$G45))</x:f>
        <x:v>365</x:v>
      </x:c>
      <x:c r="U48" s="34" t="n">
        <x:f>MAX(0,MIN(U$8+1,'Fleet'!$O45)-MAX(U$7,'Fleet'!$G45))</x:f>
        <x:v>365</x:v>
      </x:c>
      <x:c r="V48" s="34" t="n">
        <x:f>MAX(0,MIN(V$8+1,'Fleet'!$O45)-MAX(V$7,'Fleet'!$G45))</x:f>
        <x:v>273</x:v>
      </x:c>
      <x:c r="W48" s="34" t="n">
        <x:f>MAX(0,MIN(W$8+1,'Fleet'!$O45)-MAX(W$7,'Fleet'!$G45))</x:f>
        <x:v>0</x:v>
      </x:c>
      <x:c r="X48" s="34" t="n">
        <x:f>MAX(0,MIN(X$8+1,'Fleet'!$O45)-MAX(X$7,'Fleet'!$G45))</x:f>
        <x:v>0</x:v>
      </x:c>
      <x:c r="Y48" s="34" t="n">
        <x:f>MAX(0,MIN(Y$8+1,'Fleet'!$O45)-MAX(Y$7,'Fleet'!$G45))</x:f>
        <x:v>0</x:v>
      </x:c>
      <x:c r="Z48" s="34" t="n">
        <x:f>MAX(0,MIN(Z$8+1,'Fleet'!$O45)-MAX(Z$7,'Fleet'!$G45))</x:f>
        <x:v>0</x:v>
      </x:c>
      <x:c r="AA48" s="34" t="n">
        <x:f>MAX(0,MIN(AA$8+1,'Fleet'!$O45)-MAX(AA$7,'Fleet'!$G45))</x:f>
        <x:v>0</x:v>
      </x:c>
      <x:c r="AB48" s="34" t="n">
        <x:f>MAX(0,MIN(AB$8+1,'Fleet'!$O45)-MAX(AB$7,'Fleet'!$G45))</x:f>
        <x:v>0</x:v>
      </x:c>
      <x:c r="AC48" s="34" t="n">
        <x:f>MAX(0,MIN(AC$8+1,'Fleet'!$O45)-MAX(AC$7,'Fleet'!$G45))</x:f>
        <x:v>0</x:v>
      </x:c>
      <x:c r="AD48" s="34" t="n">
        <x:f>MAX(0,MIN(AD$8+1,'Fleet'!$O45)-MAX(AD$7,'Fleet'!$G45))</x:f>
        <x:v>0</x:v>
      </x:c>
      <x:c r="AE48" s="34" t="n">
        <x:f>MAX(0,MIN(AE$8+1,'Fleet'!$O45)-MAX(AE$7,'Fleet'!$G45))</x:f>
        <x:v>0</x:v>
      </x:c>
      <x:c r="AF48" s="34" t="n">
        <x:f>MAX(0,MIN(AF$8+1,'Fleet'!$O45)-MAX(AF$7,'Fleet'!$G45))</x:f>
        <x:v>0</x:v>
      </x:c>
      <x:c r="AG48" s="34" t="n">
        <x:f>MAX(0,MIN(AG$8+1,'Fleet'!$O45)-MAX(AG$7,'Fleet'!$G45))</x:f>
        <x:v>0</x:v>
      </x:c>
      <x:c r="AH48" s="34" t="n">
        <x:f>MAX(0,MIN(AH$8+1,'Fleet'!$O45)-MAX(AH$7,'Fleet'!$G45))</x:f>
        <x:v>0</x:v>
      </x:c>
      <x:c r="AI48" s="34" t="n">
        <x:f>MAX(0,MIN(AI$8+1,'Fleet'!$O45)-MAX(AI$7,'Fleet'!$G45))</x:f>
        <x:v>0</x:v>
      </x:c>
      <x:c r="AJ48" s="34" t="n">
        <x:f>MAX(0,MIN(AJ$8+1,'Fleet'!$O45)-MAX(AJ$7,'Fleet'!$G45))</x:f>
        <x:v>0</x:v>
      </x:c>
      <x:c r="AK48" s="34" t="n">
        <x:f>MAX(0,MIN(AK$8+1,'Fleet'!$O45)-MAX(AK$7,'Fleet'!$G45))</x:f>
        <x:v>0</x:v>
      </x:c>
      <x:c r="AL48" s="34" t="n">
        <x:f>MAX(0,MIN(AL$8+1,'Fleet'!$O45)-MAX(AL$7,'Fleet'!$G45))</x:f>
        <x:v>0</x:v>
      </x:c>
      <x:c r="AM48" s="34" t="n">
        <x:f>MAX(0,MIN(AM$8+1,'Fleet'!$O45)-MAX(AM$7,'Fleet'!$G45))</x:f>
        <x:v>0</x:v>
      </x:c>
      <x:c r="AN48" s="34" t="n">
        <x:f>MAX(0,MIN(AN$8+1,'Fleet'!$O45)-MAX(AN$7,'Fleet'!$G45))</x:f>
        <x:v>0</x:v>
      </x:c>
      <x:c r="AO48" s="34" t="n">
        <x:f>MAX(0,MIN(AO$8+1,'Fleet'!$O45)-MAX(AO$7,'Fleet'!$G45))</x:f>
        <x:v>0</x:v>
      </x:c>
      <x:c r="AP48" s="34" t="n">
        <x:f>MAX(0,MIN(AP$8+1,'Fleet'!$O45)-MAX(AP$7,'Fleet'!$G45))</x:f>
        <x:v>0</x:v>
      </x:c>
      <x:c r="AQ48" s="34" t="n">
        <x:f>MAX(0,MIN(AQ$8+1,'Fleet'!$O45)-MAX(AQ$7,'Fleet'!$G45))</x:f>
        <x:v>0</x:v>
      </x:c>
    </x:row>
    <x:row r="49" ht="21" customHeight="1">
      <x:c r="A49" s="2"/>
      <x:c r="B49" s="2"/>
      <x:c r="C49" s="5" t="str">
        <x:f>'Fleet'!C46</x:f>
        <x:v>Genco Pyrenees</x:v>
      </x:c>
      <x:c r="D49" s="5" t="str">
        <x:f>'Fleet'!D46</x:f>
        <x:v>Supramax</x:v>
      </x:c>
      <x:c r="E49" s="34" t="n">
        <x:f>MAX(0,MIN(E$8+1,'Fleet'!$O46)-MAX(E$7,'Fleet'!$G46))</x:f>
        <x:v>80</x:v>
      </x:c>
      <x:c r="F49" s="34" t="n">
        <x:f>MAX(0,MIN(F$8+1,'Fleet'!$O46)-MAX(F$7,'Fleet'!$G46))</x:f>
        <x:v>90</x:v>
      </x:c>
      <x:c r="G49" s="34" t="n">
        <x:f>MAX(0,MIN(G$8+1,'Fleet'!$O46)-MAX(G$7,'Fleet'!$G46))</x:f>
        <x:v>91</x:v>
      </x:c>
      <x:c r="H49" s="34" t="n">
        <x:f>MAX(0,MIN(H$8+1,'Fleet'!$O46)-MAX(H$7,'Fleet'!$G46))</x:f>
        <x:v>92</x:v>
      </x:c>
      <x:c r="I49" s="34" t="n">
        <x:f>MAX(0,MIN(I$8+1,'Fleet'!$O46)-MAX(I$7,'Fleet'!$G46))</x:f>
        <x:v>92</x:v>
      </x:c>
      <x:c r="J49" s="34" t="n">
        <x:f>MAX(0,MIN(J$8+1,'Fleet'!$O46)-MAX(J$7,'Fleet'!$G46))</x:f>
        <x:v>91</x:v>
      </x:c>
      <x:c r="K49" s="34" t="n">
        <x:f>MAX(0,MIN(K$8+1,'Fleet'!$O46)-MAX(K$7,'Fleet'!$G46))</x:f>
        <x:v>91</x:v>
      </x:c>
      <x:c r="L49" s="34" t="n">
        <x:f>MAX(0,MIN(L$8+1,'Fleet'!$O46)-MAX(L$7,'Fleet'!$G46))</x:f>
        <x:v>92</x:v>
      </x:c>
      <x:c r="M49" s="34" t="n">
        <x:f>MAX(0,MIN(M$8+1,'Fleet'!$O46)-MAX(M$7,'Fleet'!$G46))</x:f>
        <x:v>92</x:v>
      </x:c>
      <x:c r="N49" s="34" t="n">
        <x:f>MAX(0,MIN(N$8+1,'Fleet'!$O46)-MAX(N$7,'Fleet'!$G46))</x:f>
        <x:v>90</x:v>
      </x:c>
      <x:c r="O49" s="34" t="n">
        <x:f>MAX(0,MIN(O$8+1,'Fleet'!$O46)-MAX(O$7,'Fleet'!$G46))</x:f>
        <x:v>91</x:v>
      </x:c>
      <x:c r="P49" s="34" t="n">
        <x:f>MAX(0,MIN(P$8+1,'Fleet'!$O46)-MAX(P$7,'Fleet'!$G46))</x:f>
        <x:v>92</x:v>
      </x:c>
      <x:c r="Q49" s="34" t="n">
        <x:f>MAX(0,MIN(Q$8+1,'Fleet'!$O46)-MAX(Q$7,'Fleet'!$G46))</x:f>
        <x:v>365</x:v>
      </x:c>
      <x:c r="R49" s="34" t="n">
        <x:f>MAX(0,MIN(R$8+1,'Fleet'!$O46)-MAX(R$7,'Fleet'!$G46))</x:f>
        <x:v>365</x:v>
      </x:c>
      <x:c r="S49" s="34" t="n">
        <x:f>MAX(0,MIN(S$8+1,'Fleet'!$O46)-MAX(S$7,'Fleet'!$G46))</x:f>
        <x:v>366</x:v>
      </x:c>
      <x:c r="T49" s="34" t="n">
        <x:f>MAX(0,MIN(T$8+1,'Fleet'!$O46)-MAX(T$7,'Fleet'!$G46))</x:f>
        <x:v>365</x:v>
      </x:c>
      <x:c r="U49" s="34" t="n">
        <x:f>MAX(0,MIN(U$8+1,'Fleet'!$O46)-MAX(U$7,'Fleet'!$G46))</x:f>
        <x:v>365</x:v>
      </x:c>
      <x:c r="V49" s="34" t="n">
        <x:f>MAX(0,MIN(V$8+1,'Fleet'!$O46)-MAX(V$7,'Fleet'!$G46))</x:f>
        <x:v>273</x:v>
      </x:c>
      <x:c r="W49" s="34" t="n">
        <x:f>MAX(0,MIN(W$8+1,'Fleet'!$O46)-MAX(W$7,'Fleet'!$G46))</x:f>
        <x:v>0</x:v>
      </x:c>
      <x:c r="X49" s="34" t="n">
        <x:f>MAX(0,MIN(X$8+1,'Fleet'!$O46)-MAX(X$7,'Fleet'!$G46))</x:f>
        <x:v>0</x:v>
      </x:c>
      <x:c r="Y49" s="34" t="n">
        <x:f>MAX(0,MIN(Y$8+1,'Fleet'!$O46)-MAX(Y$7,'Fleet'!$G46))</x:f>
        <x:v>0</x:v>
      </x:c>
      <x:c r="Z49" s="34" t="n">
        <x:f>MAX(0,MIN(Z$8+1,'Fleet'!$O46)-MAX(Z$7,'Fleet'!$G46))</x:f>
        <x:v>0</x:v>
      </x:c>
      <x:c r="AA49" s="34" t="n">
        <x:f>MAX(0,MIN(AA$8+1,'Fleet'!$O46)-MAX(AA$7,'Fleet'!$G46))</x:f>
        <x:v>0</x:v>
      </x:c>
      <x:c r="AB49" s="34" t="n">
        <x:f>MAX(0,MIN(AB$8+1,'Fleet'!$O46)-MAX(AB$7,'Fleet'!$G46))</x:f>
        <x:v>0</x:v>
      </x:c>
      <x:c r="AC49" s="34" t="n">
        <x:f>MAX(0,MIN(AC$8+1,'Fleet'!$O46)-MAX(AC$7,'Fleet'!$G46))</x:f>
        <x:v>0</x:v>
      </x:c>
      <x:c r="AD49" s="34" t="n">
        <x:f>MAX(0,MIN(AD$8+1,'Fleet'!$O46)-MAX(AD$7,'Fleet'!$G46))</x:f>
        <x:v>0</x:v>
      </x:c>
      <x:c r="AE49" s="34" t="n">
        <x:f>MAX(0,MIN(AE$8+1,'Fleet'!$O46)-MAX(AE$7,'Fleet'!$G46))</x:f>
        <x:v>0</x:v>
      </x:c>
      <x:c r="AF49" s="34" t="n">
        <x:f>MAX(0,MIN(AF$8+1,'Fleet'!$O46)-MAX(AF$7,'Fleet'!$G46))</x:f>
        <x:v>0</x:v>
      </x:c>
      <x:c r="AG49" s="34" t="n">
        <x:f>MAX(0,MIN(AG$8+1,'Fleet'!$O46)-MAX(AG$7,'Fleet'!$G46))</x:f>
        <x:v>0</x:v>
      </x:c>
      <x:c r="AH49" s="34" t="n">
        <x:f>MAX(0,MIN(AH$8+1,'Fleet'!$O46)-MAX(AH$7,'Fleet'!$G46))</x:f>
        <x:v>0</x:v>
      </x:c>
      <x:c r="AI49" s="34" t="n">
        <x:f>MAX(0,MIN(AI$8+1,'Fleet'!$O46)-MAX(AI$7,'Fleet'!$G46))</x:f>
        <x:v>0</x:v>
      </x:c>
      <x:c r="AJ49" s="34" t="n">
        <x:f>MAX(0,MIN(AJ$8+1,'Fleet'!$O46)-MAX(AJ$7,'Fleet'!$G46))</x:f>
        <x:v>0</x:v>
      </x:c>
      <x:c r="AK49" s="34" t="n">
        <x:f>MAX(0,MIN(AK$8+1,'Fleet'!$O46)-MAX(AK$7,'Fleet'!$G46))</x:f>
        <x:v>0</x:v>
      </x:c>
      <x:c r="AL49" s="34" t="n">
        <x:f>MAX(0,MIN(AL$8+1,'Fleet'!$O46)-MAX(AL$7,'Fleet'!$G46))</x:f>
        <x:v>0</x:v>
      </x:c>
      <x:c r="AM49" s="34" t="n">
        <x:f>MAX(0,MIN(AM$8+1,'Fleet'!$O46)-MAX(AM$7,'Fleet'!$G46))</x:f>
        <x:v>0</x:v>
      </x:c>
      <x:c r="AN49" s="34" t="n">
        <x:f>MAX(0,MIN(AN$8+1,'Fleet'!$O46)-MAX(AN$7,'Fleet'!$G46))</x:f>
        <x:v>0</x:v>
      </x:c>
      <x:c r="AO49" s="34" t="n">
        <x:f>MAX(0,MIN(AO$8+1,'Fleet'!$O46)-MAX(AO$7,'Fleet'!$G46))</x:f>
        <x:v>0</x:v>
      </x:c>
      <x:c r="AP49" s="34" t="n">
        <x:f>MAX(0,MIN(AP$8+1,'Fleet'!$O46)-MAX(AP$7,'Fleet'!$G46))</x:f>
        <x:v>0</x:v>
      </x:c>
      <x:c r="AQ49" s="34" t="n">
        <x:f>MAX(0,MIN(AQ$8+1,'Fleet'!$O46)-MAX(AQ$7,'Fleet'!$G46))</x:f>
        <x:v>0</x:v>
      </x:c>
    </x:row>
    <x:row r="50" ht="21" customHeight="1">
      <x:c r="A50" s="2"/>
      <x:c r="B50" s="2"/>
      <x:c r="C50" s="5" t="str">
        <x:f>'Fleet'!C47</x:f>
        <x:v>Genco Rhone</x:v>
      </x:c>
      <x:c r="D50" s="5" t="str">
        <x:f>'Fleet'!D47</x:f>
        <x:v>Supramax</x:v>
      </x:c>
      <x:c r="E50" s="34" t="n">
        <x:f>MAX(0,MIN(E$8+1,'Fleet'!$O47)-MAX(E$7,'Fleet'!$G47))</x:f>
        <x:v>80</x:v>
      </x:c>
      <x:c r="F50" s="34" t="n">
        <x:f>MAX(0,MIN(F$8+1,'Fleet'!$O47)-MAX(F$7,'Fleet'!$G47))</x:f>
        <x:v>90</x:v>
      </x:c>
      <x:c r="G50" s="34" t="n">
        <x:f>MAX(0,MIN(G$8+1,'Fleet'!$O47)-MAX(G$7,'Fleet'!$G47))</x:f>
        <x:v>91</x:v>
      </x:c>
      <x:c r="H50" s="34" t="n">
        <x:f>MAX(0,MIN(H$8+1,'Fleet'!$O47)-MAX(H$7,'Fleet'!$G47))</x:f>
        <x:v>92</x:v>
      </x:c>
      <x:c r="I50" s="34" t="n">
        <x:f>MAX(0,MIN(I$8+1,'Fleet'!$O47)-MAX(I$7,'Fleet'!$G47))</x:f>
        <x:v>92</x:v>
      </x:c>
      <x:c r="J50" s="34" t="n">
        <x:f>MAX(0,MIN(J$8+1,'Fleet'!$O47)-MAX(J$7,'Fleet'!$G47))</x:f>
        <x:v>91</x:v>
      </x:c>
      <x:c r="K50" s="34" t="n">
        <x:f>MAX(0,MIN(K$8+1,'Fleet'!$O47)-MAX(K$7,'Fleet'!$G47))</x:f>
        <x:v>91</x:v>
      </x:c>
      <x:c r="L50" s="34" t="n">
        <x:f>MAX(0,MIN(L$8+1,'Fleet'!$O47)-MAX(L$7,'Fleet'!$G47))</x:f>
        <x:v>92</x:v>
      </x:c>
      <x:c r="M50" s="34" t="n">
        <x:f>MAX(0,MIN(M$8+1,'Fleet'!$O47)-MAX(M$7,'Fleet'!$G47))</x:f>
        <x:v>92</x:v>
      </x:c>
      <x:c r="N50" s="34" t="n">
        <x:f>MAX(0,MIN(N$8+1,'Fleet'!$O47)-MAX(N$7,'Fleet'!$G47))</x:f>
        <x:v>90</x:v>
      </x:c>
      <x:c r="O50" s="34" t="n">
        <x:f>MAX(0,MIN(O$8+1,'Fleet'!$O47)-MAX(O$7,'Fleet'!$G47))</x:f>
        <x:v>91</x:v>
      </x:c>
      <x:c r="P50" s="34" t="n">
        <x:f>MAX(0,MIN(P$8+1,'Fleet'!$O47)-MAX(P$7,'Fleet'!$G47))</x:f>
        <x:v>92</x:v>
      </x:c>
      <x:c r="Q50" s="34" t="n">
        <x:f>MAX(0,MIN(Q$8+1,'Fleet'!$O47)-MAX(Q$7,'Fleet'!$G47))</x:f>
        <x:v>365</x:v>
      </x:c>
      <x:c r="R50" s="34" t="n">
        <x:f>MAX(0,MIN(R$8+1,'Fleet'!$O47)-MAX(R$7,'Fleet'!$G47))</x:f>
        <x:v>365</x:v>
      </x:c>
      <x:c r="S50" s="34" t="n">
        <x:f>MAX(0,MIN(S$8+1,'Fleet'!$O47)-MAX(S$7,'Fleet'!$G47))</x:f>
        <x:v>366</x:v>
      </x:c>
      <x:c r="T50" s="34" t="n">
        <x:f>MAX(0,MIN(T$8+1,'Fleet'!$O47)-MAX(T$7,'Fleet'!$G47))</x:f>
        <x:v>365</x:v>
      </x:c>
      <x:c r="U50" s="34" t="n">
        <x:f>MAX(0,MIN(U$8+1,'Fleet'!$O47)-MAX(U$7,'Fleet'!$G47))</x:f>
        <x:v>365</x:v>
      </x:c>
      <x:c r="V50" s="34" t="n">
        <x:f>MAX(0,MIN(V$8+1,'Fleet'!$O47)-MAX(V$7,'Fleet'!$G47))</x:f>
        <x:v>365</x:v>
      </x:c>
      <x:c r="W50" s="34" t="n">
        <x:f>MAX(0,MIN(W$8+1,'Fleet'!$O47)-MAX(W$7,'Fleet'!$G47))</x:f>
        <x:v>274</x:v>
      </x:c>
      <x:c r="X50" s="34" t="n">
        <x:f>MAX(0,MIN(X$8+1,'Fleet'!$O47)-MAX(X$7,'Fleet'!$G47))</x:f>
        <x:v>0</x:v>
      </x:c>
      <x:c r="Y50" s="34" t="n">
        <x:f>MAX(0,MIN(Y$8+1,'Fleet'!$O47)-MAX(Y$7,'Fleet'!$G47))</x:f>
        <x:v>0</x:v>
      </x:c>
      <x:c r="Z50" s="34" t="n">
        <x:f>MAX(0,MIN(Z$8+1,'Fleet'!$O47)-MAX(Z$7,'Fleet'!$G47))</x:f>
        <x:v>0</x:v>
      </x:c>
      <x:c r="AA50" s="34" t="n">
        <x:f>MAX(0,MIN(AA$8+1,'Fleet'!$O47)-MAX(AA$7,'Fleet'!$G47))</x:f>
        <x:v>0</x:v>
      </x:c>
      <x:c r="AB50" s="34" t="n">
        <x:f>MAX(0,MIN(AB$8+1,'Fleet'!$O47)-MAX(AB$7,'Fleet'!$G47))</x:f>
        <x:v>0</x:v>
      </x:c>
      <x:c r="AC50" s="34" t="n">
        <x:f>MAX(0,MIN(AC$8+1,'Fleet'!$O47)-MAX(AC$7,'Fleet'!$G47))</x:f>
        <x:v>0</x:v>
      </x:c>
      <x:c r="AD50" s="34" t="n">
        <x:f>MAX(0,MIN(AD$8+1,'Fleet'!$O47)-MAX(AD$7,'Fleet'!$G47))</x:f>
        <x:v>0</x:v>
      </x:c>
      <x:c r="AE50" s="34" t="n">
        <x:f>MAX(0,MIN(AE$8+1,'Fleet'!$O47)-MAX(AE$7,'Fleet'!$G47))</x:f>
        <x:v>0</x:v>
      </x:c>
      <x:c r="AF50" s="34" t="n">
        <x:f>MAX(0,MIN(AF$8+1,'Fleet'!$O47)-MAX(AF$7,'Fleet'!$G47))</x:f>
        <x:v>0</x:v>
      </x:c>
      <x:c r="AG50" s="34" t="n">
        <x:f>MAX(0,MIN(AG$8+1,'Fleet'!$O47)-MAX(AG$7,'Fleet'!$G47))</x:f>
        <x:v>0</x:v>
      </x:c>
      <x:c r="AH50" s="34" t="n">
        <x:f>MAX(0,MIN(AH$8+1,'Fleet'!$O47)-MAX(AH$7,'Fleet'!$G47))</x:f>
        <x:v>0</x:v>
      </x:c>
      <x:c r="AI50" s="34" t="n">
        <x:f>MAX(0,MIN(AI$8+1,'Fleet'!$O47)-MAX(AI$7,'Fleet'!$G47))</x:f>
        <x:v>0</x:v>
      </x:c>
      <x:c r="AJ50" s="34" t="n">
        <x:f>MAX(0,MIN(AJ$8+1,'Fleet'!$O47)-MAX(AJ$7,'Fleet'!$G47))</x:f>
        <x:v>0</x:v>
      </x:c>
      <x:c r="AK50" s="34" t="n">
        <x:f>MAX(0,MIN(AK$8+1,'Fleet'!$O47)-MAX(AK$7,'Fleet'!$G47))</x:f>
        <x:v>0</x:v>
      </x:c>
      <x:c r="AL50" s="34" t="n">
        <x:f>MAX(0,MIN(AL$8+1,'Fleet'!$O47)-MAX(AL$7,'Fleet'!$G47))</x:f>
        <x:v>0</x:v>
      </x:c>
      <x:c r="AM50" s="34" t="n">
        <x:f>MAX(0,MIN(AM$8+1,'Fleet'!$O47)-MAX(AM$7,'Fleet'!$G47))</x:f>
        <x:v>0</x:v>
      </x:c>
      <x:c r="AN50" s="34" t="n">
        <x:f>MAX(0,MIN(AN$8+1,'Fleet'!$O47)-MAX(AN$7,'Fleet'!$G47))</x:f>
        <x:v>0</x:v>
      </x:c>
      <x:c r="AO50" s="34" t="n">
        <x:f>MAX(0,MIN(AO$8+1,'Fleet'!$O47)-MAX(AO$7,'Fleet'!$G47))</x:f>
        <x:v>0</x:v>
      </x:c>
      <x:c r="AP50" s="34" t="n">
        <x:f>MAX(0,MIN(AP$8+1,'Fleet'!$O47)-MAX(AP$7,'Fleet'!$G47))</x:f>
        <x:v>0</x:v>
      </x:c>
      <x:c r="AQ50" s="34" t="n">
        <x:f>MAX(0,MIN(AQ$8+1,'Fleet'!$O47)-MAX(AQ$7,'Fleet'!$G47))</x:f>
        <x:v>0</x:v>
      </x:c>
    </x:row>
    <x:row r="51" ht="21" customHeight="1">
      <x:c r="A51" s="2"/>
      <x:c r="B51" s="2"/>
      <x:c r="C51" s="5" t="str">
        <x:f>'Fleet'!C48</x:f>
        <x:v>Genco Ardennes</x:v>
      </x:c>
      <x:c r="D51" s="5" t="str">
        <x:f>'Fleet'!D48</x:f>
        <x:v>Supramax</x:v>
      </x:c>
      <x:c r="E51" s="34" t="n">
        <x:f>MAX(0,MIN(E$8+1,'Fleet'!$O48)-MAX(E$7,'Fleet'!$G48))</x:f>
        <x:v>80</x:v>
      </x:c>
      <x:c r="F51" s="34" t="n">
        <x:f>MAX(0,MIN(F$8+1,'Fleet'!$O48)-MAX(F$7,'Fleet'!$G48))</x:f>
        <x:v>90</x:v>
      </x:c>
      <x:c r="G51" s="34" t="n">
        <x:f>MAX(0,MIN(G$8+1,'Fleet'!$O48)-MAX(G$7,'Fleet'!$G48))</x:f>
        <x:v>91</x:v>
      </x:c>
      <x:c r="H51" s="34" t="n">
        <x:f>MAX(0,MIN(H$8+1,'Fleet'!$O48)-MAX(H$7,'Fleet'!$G48))</x:f>
        <x:v>92</x:v>
      </x:c>
      <x:c r="I51" s="34" t="n">
        <x:f>MAX(0,MIN(I$8+1,'Fleet'!$O48)-MAX(I$7,'Fleet'!$G48))</x:f>
        <x:v>92</x:v>
      </x:c>
      <x:c r="J51" s="34" t="n">
        <x:f>MAX(0,MIN(J$8+1,'Fleet'!$O48)-MAX(J$7,'Fleet'!$G48))</x:f>
        <x:v>91</x:v>
      </x:c>
      <x:c r="K51" s="34" t="n">
        <x:f>MAX(0,MIN(K$8+1,'Fleet'!$O48)-MAX(K$7,'Fleet'!$G48))</x:f>
        <x:v>91</x:v>
      </x:c>
      <x:c r="L51" s="34" t="n">
        <x:f>MAX(0,MIN(L$8+1,'Fleet'!$O48)-MAX(L$7,'Fleet'!$G48))</x:f>
        <x:v>92</x:v>
      </x:c>
      <x:c r="M51" s="34" t="n">
        <x:f>MAX(0,MIN(M$8+1,'Fleet'!$O48)-MAX(M$7,'Fleet'!$G48))</x:f>
        <x:v>92</x:v>
      </x:c>
      <x:c r="N51" s="34" t="n">
        <x:f>MAX(0,MIN(N$8+1,'Fleet'!$O48)-MAX(N$7,'Fleet'!$G48))</x:f>
        <x:v>90</x:v>
      </x:c>
      <x:c r="O51" s="34" t="n">
        <x:f>MAX(0,MIN(O$8+1,'Fleet'!$O48)-MAX(O$7,'Fleet'!$G48))</x:f>
        <x:v>91</x:v>
      </x:c>
      <x:c r="P51" s="34" t="n">
        <x:f>MAX(0,MIN(P$8+1,'Fleet'!$O48)-MAX(P$7,'Fleet'!$G48))</x:f>
        <x:v>92</x:v>
      </x:c>
      <x:c r="Q51" s="34" t="n">
        <x:f>MAX(0,MIN(Q$8+1,'Fleet'!$O48)-MAX(Q$7,'Fleet'!$G48))</x:f>
        <x:v>365</x:v>
      </x:c>
      <x:c r="R51" s="34" t="n">
        <x:f>MAX(0,MIN(R$8+1,'Fleet'!$O48)-MAX(R$7,'Fleet'!$G48))</x:f>
        <x:v>365</x:v>
      </x:c>
      <x:c r="S51" s="34" t="n">
        <x:f>MAX(0,MIN(S$8+1,'Fleet'!$O48)-MAX(S$7,'Fleet'!$G48))</x:f>
        <x:v>366</x:v>
      </x:c>
      <x:c r="T51" s="34" t="n">
        <x:f>MAX(0,MIN(T$8+1,'Fleet'!$O48)-MAX(T$7,'Fleet'!$G48))</x:f>
        <x:v>365</x:v>
      </x:c>
      <x:c r="U51" s="34" t="n">
        <x:f>MAX(0,MIN(U$8+1,'Fleet'!$O48)-MAX(U$7,'Fleet'!$G48))</x:f>
        <x:v>273</x:v>
      </x:c>
      <x:c r="V51" s="34" t="n">
        <x:f>MAX(0,MIN(V$8+1,'Fleet'!$O48)-MAX(V$7,'Fleet'!$G48))</x:f>
        <x:v>0</x:v>
      </x:c>
      <x:c r="W51" s="34" t="n">
        <x:f>MAX(0,MIN(W$8+1,'Fleet'!$O48)-MAX(W$7,'Fleet'!$G48))</x:f>
        <x:v>0</x:v>
      </x:c>
      <x:c r="X51" s="34" t="n">
        <x:f>MAX(0,MIN(X$8+1,'Fleet'!$O48)-MAX(X$7,'Fleet'!$G48))</x:f>
        <x:v>0</x:v>
      </x:c>
      <x:c r="Y51" s="34" t="n">
        <x:f>MAX(0,MIN(Y$8+1,'Fleet'!$O48)-MAX(Y$7,'Fleet'!$G48))</x:f>
        <x:v>0</x:v>
      </x:c>
      <x:c r="Z51" s="34" t="n">
        <x:f>MAX(0,MIN(Z$8+1,'Fleet'!$O48)-MAX(Z$7,'Fleet'!$G48))</x:f>
        <x:v>0</x:v>
      </x:c>
      <x:c r="AA51" s="34" t="n">
        <x:f>MAX(0,MIN(AA$8+1,'Fleet'!$O48)-MAX(AA$7,'Fleet'!$G48))</x:f>
        <x:v>0</x:v>
      </x:c>
      <x:c r="AB51" s="34" t="n">
        <x:f>MAX(0,MIN(AB$8+1,'Fleet'!$O48)-MAX(AB$7,'Fleet'!$G48))</x:f>
        <x:v>0</x:v>
      </x:c>
      <x:c r="AC51" s="34" t="n">
        <x:f>MAX(0,MIN(AC$8+1,'Fleet'!$O48)-MAX(AC$7,'Fleet'!$G48))</x:f>
        <x:v>0</x:v>
      </x:c>
      <x:c r="AD51" s="34" t="n">
        <x:f>MAX(0,MIN(AD$8+1,'Fleet'!$O48)-MAX(AD$7,'Fleet'!$G48))</x:f>
        <x:v>0</x:v>
      </x:c>
      <x:c r="AE51" s="34" t="n">
        <x:f>MAX(0,MIN(AE$8+1,'Fleet'!$O48)-MAX(AE$7,'Fleet'!$G48))</x:f>
        <x:v>0</x:v>
      </x:c>
      <x:c r="AF51" s="34" t="n">
        <x:f>MAX(0,MIN(AF$8+1,'Fleet'!$O48)-MAX(AF$7,'Fleet'!$G48))</x:f>
        <x:v>0</x:v>
      </x:c>
      <x:c r="AG51" s="34" t="n">
        <x:f>MAX(0,MIN(AG$8+1,'Fleet'!$O48)-MAX(AG$7,'Fleet'!$G48))</x:f>
        <x:v>0</x:v>
      </x:c>
      <x:c r="AH51" s="34" t="n">
        <x:f>MAX(0,MIN(AH$8+1,'Fleet'!$O48)-MAX(AH$7,'Fleet'!$G48))</x:f>
        <x:v>0</x:v>
      </x:c>
      <x:c r="AI51" s="34" t="n">
        <x:f>MAX(0,MIN(AI$8+1,'Fleet'!$O48)-MAX(AI$7,'Fleet'!$G48))</x:f>
        <x:v>0</x:v>
      </x:c>
      <x:c r="AJ51" s="34" t="n">
        <x:f>MAX(0,MIN(AJ$8+1,'Fleet'!$O48)-MAX(AJ$7,'Fleet'!$G48))</x:f>
        <x:v>0</x:v>
      </x:c>
      <x:c r="AK51" s="34" t="n">
        <x:f>MAX(0,MIN(AK$8+1,'Fleet'!$O48)-MAX(AK$7,'Fleet'!$G48))</x:f>
        <x:v>0</x:v>
      </x:c>
      <x:c r="AL51" s="34" t="n">
        <x:f>MAX(0,MIN(AL$8+1,'Fleet'!$O48)-MAX(AL$7,'Fleet'!$G48))</x:f>
        <x:v>0</x:v>
      </x:c>
      <x:c r="AM51" s="34" t="n">
        <x:f>MAX(0,MIN(AM$8+1,'Fleet'!$O48)-MAX(AM$7,'Fleet'!$G48))</x:f>
        <x:v>0</x:v>
      </x:c>
      <x:c r="AN51" s="34" t="n">
        <x:f>MAX(0,MIN(AN$8+1,'Fleet'!$O48)-MAX(AN$7,'Fleet'!$G48))</x:f>
        <x:v>0</x:v>
      </x:c>
      <x:c r="AO51" s="34" t="n">
        <x:f>MAX(0,MIN(AO$8+1,'Fleet'!$O48)-MAX(AO$7,'Fleet'!$G48))</x:f>
        <x:v>0</x:v>
      </x:c>
      <x:c r="AP51" s="34" t="n">
        <x:f>MAX(0,MIN(AP$8+1,'Fleet'!$O48)-MAX(AP$7,'Fleet'!$G48))</x:f>
        <x:v>0</x:v>
      </x:c>
      <x:c r="AQ51" s="34" t="n">
        <x:f>MAX(0,MIN(AQ$8+1,'Fleet'!$O48)-MAX(AQ$7,'Fleet'!$G48))</x:f>
        <x:v>0</x:v>
      </x:c>
    </x:row>
    <x:row r="52" ht="21" customHeight="1">
      <x:c r="A52" s="2"/>
      <x:c r="B52" s="2"/>
      <x:c r="C52" s="5" t="str">
        <x:f>'Fleet'!C49</x:f>
        <x:v>Genco Brittany</x:v>
      </x:c>
      <x:c r="D52" s="5" t="str">
        <x:f>'Fleet'!D49</x:f>
        <x:v>Supramax</x:v>
      </x:c>
      <x:c r="E52" s="34" t="n">
        <x:f>MAX(0,MIN(E$8+1,'Fleet'!$O49)-MAX(E$7,'Fleet'!$G49))</x:f>
        <x:v>80</x:v>
      </x:c>
      <x:c r="F52" s="34" t="n">
        <x:f>MAX(0,MIN(F$8+1,'Fleet'!$O49)-MAX(F$7,'Fleet'!$G49))</x:f>
        <x:v>90</x:v>
      </x:c>
      <x:c r="G52" s="34" t="n">
        <x:f>MAX(0,MIN(G$8+1,'Fleet'!$O49)-MAX(G$7,'Fleet'!$G49))</x:f>
        <x:v>91</x:v>
      </x:c>
      <x:c r="H52" s="34" t="n">
        <x:f>MAX(0,MIN(H$8+1,'Fleet'!$O49)-MAX(H$7,'Fleet'!$G49))</x:f>
        <x:v>92</x:v>
      </x:c>
      <x:c r="I52" s="34" t="n">
        <x:f>MAX(0,MIN(I$8+1,'Fleet'!$O49)-MAX(I$7,'Fleet'!$G49))</x:f>
        <x:v>92</x:v>
      </x:c>
      <x:c r="J52" s="34" t="n">
        <x:f>MAX(0,MIN(J$8+1,'Fleet'!$O49)-MAX(J$7,'Fleet'!$G49))</x:f>
        <x:v>91</x:v>
      </x:c>
      <x:c r="K52" s="34" t="n">
        <x:f>MAX(0,MIN(K$8+1,'Fleet'!$O49)-MAX(K$7,'Fleet'!$G49))</x:f>
        <x:v>91</x:v>
      </x:c>
      <x:c r="L52" s="34" t="n">
        <x:f>MAX(0,MIN(L$8+1,'Fleet'!$O49)-MAX(L$7,'Fleet'!$G49))</x:f>
        <x:v>92</x:v>
      </x:c>
      <x:c r="M52" s="34" t="n">
        <x:f>MAX(0,MIN(M$8+1,'Fleet'!$O49)-MAX(M$7,'Fleet'!$G49))</x:f>
        <x:v>92</x:v>
      </x:c>
      <x:c r="N52" s="34" t="n">
        <x:f>MAX(0,MIN(N$8+1,'Fleet'!$O49)-MAX(N$7,'Fleet'!$G49))</x:f>
        <x:v>90</x:v>
      </x:c>
      <x:c r="O52" s="34" t="n">
        <x:f>MAX(0,MIN(O$8+1,'Fleet'!$O49)-MAX(O$7,'Fleet'!$G49))</x:f>
        <x:v>91</x:v>
      </x:c>
      <x:c r="P52" s="34" t="n">
        <x:f>MAX(0,MIN(P$8+1,'Fleet'!$O49)-MAX(P$7,'Fleet'!$G49))</x:f>
        <x:v>92</x:v>
      </x:c>
      <x:c r="Q52" s="34" t="n">
        <x:f>MAX(0,MIN(Q$8+1,'Fleet'!$O49)-MAX(Q$7,'Fleet'!$G49))</x:f>
        <x:v>365</x:v>
      </x:c>
      <x:c r="R52" s="34" t="n">
        <x:f>MAX(0,MIN(R$8+1,'Fleet'!$O49)-MAX(R$7,'Fleet'!$G49))</x:f>
        <x:v>365</x:v>
      </x:c>
      <x:c r="S52" s="34" t="n">
        <x:f>MAX(0,MIN(S$8+1,'Fleet'!$O49)-MAX(S$7,'Fleet'!$G49))</x:f>
        <x:v>366</x:v>
      </x:c>
      <x:c r="T52" s="34" t="n">
        <x:f>MAX(0,MIN(T$8+1,'Fleet'!$O49)-MAX(T$7,'Fleet'!$G49))</x:f>
        <x:v>365</x:v>
      </x:c>
      <x:c r="U52" s="34" t="n">
        <x:f>MAX(0,MIN(U$8+1,'Fleet'!$O49)-MAX(U$7,'Fleet'!$G49))</x:f>
        <x:v>365</x:v>
      </x:c>
      <x:c r="V52" s="34" t="n">
        <x:f>MAX(0,MIN(V$8+1,'Fleet'!$O49)-MAX(V$7,'Fleet'!$G49))</x:f>
        <x:v>273</x:v>
      </x:c>
      <x:c r="W52" s="34" t="n">
        <x:f>MAX(0,MIN(W$8+1,'Fleet'!$O49)-MAX(W$7,'Fleet'!$G49))</x:f>
        <x:v>0</x:v>
      </x:c>
      <x:c r="X52" s="34" t="n">
        <x:f>MAX(0,MIN(X$8+1,'Fleet'!$O49)-MAX(X$7,'Fleet'!$G49))</x:f>
        <x:v>0</x:v>
      </x:c>
      <x:c r="Y52" s="34" t="n">
        <x:f>MAX(0,MIN(Y$8+1,'Fleet'!$O49)-MAX(Y$7,'Fleet'!$G49))</x:f>
        <x:v>0</x:v>
      </x:c>
      <x:c r="Z52" s="34" t="n">
        <x:f>MAX(0,MIN(Z$8+1,'Fleet'!$O49)-MAX(Z$7,'Fleet'!$G49))</x:f>
        <x:v>0</x:v>
      </x:c>
      <x:c r="AA52" s="34" t="n">
        <x:f>MAX(0,MIN(AA$8+1,'Fleet'!$O49)-MAX(AA$7,'Fleet'!$G49))</x:f>
        <x:v>0</x:v>
      </x:c>
      <x:c r="AB52" s="34" t="n">
        <x:f>MAX(0,MIN(AB$8+1,'Fleet'!$O49)-MAX(AB$7,'Fleet'!$G49))</x:f>
        <x:v>0</x:v>
      </x:c>
      <x:c r="AC52" s="34" t="n">
        <x:f>MAX(0,MIN(AC$8+1,'Fleet'!$O49)-MAX(AC$7,'Fleet'!$G49))</x:f>
        <x:v>0</x:v>
      </x:c>
      <x:c r="AD52" s="34" t="n">
        <x:f>MAX(0,MIN(AD$8+1,'Fleet'!$O49)-MAX(AD$7,'Fleet'!$G49))</x:f>
        <x:v>0</x:v>
      </x:c>
      <x:c r="AE52" s="34" t="n">
        <x:f>MAX(0,MIN(AE$8+1,'Fleet'!$O49)-MAX(AE$7,'Fleet'!$G49))</x:f>
        <x:v>0</x:v>
      </x:c>
      <x:c r="AF52" s="34" t="n">
        <x:f>MAX(0,MIN(AF$8+1,'Fleet'!$O49)-MAX(AF$7,'Fleet'!$G49))</x:f>
        <x:v>0</x:v>
      </x:c>
      <x:c r="AG52" s="34" t="n">
        <x:f>MAX(0,MIN(AG$8+1,'Fleet'!$O49)-MAX(AG$7,'Fleet'!$G49))</x:f>
        <x:v>0</x:v>
      </x:c>
      <x:c r="AH52" s="34" t="n">
        <x:f>MAX(0,MIN(AH$8+1,'Fleet'!$O49)-MAX(AH$7,'Fleet'!$G49))</x:f>
        <x:v>0</x:v>
      </x:c>
      <x:c r="AI52" s="34" t="n">
        <x:f>MAX(0,MIN(AI$8+1,'Fleet'!$O49)-MAX(AI$7,'Fleet'!$G49))</x:f>
        <x:v>0</x:v>
      </x:c>
      <x:c r="AJ52" s="34" t="n">
        <x:f>MAX(0,MIN(AJ$8+1,'Fleet'!$O49)-MAX(AJ$7,'Fleet'!$G49))</x:f>
        <x:v>0</x:v>
      </x:c>
      <x:c r="AK52" s="34" t="n">
        <x:f>MAX(0,MIN(AK$8+1,'Fleet'!$O49)-MAX(AK$7,'Fleet'!$G49))</x:f>
        <x:v>0</x:v>
      </x:c>
      <x:c r="AL52" s="34" t="n">
        <x:f>MAX(0,MIN(AL$8+1,'Fleet'!$O49)-MAX(AL$7,'Fleet'!$G49))</x:f>
        <x:v>0</x:v>
      </x:c>
      <x:c r="AM52" s="34" t="n">
        <x:f>MAX(0,MIN(AM$8+1,'Fleet'!$O49)-MAX(AM$7,'Fleet'!$G49))</x:f>
        <x:v>0</x:v>
      </x:c>
      <x:c r="AN52" s="34" t="n">
        <x:f>MAX(0,MIN(AN$8+1,'Fleet'!$O49)-MAX(AN$7,'Fleet'!$G49))</x:f>
        <x:v>0</x:v>
      </x:c>
      <x:c r="AO52" s="34" t="n">
        <x:f>MAX(0,MIN(AO$8+1,'Fleet'!$O49)-MAX(AO$7,'Fleet'!$G49))</x:f>
        <x:v>0</x:v>
      </x:c>
      <x:c r="AP52" s="34" t="n">
        <x:f>MAX(0,MIN(AP$8+1,'Fleet'!$O49)-MAX(AP$7,'Fleet'!$G49))</x:f>
        <x:v>0</x:v>
      </x:c>
      <x:c r="AQ52" s="34" t="n">
        <x:f>MAX(0,MIN(AQ$8+1,'Fleet'!$O49)-MAX(AQ$7,'Fleet'!$G49))</x:f>
        <x:v>0</x:v>
      </x:c>
    </x:row>
    <x:row r="53" ht="21" customHeight="1">
      <x:c r="A53" s="2"/>
      <x:c r="B53" s="2"/>
      <x:c r="C53" s="5" t="str">
        <x:f>'Fleet'!C50</x:f>
        <x:v>Genco Aquitaine</x:v>
      </x:c>
      <x:c r="D53" s="5" t="str">
        <x:f>'Fleet'!D50</x:f>
        <x:v>Supramax</x:v>
      </x:c>
      <x:c r="E53" s="34" t="n">
        <x:f>MAX(0,MIN(E$8+1,'Fleet'!$O50)-MAX(E$7,'Fleet'!$G50))</x:f>
        <x:v>80</x:v>
      </x:c>
      <x:c r="F53" s="34" t="n">
        <x:f>MAX(0,MIN(F$8+1,'Fleet'!$O50)-MAX(F$7,'Fleet'!$G50))</x:f>
        <x:v>90</x:v>
      </x:c>
      <x:c r="G53" s="34" t="n">
        <x:f>MAX(0,MIN(G$8+1,'Fleet'!$O50)-MAX(G$7,'Fleet'!$G50))</x:f>
        <x:v>91</x:v>
      </x:c>
      <x:c r="H53" s="34" t="n">
        <x:f>MAX(0,MIN(H$8+1,'Fleet'!$O50)-MAX(H$7,'Fleet'!$G50))</x:f>
        <x:v>92</x:v>
      </x:c>
      <x:c r="I53" s="34" t="n">
        <x:f>MAX(0,MIN(I$8+1,'Fleet'!$O50)-MAX(I$7,'Fleet'!$G50))</x:f>
        <x:v>92</x:v>
      </x:c>
      <x:c r="J53" s="34" t="n">
        <x:f>MAX(0,MIN(J$8+1,'Fleet'!$O50)-MAX(J$7,'Fleet'!$G50))</x:f>
        <x:v>91</x:v>
      </x:c>
      <x:c r="K53" s="34" t="n">
        <x:f>MAX(0,MIN(K$8+1,'Fleet'!$O50)-MAX(K$7,'Fleet'!$G50))</x:f>
        <x:v>91</x:v>
      </x:c>
      <x:c r="L53" s="34" t="n">
        <x:f>MAX(0,MIN(L$8+1,'Fleet'!$O50)-MAX(L$7,'Fleet'!$G50))</x:f>
        <x:v>92</x:v>
      </x:c>
      <x:c r="M53" s="34" t="n">
        <x:f>MAX(0,MIN(M$8+1,'Fleet'!$O50)-MAX(M$7,'Fleet'!$G50))</x:f>
        <x:v>92</x:v>
      </x:c>
      <x:c r="N53" s="34" t="n">
        <x:f>MAX(0,MIN(N$8+1,'Fleet'!$O50)-MAX(N$7,'Fleet'!$G50))</x:f>
        <x:v>90</x:v>
      </x:c>
      <x:c r="O53" s="34" t="n">
        <x:f>MAX(0,MIN(O$8+1,'Fleet'!$O50)-MAX(O$7,'Fleet'!$G50))</x:f>
        <x:v>91</x:v>
      </x:c>
      <x:c r="P53" s="34" t="n">
        <x:f>MAX(0,MIN(P$8+1,'Fleet'!$O50)-MAX(P$7,'Fleet'!$G50))</x:f>
        <x:v>92</x:v>
      </x:c>
      <x:c r="Q53" s="34" t="n">
        <x:f>MAX(0,MIN(Q$8+1,'Fleet'!$O50)-MAX(Q$7,'Fleet'!$G50))</x:f>
        <x:v>365</x:v>
      </x:c>
      <x:c r="R53" s="34" t="n">
        <x:f>MAX(0,MIN(R$8+1,'Fleet'!$O50)-MAX(R$7,'Fleet'!$G50))</x:f>
        <x:v>365</x:v>
      </x:c>
      <x:c r="S53" s="34" t="n">
        <x:f>MAX(0,MIN(S$8+1,'Fleet'!$O50)-MAX(S$7,'Fleet'!$G50))</x:f>
        <x:v>366</x:v>
      </x:c>
      <x:c r="T53" s="34" t="n">
        <x:f>MAX(0,MIN(T$8+1,'Fleet'!$O50)-MAX(T$7,'Fleet'!$G50))</x:f>
        <x:v>365</x:v>
      </x:c>
      <x:c r="U53" s="34" t="n">
        <x:f>MAX(0,MIN(U$8+1,'Fleet'!$O50)-MAX(U$7,'Fleet'!$G50))</x:f>
        <x:v>273</x:v>
      </x:c>
      <x:c r="V53" s="34" t="n">
        <x:f>MAX(0,MIN(V$8+1,'Fleet'!$O50)-MAX(V$7,'Fleet'!$G50))</x:f>
        <x:v>0</x:v>
      </x:c>
      <x:c r="W53" s="34" t="n">
        <x:f>MAX(0,MIN(W$8+1,'Fleet'!$O50)-MAX(W$7,'Fleet'!$G50))</x:f>
        <x:v>0</x:v>
      </x:c>
      <x:c r="X53" s="34" t="n">
        <x:f>MAX(0,MIN(X$8+1,'Fleet'!$O50)-MAX(X$7,'Fleet'!$G50))</x:f>
        <x:v>0</x:v>
      </x:c>
      <x:c r="Y53" s="34" t="n">
        <x:f>MAX(0,MIN(Y$8+1,'Fleet'!$O50)-MAX(Y$7,'Fleet'!$G50))</x:f>
        <x:v>0</x:v>
      </x:c>
      <x:c r="Z53" s="34" t="n">
        <x:f>MAX(0,MIN(Z$8+1,'Fleet'!$O50)-MAX(Z$7,'Fleet'!$G50))</x:f>
        <x:v>0</x:v>
      </x:c>
      <x:c r="AA53" s="34" t="n">
        <x:f>MAX(0,MIN(AA$8+1,'Fleet'!$O50)-MAX(AA$7,'Fleet'!$G50))</x:f>
        <x:v>0</x:v>
      </x:c>
      <x:c r="AB53" s="34" t="n">
        <x:f>MAX(0,MIN(AB$8+1,'Fleet'!$O50)-MAX(AB$7,'Fleet'!$G50))</x:f>
        <x:v>0</x:v>
      </x:c>
      <x:c r="AC53" s="34" t="n">
        <x:f>MAX(0,MIN(AC$8+1,'Fleet'!$O50)-MAX(AC$7,'Fleet'!$G50))</x:f>
        <x:v>0</x:v>
      </x:c>
      <x:c r="AD53" s="34" t="n">
        <x:f>MAX(0,MIN(AD$8+1,'Fleet'!$O50)-MAX(AD$7,'Fleet'!$G50))</x:f>
        <x:v>0</x:v>
      </x:c>
      <x:c r="AE53" s="34" t="n">
        <x:f>MAX(0,MIN(AE$8+1,'Fleet'!$O50)-MAX(AE$7,'Fleet'!$G50))</x:f>
        <x:v>0</x:v>
      </x:c>
      <x:c r="AF53" s="34" t="n">
        <x:f>MAX(0,MIN(AF$8+1,'Fleet'!$O50)-MAX(AF$7,'Fleet'!$G50))</x:f>
        <x:v>0</x:v>
      </x:c>
      <x:c r="AG53" s="34" t="n">
        <x:f>MAX(0,MIN(AG$8+1,'Fleet'!$O50)-MAX(AG$7,'Fleet'!$G50))</x:f>
        <x:v>0</x:v>
      </x:c>
      <x:c r="AH53" s="34" t="n">
        <x:f>MAX(0,MIN(AH$8+1,'Fleet'!$O50)-MAX(AH$7,'Fleet'!$G50))</x:f>
        <x:v>0</x:v>
      </x:c>
      <x:c r="AI53" s="34" t="n">
        <x:f>MAX(0,MIN(AI$8+1,'Fleet'!$O50)-MAX(AI$7,'Fleet'!$G50))</x:f>
        <x:v>0</x:v>
      </x:c>
      <x:c r="AJ53" s="34" t="n">
        <x:f>MAX(0,MIN(AJ$8+1,'Fleet'!$O50)-MAX(AJ$7,'Fleet'!$G50))</x:f>
        <x:v>0</x:v>
      </x:c>
      <x:c r="AK53" s="34" t="n">
        <x:f>MAX(0,MIN(AK$8+1,'Fleet'!$O50)-MAX(AK$7,'Fleet'!$G50))</x:f>
        <x:v>0</x:v>
      </x:c>
      <x:c r="AL53" s="34" t="n">
        <x:f>MAX(0,MIN(AL$8+1,'Fleet'!$O50)-MAX(AL$7,'Fleet'!$G50))</x:f>
        <x:v>0</x:v>
      </x:c>
      <x:c r="AM53" s="34" t="n">
        <x:f>MAX(0,MIN(AM$8+1,'Fleet'!$O50)-MAX(AM$7,'Fleet'!$G50))</x:f>
        <x:v>0</x:v>
      </x:c>
      <x:c r="AN53" s="34" t="n">
        <x:f>MAX(0,MIN(AN$8+1,'Fleet'!$O50)-MAX(AN$7,'Fleet'!$G50))</x:f>
        <x:v>0</x:v>
      </x:c>
      <x:c r="AO53" s="34" t="n">
        <x:f>MAX(0,MIN(AO$8+1,'Fleet'!$O50)-MAX(AO$7,'Fleet'!$G50))</x:f>
        <x:v>0</x:v>
      </x:c>
      <x:c r="AP53" s="34" t="n">
        <x:f>MAX(0,MIN(AP$8+1,'Fleet'!$O50)-MAX(AP$7,'Fleet'!$G50))</x:f>
        <x:v>0</x:v>
      </x:c>
      <x:c r="AQ53" s="34" t="n">
        <x:f>MAX(0,MIN(AQ$8+1,'Fleet'!$O50)-MAX(AQ$7,'Fleet'!$G50))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Historical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30" t="str">
        <x:v>H1 2026 operating reconciliation</x:v>
      </x:c>
      <x:c r="D6" s="30"/>
      <x:c r="E6" s="30"/>
      <x:c r="F6" s="30"/>
      <x:c r="G6" s="30"/>
      <x:c r="H6" s="30"/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Voyage revenue</x:v>
      </x:c>
      <x:c r="D8" s="37" t="n">
        <x:f>'Sources'!$D$15</x:f>
        <x:v>250843000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1" customHeight="1">
      <x:c r="A9" s="2"/>
      <x:c r="B9" s="2"/>
      <x:c r="C9" s="2" t="str">
        <x:v>Voyage expenses</x:v>
      </x:c>
      <x:c r="D9" s="37" t="n">
        <x:f>-'Sources'!$D$16</x:f>
        <x:v>-80361000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1" customHeight="1">
      <x:c r="A10" s="2"/>
      <x:c r="B10" s="2"/>
      <x:c r="C10" s="2" t="str">
        <x:v>Charter-in hire</x:v>
      </x:c>
      <x:c r="D10" s="37" t="n">
        <x:f>-'Sources'!$D$17</x:f>
        <x:v>-6481000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1" customHeight="1">
      <x:c r="A11" s="2"/>
      <x:c r="B11" s="2"/>
      <x:c r="C11" s="2" t="str">
        <x:v>Realized derivatives</x:v>
      </x:c>
      <x:c r="D11" s="37" t="n">
        <x:f>'Sources'!$D$18</x:f>
        <x:v>311000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1" customHeight="1">
      <x:c r="A12" s="2"/>
      <x:c r="B12" s="2"/>
      <x:c r="C12" s="2" t="str">
        <x:v>Reconstructed TCE revenue</x:v>
      </x:c>
      <x:c r="D12" s="39" t="n">
        <x:f>SUM(D8:D11)</x:f>
        <x:v>164312000</x:v>
      </x:c>
      <x:c r="E12" s="2"/>
      <x:c r="F12" s="2" t="str">
        <x:v>Reported TCE already deducts charter-in hire. No second deduction.</x:v>
      </x:c>
      <x:c r="G12" s="2"/>
      <x:c r="H12" s="2"/>
      <x:c r="I12" s="2"/>
      <x:c r="J12" s="2"/>
      <x:c r="K12" s="2"/>
      <x:c r="L12" s="2"/>
      <x:c r="M12" s="2"/>
      <x:c r="N12" s="2"/>
    </x:row>
    <x:row r="13" ht="21" customHeight="1">
      <x:c r="A13" s="2"/>
      <x:c r="B13" s="2"/>
      <x:c r="C13" s="2" t="str">
        <x:v>Reported TCE revenue</x:v>
      </x:c>
      <x:c r="D13" s="37" t="n">
        <x:f>'Sources'!$D$19</x:f>
        <x:v>164312000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1" customHeight="1">
      <x:c r="A14" s="2"/>
      <x:c r="B14" s="2"/>
      <x:c r="C14" s="2" t="str">
        <x:v>Reconciliation difference</x:v>
      </x:c>
      <x:c r="D14" s="39" t="n">
        <x:f>D12-D13</x:f>
        <x:v>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1" customHeight="1">
      <x:c r="A16" s="2"/>
      <x:c r="B16" s="2"/>
      <x:c r="C16" s="2" t="str">
        <x:v>Available days</x:v>
      </x:c>
      <x:c r="D16" s="5" t="n">
        <x:f>'Sources'!$D$13</x:f>
        <x:v>7948.9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1" customHeight="1">
      <x:c r="A17" s="2"/>
      <x:c r="B17" s="2"/>
      <x:c r="C17" s="2" t="str">
        <x:v>Reconstructed TCE (USD/day)</x:v>
      </x:c>
      <x:c r="D17" s="47" t="n">
        <x:f>D12/D16</x:f>
        <x:v>20671.036244008606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1" customHeight="1">
      <x:c r="A18" s="2"/>
      <x:c r="B18" s="2"/>
      <x:c r="C18" s="2" t="str">
        <x:v>Reported rounded TCE</x:v>
      </x:c>
      <x:c r="D18" s="34" t="n">
        <x:f>'Sources'!$D$20</x:f>
        <x:v>21836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1" customHeight="1">
      <x:c r="A20" s="2"/>
      <x:c r="B20" s="2"/>
      <x:c r="C20" s="2" t="str">
        <x:v>Disclosed bunker-sale gain</x:v>
      </x:c>
      <x:c r="D20" s="37" t="n">
        <x:f>'Sources'!$D$21</x:f>
        <x:v>0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1" customHeight="1">
      <x:c r="A21" s="2"/>
      <x:c r="B21" s="2"/>
      <x:c r="C21" s="2" t="str">
        <x:v>TCE excluding bunker gain</x:v>
      </x:c>
      <x:c r="D21" s="47" t="n">
        <x:f>(D12-D20)/D16</x:f>
        <x:v>20671.036244008606</x:v>
      </x:c>
      <x:c r="E21" s="2"/>
      <x:c r="F21" s="2" t="str">
        <x:v>Single disclosed normalization, not a fully normalized mid-cycle earnings estimate.</x:v>
      </x:c>
      <x:c r="G21" s="2"/>
      <x:c r="H21" s="2"/>
      <x:c r="I21" s="2"/>
      <x:c r="J21" s="2"/>
      <x:c r="K21" s="2"/>
      <x:c r="L21" s="2"/>
      <x:c r="M21" s="2"/>
      <x:c r="N21" s="2"/>
    </x:row>
    <x:row r="22" ht="21" customHeight="1">
      <x:c r="A22" s="2"/>
      <x:c r="B22" s="2"/>
      <x:c r="C22" s="2"/>
      <x:c r="D22" s="33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1" customHeight="1">
      <x:c r="A23" s="2"/>
      <x:c r="B23" s="2"/>
      <x:c r="C23" s="2" t="str">
        <x:v>Owned days</x:v>
      </x:c>
      <x:c r="D23" s="34" t="n">
        <x:f>'Sources'!$D$14</x:f>
        <x:v>7830.2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1" customHeight="1">
      <x:c r="A24" s="2"/>
      <x:c r="B24" s="2"/>
      <x:c r="C24" s="2" t="str">
        <x:v>Unavailable fraction</x:v>
      </x:c>
      <x:c r="D24" s="48" t="n">
        <x:f>1-D16/D23</x:f>
        <x:v>-0.015159255191438348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1" customHeight="1">
      <x:c r="A25" s="2"/>
      <x:c r="B25" s="2"/>
      <x:c r="C25" s="2" t="str">
        <x:v>Vessel opex (USD/day)</x:v>
      </x:c>
      <x:c r="D25" s="34" t="n">
        <x:f>'Sources'!$D$22/D23</x:f>
        <x:v>6780.9251360118515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1" customHeight="1">
      <x:c r="A26" s="2"/>
      <x:c r="B26" s="2"/>
      <x:c r="C26" s="2" t="str">
        <x:v>Management cost (USD/day)</x:v>
      </x:c>
      <x:c r="D26" s="34" t="n">
        <x:f>'Sources'!$D$23/D23</x:f>
        <x:v>234.85990140737147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1" customHeight="1">
      <x:c r="A29" s="2"/>
      <x:c r="B29" s="2"/>
      <x:c r="C29" s="2" t="str">
        <x:v>Opening cash incl. restricted</x:v>
      </x:c>
      <x:c r="D29" s="37" t="n">
        <x:f>'Sources'!$D$30</x:f>
        <x:v>55540000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1" customHeight="1">
      <x:c r="A30" s="2"/>
      <x:c r="B30" s="2"/>
      <x:c r="C30" s="2" t="str">
        <x:v>Cash from operations</x:v>
      </x:c>
      <x:c r="D30" s="37" t="n">
        <x:f>'Sources'!$D$27</x:f>
        <x:v>48938000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1" customHeight="1">
      <x:c r="A31" s="2"/>
      <x:c r="B31" s="2"/>
      <x:c r="C31" s="2" t="str">
        <x:v>Cash from investing</x:v>
      </x:c>
      <x:c r="D31" s="37" t="n">
        <x:f>'Sources'!$D$28</x:f>
        <x:v>-122207000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 t="str">
        <x:v>Cash from financing</x:v>
      </x:c>
      <x:c r="D32" s="37" t="n">
        <x:f>'Sources'!$D$29</x:f>
        <x:v>91316000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 t="str">
        <x:v>Reconstructed closing cash</x:v>
      </x:c>
      <x:c r="D33" s="39" t="n">
        <x:f>SUM(D29:D32)</x:f>
        <x:v>73587000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 t="str">
        <x:v>Reported closing cash</x:v>
      </x:c>
      <x:c r="D34" s="37" t="n">
        <x:f>'Sources'!$D$31</x:f>
        <x:v>73587000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 t="str">
        <x:v>Cash reconciliation difference</x:v>
      </x:c>
      <x:c r="D35" s="39" t="n">
        <x:f>D33-D34</x:f>
        <x:v>0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24" hidden="0" customWidth="1"/>
    <x:col min="8" max="8" width="5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Sources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8" customHeight="1">
      <x:c r="A6" s="2"/>
      <x:c r="B6" s="2"/>
      <x:c r="C6" s="25" t="str">
        <x:v>Input</x:v>
      </x:c>
      <x:c r="D6" s="25" t="str">
        <x:v>Value</x:v>
      </x:c>
      <x:c r="E6" s="25" t="str">
        <x:v>Unit</x:v>
      </x:c>
      <x:c r="F6" s="25" t="str">
        <x:v>Period</x:v>
      </x:c>
      <x:c r="G6" s="25" t="str">
        <x:v>Source ID</x:v>
      </x:c>
      <x:c r="H6" s="25" t="str">
        <x:v>Location</x:v>
      </x:c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 t="str">
        <x:v>cash</x:v>
      </x:c>
      <x:c r="D7" s="27" t="n">
        <x:v>73587000</x:v>
      </x:c>
      <x:c r="E7" s="2" t="str">
        <x:v>USD</x:v>
      </x:c>
      <x:c r="F7" s="28" t="n">
        <x:v>46203</x:v>
      </x:c>
      <x:c r="G7" s="2" t="str">
        <x:v>GNK_Q2_10Q</x:v>
      </x:c>
      <x:c r="H7" s="2" t="str">
        <x:v>Balance sheet</x:v>
      </x:c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restricted_cash</x:v>
      </x:c>
      <x:c r="D8" s="27" t="n">
        <x:v>0</x:v>
      </x:c>
      <x:c r="E8" s="2" t="str">
        <x:v>USD</x:v>
      </x:c>
      <x:c r="F8" s="28" t="n">
        <x:v>46203</x:v>
      </x:c>
      <x:c r="G8" s="2" t="str">
        <x:v>GNK_Q2_10Q</x:v>
      </x:c>
      <x:c r="H8" s="2" t="str">
        <x:v>Balance sheet</x:v>
      </x:c>
      <x:c r="I8" s="2"/>
      <x:c r="J8" s="2"/>
      <x:c r="K8" s="2"/>
      <x:c r="L8" s="2"/>
      <x:c r="M8" s="2"/>
      <x:c r="N8" s="2"/>
    </x:row>
    <x:row r="9" ht="21" customHeight="1">
      <x:c r="A9" s="2"/>
      <x:c r="B9" s="2"/>
      <x:c r="C9" s="2" t="str">
        <x:v>bank_debt_gross</x:v>
      </x:c>
      <x:c r="D9" s="27" t="n">
        <x:v>330000000</x:v>
      </x:c>
      <x:c r="E9" s="2" t="str">
        <x:v>USD</x:v>
      </x:c>
      <x:c r="F9" s="28" t="n">
        <x:v>46203</x:v>
      </x:c>
      <x:c r="G9" s="2" t="str">
        <x:v>GNK_Q2_10Q</x:v>
      </x:c>
      <x:c r="H9" s="2" t="str">
        <x:v>Note 9 debt</x:v>
      </x:c>
      <x:c r="I9" s="2"/>
      <x:c r="J9" s="2"/>
      <x:c r="K9" s="2"/>
      <x:c r="L9" s="2"/>
      <x:c r="M9" s="2"/>
      <x:c r="N9" s="2"/>
    </x:row>
    <x:row r="10" ht="21" customHeight="1">
      <x:c r="A10" s="2"/>
      <x:c r="B10" s="2"/>
      <x:c r="C10" s="2" t="str">
        <x:v>finance_leases</x:v>
      </x:c>
      <x:c r="D10" s="27" t="n">
        <x:v>0</x:v>
      </x:c>
      <x:c r="E10" s="2" t="str">
        <x:v>USD</x:v>
      </x:c>
      <x:c r="F10" s="28" t="n">
        <x:v>46203</x:v>
      </x:c>
      <x:c r="G10" s="2" t="str">
        <x:v>GNK_Q2_10Q</x:v>
      </x:c>
      <x:c r="H10" s="2" t="str">
        <x:v>Balance sheet</x:v>
      </x:c>
      <x:c r="I10" s="2"/>
      <x:c r="J10" s="2"/>
      <x:c r="K10" s="2"/>
      <x:c r="L10" s="2"/>
      <x:c r="M10" s="2"/>
      <x:c r="N10" s="2"/>
    </x:row>
    <x:row r="11" ht="21" customHeight="1">
      <x:c r="A11" s="2"/>
      <x:c r="B11" s="2"/>
      <x:c r="C11" s="2" t="str">
        <x:v>debt_issuance_costs</x:v>
      </x:c>
      <x:c r="D11" s="27" t="n">
        <x:v>10492000</x:v>
      </x:c>
      <x:c r="E11" s="2" t="str">
        <x:v>USD</x:v>
      </x:c>
      <x:c r="F11" s="28" t="n">
        <x:v>46203</x:v>
      </x:c>
      <x:c r="G11" s="2" t="str">
        <x:v>GNK_Q2_10Q</x:v>
      </x:c>
      <x:c r="H11" s="2" t="str">
        <x:v>Note 9 debt</x:v>
      </x:c>
      <x:c r="I11" s="2"/>
      <x:c r="J11" s="2"/>
      <x:c r="K11" s="2"/>
      <x:c r="L11" s="2"/>
      <x:c r="M11" s="2"/>
      <x:c r="N11" s="2"/>
    </x:row>
    <x:row r="12" ht="21" customHeight="1">
      <x:c r="A12" s="2"/>
      <x:c r="B12" s="2"/>
      <x:c r="C12" s="2" t="str">
        <x:v>shares</x:v>
      </x:c>
      <x:c r="D12" s="27" t="n">
        <x:v>43586605</x:v>
      </x:c>
      <x:c r="E12" s="2" t="str">
        <x:v>shares</x:v>
      </x:c>
      <x:c r="F12" s="28" t="n">
        <x:v>46203</x:v>
      </x:c>
      <x:c r="G12" s="2" t="str">
        <x:v>GNK_Q2_10Q</x:v>
      </x:c>
      <x:c r="H12" s="2" t="str">
        <x:v>Balance sheet</x:v>
      </x:c>
      <x:c r="I12" s="2"/>
      <x:c r="J12" s="2"/>
      <x:c r="K12" s="2"/>
      <x:c r="L12" s="2"/>
      <x:c r="M12" s="2"/>
      <x:c r="N12" s="2"/>
    </x:row>
    <x:row r="13" ht="21" customHeight="1">
      <x:c r="A13" s="2"/>
      <x:c r="B13" s="2"/>
      <x:c r="C13" s="2" t="str">
        <x:v>available_days</x:v>
      </x:c>
      <x:c r="D13" s="27" t="n">
        <x:v>7948.9</x:v>
      </x:c>
      <x:c r="E13" s="2" t="str">
        <x:v>days</x:v>
      </x:c>
      <x:c r="F13" s="28" t="n">
        <x:v>46203</x:v>
      </x:c>
      <x:c r="G13" s="2" t="str">
        <x:v>GNK_Q2_10Q</x:v>
      </x:c>
      <x:c r="H13" s="2" t="str">
        <x:v>Fleet data</x:v>
      </x:c>
      <x:c r="I13" s="2"/>
      <x:c r="J13" s="2"/>
      <x:c r="K13" s="2"/>
      <x:c r="L13" s="2"/>
      <x:c r="M13" s="2"/>
      <x:c r="N13" s="2"/>
    </x:row>
    <x:row r="14" ht="21" customHeight="1">
      <x:c r="A14" s="2"/>
      <x:c r="B14" s="2"/>
      <x:c r="C14" s="2" t="str">
        <x:v>ownership_days</x:v>
      </x:c>
      <x:c r="D14" s="27" t="n">
        <x:v>7830.2</x:v>
      </x:c>
      <x:c r="E14" s="2" t="str">
        <x:v>days</x:v>
      </x:c>
      <x:c r="F14" s="28" t="n">
        <x:v>46203</x:v>
      </x:c>
      <x:c r="G14" s="2" t="str">
        <x:v>GNK_Q2_10Q</x:v>
      </x:c>
      <x:c r="H14" s="2" t="str">
        <x:v>Fleet data</x:v>
      </x:c>
      <x:c r="I14" s="2"/>
      <x:c r="J14" s="2"/>
      <x:c r="K14" s="2"/>
      <x:c r="L14" s="2"/>
      <x:c r="M14" s="2"/>
      <x:c r="N14" s="2"/>
    </x:row>
    <x:row r="15" ht="21" customHeight="1">
      <x:c r="A15" s="2"/>
      <x:c r="B15" s="2"/>
      <x:c r="C15" s="2" t="str">
        <x:v>voyage_revenue</x:v>
      </x:c>
      <x:c r="D15" s="27" t="n">
        <x:v>250843000</x:v>
      </x:c>
      <x:c r="E15" s="2" t="str">
        <x:v>USD</x:v>
      </x:c>
      <x:c r="F15" s="28" t="n">
        <x:v>46203</x:v>
      </x:c>
      <x:c r="G15" s="2" t="str">
        <x:v>GNK_Q2_10Q</x:v>
      </x:c>
      <x:c r="H15" s="2" t="str">
        <x:v>Income statement</x:v>
      </x:c>
      <x:c r="I15" s="2"/>
      <x:c r="J15" s="2"/>
      <x:c r="K15" s="2"/>
      <x:c r="L15" s="2"/>
      <x:c r="M15" s="2"/>
      <x:c r="N15" s="2"/>
    </x:row>
    <x:row r="16" ht="21" customHeight="1">
      <x:c r="A16" s="2"/>
      <x:c r="B16" s="2"/>
      <x:c r="C16" s="2" t="str">
        <x:v>voyage_cost</x:v>
      </x:c>
      <x:c r="D16" s="27" t="n">
        <x:v>80361000</x:v>
      </x:c>
      <x:c r="E16" s="2" t="str">
        <x:v>USD</x:v>
      </x:c>
      <x:c r="F16" s="28" t="n">
        <x:v>46203</x:v>
      </x:c>
      <x:c r="G16" s="2" t="str">
        <x:v>GNK_Q2_10Q</x:v>
      </x:c>
      <x:c r="H16" s="2" t="str">
        <x:v>Income statement</x:v>
      </x:c>
      <x:c r="I16" s="2"/>
      <x:c r="J16" s="2"/>
      <x:c r="K16" s="2"/>
      <x:c r="L16" s="2"/>
      <x:c r="M16" s="2"/>
      <x:c r="N16" s="2"/>
    </x:row>
    <x:row r="17" ht="21" customHeight="1">
      <x:c r="A17" s="2"/>
      <x:c r="B17" s="2"/>
      <x:c r="C17" s="2" t="str">
        <x:v>charter_hire</x:v>
      </x:c>
      <x:c r="D17" s="27" t="n">
        <x:v>6481000</x:v>
      </x:c>
      <x:c r="E17" s="2" t="str">
        <x:v>USD</x:v>
      </x:c>
      <x:c r="F17" s="28" t="n">
        <x:v>46203</x:v>
      </x:c>
      <x:c r="G17" s="2" t="str">
        <x:v>GNK_Q2_10Q</x:v>
      </x:c>
      <x:c r="H17" s="2" t="str">
        <x:v>Income statement</x:v>
      </x:c>
      <x:c r="I17" s="2"/>
      <x:c r="J17" s="2"/>
      <x:c r="K17" s="2"/>
      <x:c r="L17" s="2"/>
      <x:c r="M17" s="2"/>
      <x:c r="N17" s="2"/>
    </x:row>
    <x:row r="18" ht="21" customHeight="1">
      <x:c r="A18" s="2"/>
      <x:c r="B18" s="2"/>
      <x:c r="C18" s="2" t="str">
        <x:v>realized_derivatives</x:v>
      </x:c>
      <x:c r="D18" s="27" t="n">
        <x:v>311000</x:v>
      </x:c>
      <x:c r="E18" s="2" t="str">
        <x:v>USD</x:v>
      </x:c>
      <x:c r="F18" s="28" t="n">
        <x:v>46203</x:v>
      </x:c>
      <x:c r="G18" s="2" t="str">
        <x:v>GNK_Q2_10Q</x:v>
      </x:c>
      <x:c r="H18" s="2" t="str">
        <x:v>Segment reconciliation other income</x:v>
      </x:c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 t="str">
        <x:v>tce_revenue</x:v>
      </x:c>
      <x:c r="D19" s="27" t="n">
        <x:v>164312000</x:v>
      </x:c>
      <x:c r="E19" s="2" t="str">
        <x:v>USD</x:v>
      </x:c>
      <x:c r="F19" s="28" t="n">
        <x:v>46203</x:v>
      </x:c>
      <x:c r="G19" s="2" t="str">
        <x:v>GNK_Q2_10Q</x:v>
      </x:c>
      <x:c r="H19" s="2" t="str">
        <x:v>Segment reconciliation</x:v>
      </x:c>
      <x:c r="I19" s="2"/>
      <x:c r="J19" s="2"/>
      <x:c r="K19" s="2"/>
      <x:c r="L19" s="2"/>
      <x:c r="M19" s="2"/>
      <x:c r="N19" s="2"/>
    </x:row>
    <x:row r="20" ht="21" customHeight="1">
      <x:c r="A20" s="2"/>
      <x:c r="B20" s="2"/>
      <x:c r="C20" s="2" t="str">
        <x:v>reported_tce</x:v>
      </x:c>
      <x:c r="D20" s="27" t="n">
        <x:v>21836</x:v>
      </x:c>
      <x:c r="E20" s="2" t="str">
        <x:v>USD/day</x:v>
      </x:c>
      <x:c r="F20" s="28" t="n">
        <x:v>46203</x:v>
      </x:c>
      <x:c r="G20" s="2" t="str">
        <x:v>GNK_Q2_10Q</x:v>
      </x:c>
      <x:c r="H20" s="2" t="str">
        <x:v>Fleet data</x:v>
      </x:c>
      <x:c r="I20" s="2"/>
      <x:c r="J20" s="2"/>
      <x:c r="K20" s="2"/>
      <x:c r="L20" s="2"/>
      <x:c r="M20" s="2"/>
      <x:c r="N20" s="2"/>
    </x:row>
    <x:row r="21" ht="21" customHeight="1">
      <x:c r="A21" s="2"/>
      <x:c r="B21" s="2"/>
      <x:c r="C21" s="2" t="str">
        <x:v>bunker_gain</x:v>
      </x:c>
      <x:c r="D21" s="27" t="n">
        <x:v>0</x:v>
      </x:c>
      <x:c r="E21" s="2" t="str">
        <x:v>USD</x:v>
      </x:c>
      <x:c r="F21" s="28" t="n">
        <x:v>46203</x:v>
      </x:c>
      <x:c r="G21" s="2" t="str">
        <x:v>GNK_Q2_10Q</x:v>
      </x:c>
      <x:c r="H21" s="2" t="str">
        <x:v>TCE reconciliation</x:v>
      </x:c>
      <x:c r="I21" s="2"/>
      <x:c r="J21" s="2"/>
      <x:c r="K21" s="2"/>
      <x:c r="L21" s="2"/>
      <x:c r="M21" s="2"/>
      <x:c r="N21" s="2"/>
    </x:row>
    <x:row r="22" ht="21" customHeight="1">
      <x:c r="A22" s="2"/>
      <x:c r="B22" s="2"/>
      <x:c r="C22" s="2" t="str">
        <x:v>vessel_opex</x:v>
      </x:c>
      <x:c r="D22" s="27" t="n">
        <x:v>53096000</x:v>
      </x:c>
      <x:c r="E22" s="2" t="str">
        <x:v>USD</x:v>
      </x:c>
      <x:c r="F22" s="28" t="n">
        <x:v>46203</x:v>
      </x:c>
      <x:c r="G22" s="2" t="str">
        <x:v>GNK_Q2_10Q</x:v>
      </x:c>
      <x:c r="H22" s="2" t="str">
        <x:v>Income statement</x:v>
      </x:c>
      <x:c r="I22" s="2"/>
      <x:c r="J22" s="2"/>
      <x:c r="K22" s="2"/>
      <x:c r="L22" s="2"/>
      <x:c r="M22" s="2"/>
      <x:c r="N22" s="2"/>
    </x:row>
    <x:row r="23" ht="21" customHeight="1">
      <x:c r="A23" s="2"/>
      <x:c r="B23" s="2"/>
      <x:c r="C23" s="2" t="str">
        <x:v>management_fees</x:v>
      </x:c>
      <x:c r="D23" s="27" t="n">
        <x:v>1839000</x:v>
      </x:c>
      <x:c r="E23" s="2" t="str">
        <x:v>USD</x:v>
      </x:c>
      <x:c r="F23" s="28" t="n">
        <x:v>46203</x:v>
      </x:c>
      <x:c r="G23" s="2" t="str">
        <x:v>GNK_Q2_10Q</x:v>
      </x:c>
      <x:c r="H23" s="2" t="str">
        <x:v>Income statement</x:v>
      </x:c>
      <x:c r="I23" s="2"/>
      <x:c r="J23" s="2"/>
      <x:c r="K23" s="2"/>
      <x:c r="L23" s="2"/>
      <x:c r="M23" s="2"/>
      <x:c r="N23" s="2"/>
    </x:row>
    <x:row r="24" ht="21" customHeight="1">
      <x:c r="A24" s="2"/>
      <x:c r="B24" s="2"/>
      <x:c r="C24" s="2" t="str">
        <x:v>ga</x:v>
      </x:c>
      <x:c r="D24" s="27" t="n">
        <x:v>16012000</x:v>
      </x:c>
      <x:c r="E24" s="2" t="str">
        <x:v>USD</x:v>
      </x:c>
      <x:c r="F24" s="28" t="n">
        <x:v>46203</x:v>
      </x:c>
      <x:c r="G24" s="2" t="str">
        <x:v>GNK_Q2_10Q</x:v>
      </x:c>
      <x:c r="H24" s="2" t="str">
        <x:v>Income statement</x:v>
      </x:c>
      <x:c r="I24" s="2"/>
      <x:c r="J24" s="2"/>
      <x:c r="K24" s="2"/>
      <x:c r="L24" s="2"/>
      <x:c r="M24" s="2"/>
      <x:c r="N24" s="2"/>
    </x:row>
    <x:row r="25" ht="21" customHeight="1">
      <x:c r="A25" s="2"/>
      <x:c r="B25" s="2"/>
      <x:c r="C25" s="2" t="str">
        <x:v>stock_comp</x:v>
      </x:c>
      <x:c r="D25" s="27" t="n">
        <x:v>4075000</x:v>
      </x:c>
      <x:c r="E25" s="2" t="str">
        <x:v>USD</x:v>
      </x:c>
      <x:c r="F25" s="28" t="n">
        <x:v>46203</x:v>
      </x:c>
      <x:c r="G25" s="2" t="str">
        <x:v>GNK_Q2_10Q</x:v>
      </x:c>
      <x:c r="H25" s="2" t="str">
        <x:v>Cash flow statement</x:v>
      </x:c>
      <x:c r="I25" s="2"/>
      <x:c r="J25" s="2"/>
      <x:c r="K25" s="2"/>
      <x:c r="L25" s="2"/>
      <x:c r="M25" s="2"/>
      <x:c r="N25" s="2"/>
    </x:row>
    <x:row r="26" ht="21" customHeight="1">
      <x:c r="A26" s="2"/>
      <x:c r="B26" s="2"/>
      <x:c r="C26" s="2" t="str">
        <x:v>drydock_expense</x:v>
      </x:c>
      <x:c r="D26" s="27" t="n">
        <x:v>13508000</x:v>
      </x:c>
      <x:c r="E26" s="2" t="str">
        <x:v>USD</x:v>
      </x:c>
      <x:c r="F26" s="28" t="n">
        <x:v>46203</x:v>
      </x:c>
      <x:c r="G26" s="2" t="str">
        <x:v>GNK_Q2_10Q</x:v>
      </x:c>
      <x:c r="H26" s="2" t="str">
        <x:v>Cash flow statement</x:v>
      </x:c>
      <x:c r="I26" s="2"/>
      <x:c r="J26" s="2"/>
      <x:c r="K26" s="2"/>
      <x:c r="L26" s="2"/>
      <x:c r="M26" s="2"/>
      <x:c r="N26" s="2"/>
    </x:row>
    <x:row r="27" ht="21" customHeight="1">
      <x:c r="A27" s="2"/>
      <x:c r="B27" s="2"/>
      <x:c r="C27" s="2" t="str">
        <x:v>cash_from_operations</x:v>
      </x:c>
      <x:c r="D27" s="27" t="n">
        <x:v>48938000</x:v>
      </x:c>
      <x:c r="E27" s="2" t="str">
        <x:v>USD</x:v>
      </x:c>
      <x:c r="F27" s="28" t="n">
        <x:v>46203</x:v>
      </x:c>
      <x:c r="G27" s="2" t="str">
        <x:v>GNK_Q2_10Q</x:v>
      </x:c>
      <x:c r="H27" s="2" t="str">
        <x:v>Cash flow statement</x:v>
      </x:c>
      <x:c r="I27" s="2"/>
      <x:c r="J27" s="2"/>
      <x:c r="K27" s="2"/>
      <x:c r="L27" s="2"/>
      <x:c r="M27" s="2"/>
      <x:c r="N27" s="2"/>
    </x:row>
    <x:row r="28" ht="21" customHeight="1">
      <x:c r="A28" s="2"/>
      <x:c r="B28" s="2"/>
      <x:c r="C28" s="2" t="str">
        <x:v>cash_from_investing</x:v>
      </x:c>
      <x:c r="D28" s="27" t="n">
        <x:v>-122207000</x:v>
      </x:c>
      <x:c r="E28" s="2" t="str">
        <x:v>USD</x:v>
      </x:c>
      <x:c r="F28" s="28" t="n">
        <x:v>46203</x:v>
      </x:c>
      <x:c r="G28" s="2" t="str">
        <x:v>GNK_Q2_10Q</x:v>
      </x:c>
      <x:c r="H28" s="2" t="str">
        <x:v>Cash flow statement</x:v>
      </x:c>
      <x:c r="I28" s="2"/>
      <x:c r="J28" s="2"/>
      <x:c r="K28" s="2"/>
      <x:c r="L28" s="2"/>
      <x:c r="M28" s="2"/>
      <x:c r="N28" s="2"/>
    </x:row>
    <x:row r="29" ht="21" customHeight="1">
      <x:c r="A29" s="2"/>
      <x:c r="B29" s="2"/>
      <x:c r="C29" s="2" t="str">
        <x:v>cash_from_financing</x:v>
      </x:c>
      <x:c r="D29" s="27" t="n">
        <x:v>91316000</x:v>
      </x:c>
      <x:c r="E29" s="2" t="str">
        <x:v>USD</x:v>
      </x:c>
      <x:c r="F29" s="28" t="n">
        <x:v>46203</x:v>
      </x:c>
      <x:c r="G29" s="2" t="str">
        <x:v>GNK_Q2_10Q</x:v>
      </x:c>
      <x:c r="H29" s="2" t="str">
        <x:v>Cash flow statement</x:v>
      </x:c>
      <x:c r="I29" s="2"/>
      <x:c r="J29" s="2"/>
      <x:c r="K29" s="2"/>
      <x:c r="L29" s="2"/>
      <x:c r="M29" s="2"/>
      <x:c r="N29" s="2"/>
    </x:row>
    <x:row r="30" ht="21" customHeight="1">
      <x:c r="A30" s="2"/>
      <x:c r="B30" s="2"/>
      <x:c r="C30" s="2" t="str">
        <x:v>opening_total_cash</x:v>
      </x:c>
      <x:c r="D30" s="27" t="n">
        <x:v>55540000</x:v>
      </x:c>
      <x:c r="E30" s="2" t="str">
        <x:v>USD</x:v>
      </x:c>
      <x:c r="F30" s="28" t="n">
        <x:v>46203</x:v>
      </x:c>
      <x:c r="G30" s="2" t="str">
        <x:v>GNK_Q2_10Q</x:v>
      </x:c>
      <x:c r="H30" s="2" t="str">
        <x:v>Cash flow statement</x:v>
      </x:c>
      <x:c r="I30" s="2"/>
      <x:c r="J30" s="2"/>
      <x:c r="K30" s="2"/>
      <x:c r="L30" s="2"/>
      <x:c r="M30" s="2"/>
      <x:c r="N30" s="2"/>
    </x:row>
    <x:row r="31" ht="21" customHeight="1">
      <x:c r="A31" s="2"/>
      <x:c r="B31" s="2"/>
      <x:c r="C31" s="2" t="str">
        <x:v>closing_total_cash</x:v>
      </x:c>
      <x:c r="D31" s="27" t="n">
        <x:v>73587000</x:v>
      </x:c>
      <x:c r="E31" s="2" t="str">
        <x:v>USD</x:v>
      </x:c>
      <x:c r="F31" s="28" t="n">
        <x:v>46203</x:v>
      </x:c>
      <x:c r="G31" s="2" t="str">
        <x:v>GNK_Q2_10Q</x:v>
      </x:c>
      <x:c r="H31" s="2" t="str">
        <x:v>Cash flow statement</x:v>
      </x:c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 t="str">
        <x:v>newbuilding_commitment</x:v>
      </x:c>
      <x:c r="D32" s="27" t="n">
        <x:v>0</x:v>
      </x:c>
      <x:c r="E32" s="2" t="str">
        <x:v>USD</x:v>
      </x:c>
      <x:c r="F32" s="28" t="n">
        <x:v>46307</x:v>
      </x:c>
      <x:c r="G32" s="2" t="str">
        <x:v>GNK_VOLUNTEER</x:v>
      </x:c>
      <x:c r="H32" s="2" t="str">
        <x:v>Delivery announcement</x:v>
      </x:c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 t="str">
        <x:v>net_fixed_assets</x:v>
      </x:c>
      <x:c r="D33" s="27" t="n">
        <x:v>1049650000</x:v>
      </x:c>
      <x:c r="E33" s="2" t="str">
        <x:v>USD</x:v>
      </x:c>
      <x:c r="F33" s="28" t="n">
        <x:v>46203</x:v>
      </x:c>
      <x:c r="G33" s="2" t="str">
        <x:v>GNK_Q2_10Q</x:v>
      </x:c>
      <x:c r="H33" s="2" t="str">
        <x:v>Balance sheet</x:v>
      </x:c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 t="str">
        <x:v>book_equity</x:v>
      </x:c>
      <x:c r="D34" s="27" t="n">
        <x:v>890257000</x:v>
      </x:c>
      <x:c r="E34" s="2" t="str">
        <x:v>USD</x:v>
      </x:c>
      <x:c r="F34" s="28" t="n">
        <x:v>46203</x:v>
      </x:c>
      <x:c r="G34" s="2" t="str">
        <x:v>GNK_Q2_10Q</x:v>
      </x:c>
      <x:c r="H34" s="2" t="str">
        <x:v>Balance sheet</x:v>
      </x:c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 t="str">
        <x:v>minimum_unrestricted_liquidity</x:v>
      </x:c>
      <x:c r="D35" s="27" t="n">
        <x:v>30000000</x:v>
      </x:c>
      <x:c r="E35" s="2" t="str">
        <x:v>USD</x:v>
      </x:c>
      <x:c r="F35" s="28" t="n">
        <x:v>46203</x:v>
      </x:c>
      <x:c r="G35" s="2" t="str">
        <x:v>GNK_Q2_10Q</x:v>
      </x:c>
      <x:c r="H35" s="2" t="str">
        <x:v>Revolver covenant</x:v>
      </x:c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 t="str">
        <x:v>equity_issued</x:v>
      </x:c>
      <x:c r="D36" s="27" t="n">
        <x:v>0</x:v>
      </x:c>
      <x:c r="E36" s="2" t="str">
        <x:v>shares</x:v>
      </x:c>
      <x:c r="F36" s="28" t="n">
        <x:v>46307</x:v>
      </x:c>
      <x:c r="G36" s="2" t="str">
        <x:v>GNK_Q2_10Q</x:v>
      </x:c>
      <x:c r="H36" s="2" t="str">
        <x:v>Subsequent events</x:v>
      </x:c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 t="str">
        <x:v>equity_proceeds</x:v>
      </x:c>
      <x:c r="D37" s="27" t="n">
        <x:v>0</x:v>
      </x:c>
      <x:c r="E37" s="2" t="str">
        <x:v>USD</x:v>
      </x:c>
      <x:c r="F37" s="28" t="n">
        <x:v>46307</x:v>
      </x:c>
      <x:c r="G37" s="2" t="str">
        <x:v>GNK_Q2_10Q</x:v>
      </x:c>
      <x:c r="H37" s="2" t="str">
        <x:v>Subsequent events</x:v>
      </x:c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 t="str">
        <x:v>subsequent_dividend</x:v>
      </x:c>
      <x:c r="D38" s="27" t="n">
        <x:v>34869284</x:v>
      </x:c>
      <x:c r="E38" s="2" t="str">
        <x:v>USD</x:v>
      </x:c>
      <x:c r="F38" s="28" t="n">
        <x:v>46258</x:v>
      </x:c>
      <x:c r="G38" s="2" t="str">
        <x:v>GNK_Q2_RELEASE</x:v>
      </x:c>
      <x:c r="H38" s="2" t="str">
        <x:v>$0.80 x June shares</x:v>
      </x:c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 t="str">
        <x:v>debt_payments</x:v>
      </x:c>
      <x:c r="D39" s="27" t="n">
        <x:v>-50000000</x:v>
      </x:c>
      <x:c r="E39" s="2" t="str">
        <x:v>USD</x:v>
      </x:c>
      <x:c r="F39" s="28" t="n">
        <x:v>46218</x:v>
      </x:c>
      <x:c r="G39" s="2" t="str">
        <x:v>GNK_Q2_RELEASE</x:v>
      </x:c>
      <x:c r="H39" s="2" t="str">
        <x:v>Fleet renewal section</x:v>
      </x:c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 t="str">
        <x:v>adjusted_debt_carrying</x:v>
      </x:c>
      <x:c r="D40" s="27" t="n">
        <x:v>369508000</x:v>
      </x:c>
      <x:c r="E40" s="2" t="str">
        <x:v>USD</x:v>
      </x:c>
      <x:c r="F40" s="28" t="n">
        <x:v>46218</x:v>
      </x:c>
      <x:c r="G40" s="2" t="str">
        <x:v>GNK_Q2_RELEASE</x:v>
      </x:c>
      <x:c r="H40" s="2" t="str">
        <x:v>June carrying debt plus July draw</x:v>
      </x:c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 t="str">
        <x:v>adjusted_shares</x:v>
      </x:c>
      <x:c r="D41" s="27" t="n">
        <x:v>43586605</x:v>
      </x:c>
      <x:c r="E41" s="2" t="str">
        <x:v>shares</x:v>
      </x:c>
      <x:c r="F41" s="28" t="n">
        <x:v>46307</x:v>
      </x:c>
      <x:c r="G41" s="2" t="str">
        <x:v>GNK_Q2_10Q</x:v>
      </x:c>
      <x:c r="H41" s="2" t="str">
        <x:v>June shares carried forward</x:v>
      </x:c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 t="str">
        <x:v>atm_jefferies</x:v>
      </x:c>
      <x:c r="D42" s="27" t="n">
        <x:v>0</x:v>
      </x:c>
      <x:c r="E42" s="2" t="str">
        <x:v>USD</x:v>
      </x:c>
      <x:c r="F42" s="28" t="n">
        <x:v>46307</x:v>
      </x:c>
      <x:c r="G42" s="2" t="str">
        <x:v>GNK_Q2_10Q</x:v>
      </x:c>
      <x:c r="H42" s="2" t="str">
        <x:v>Not applicable</x:v>
      </x:c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 t="str">
        <x:v>atm_deutsche</x:v>
      </x:c>
      <x:c r="D43" s="27" t="n">
        <x:v>0</x:v>
      </x:c>
      <x:c r="E43" s="2" t="str">
        <x:v>USD</x:v>
      </x:c>
      <x:c r="F43" s="28" t="n">
        <x:v>46307</x:v>
      </x:c>
      <x:c r="G43" s="2" t="str">
        <x:v>GNK_Q2_10Q</x:v>
      </x:c>
      <x:c r="H43" s="2" t="str">
        <x:v>Not applicable</x:v>
      </x:c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 t="str">
        <x:v>share_price</x:v>
      </x:c>
      <x:c r="D44" s="27" t="n">
        <x:v>26.67</x:v>
      </x:c>
      <x:c r="E44" s="2" t="str">
        <x:v>USD/share</x:v>
      </x:c>
      <x:c r="F44" s="28" t="n">
        <x:v>46307</x:v>
      </x:c>
      <x:c r="G44" s="2" t="str">
        <x:v>GNK_PRICE</x:v>
      </x:c>
      <x:c r="H44" s="2" t="str">
        <x:v>Oct 12 historical close</x:v>
      </x:c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 t="str">
        <x:v>operating_working_capital</x:v>
      </x:c>
      <x:c r="D45" s="27" t="n">
        <x:v>16848000</x:v>
      </x:c>
      <x:c r="E45" s="2" t="str">
        <x:v>USD</x:v>
      </x:c>
      <x:c r="F45" s="28" t="n">
        <x:v>46203</x:v>
      </x:c>
      <x:c r="G45" s="2" t="str">
        <x:v>GNK_Q2_10Q</x:v>
      </x:c>
      <x:c r="H45" s="2" t="str">
        <x:v>Balance sheet current accounts</x:v>
      </x:c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 t="str">
        <x:v>atm_capacity</x:v>
      </x:c>
      <x:c r="D46" s="27" t="n">
        <x:v>0</x:v>
      </x:c>
      <x:c r="E46" s="2" t="str">
        <x:v>USD</x:v>
      </x:c>
      <x:c r="F46" s="28" t="n">
        <x:v>46307</x:v>
      </x:c>
      <x:c r="G46" s="2" t="str">
        <x:v>GNK_Q2_10Q</x:v>
      </x:c>
      <x:c r="H46" s="2" t="str">
        <x:v>No modeled ATM</x:v>
      </x:c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A50" s="2"/>
      <x:c r="B50" s="2"/>
      <x:c r="C50" s="30" t="str">
        <x:v>Source register</x:v>
      </x:c>
      <x:c r="D50" s="30"/>
      <x:c r="E50" s="30"/>
      <x:c r="F50" s="30"/>
      <x:c r="G50" s="30"/>
      <x:c r="H50" s="30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 t="str">
        <x:v>GNK_Q2_10Q</x:v>
      </x:c>
      <x:c r="D52" s="2" t="str">
        <x:v>Genco Q2 2026 Form 10-Q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31" t="str">
        <x:v>https://www.sec.gov/Archives/edgar/data/1326200/000110465926091231/gnk-20260630x10q.htm</x:v>
      </x:c>
      <x:c r="D53" s="31"/>
      <x:c r="E53" s="31"/>
      <x:c r="F53" s="31"/>
      <x:c r="G53" s="31"/>
      <x:c r="H53" s="31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 t="str">
        <x:v>GNK_Q2_RELEASE</x:v>
      </x:c>
      <x:c r="D55" s="2" t="str">
        <x:v>Genco Q2 2026 earnings release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31" t="str">
        <x:v>https://investors.gencoshipping.com/news/press-releases/news-details/2026/Genco-Shipping--Trading-Limited-Announces-Q2-2026-Financial-Results/default.aspx</x:v>
      </x:c>
      <x:c r="D56" s="31"/>
      <x:c r="E56" s="31"/>
      <x:c r="F56" s="31"/>
      <x:c r="G56" s="31"/>
      <x:c r="H56" s="31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 t="str">
        <x:v>GNK_VOLUNTEER</x:v>
      </x:c>
      <x:c r="D58" s="2" t="str">
        <x:v>Genco Volunteer delivery announcement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31" t="str">
        <x:v>https://investors.gencoshipping.com/news/press-releases/news-details/2026/Genco-Shipping--Trading-Limited-Announces-Delivery-of-High-Specification-Capesize-Vessel/default.aspx</x:v>
      </x:c>
      <x:c r="D59" s="31"/>
      <x:c r="E59" s="31"/>
      <x:c r="F59" s="31"/>
      <x:c r="G59" s="31"/>
      <x:c r="H59" s="31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 t="str">
        <x:v>GNK_FLEET</x:v>
      </x:c>
      <x:c r="D61" s="2" t="str">
        <x:v>Genco current fleet register</x:v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31" t="str">
        <x:v>https://www.gencoshipping.com/fleet/</x:v>
      </x:c>
      <x:c r="D62" s="31"/>
      <x:c r="E62" s="31"/>
      <x:c r="F62" s="31"/>
      <x:c r="G62" s="31"/>
      <x:c r="H62" s="31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 t="str">
        <x:v>GNK_PRICE</x:v>
      </x:c>
      <x:c r="D64" s="2" t="str">
        <x:v>GNK historical close</x:v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31" t="str">
        <x:v>https://chartexchange.com/symbol/nyse-gnk/historical/</x:v>
      </x:c>
      <x:c r="D65" s="31"/>
      <x:c r="E65" s="31"/>
      <x:c r="F65" s="31"/>
      <x:c r="G65" s="31"/>
      <x:c r="H65" s="31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 t="str">
        <x:v>Source extracts are dated. Broker-anchored fleet value inputs are not current executable sale prices.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mergeCells>
    <x:mergeCell ref="C53:H53"/>
    <x:mergeCell ref="C56:H56"/>
    <x:mergeCell ref="C59:H59"/>
    <x:mergeCell ref="C62:H62"/>
    <x:mergeCell ref="C65:H6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Checks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8" customHeight="1">
      <x:c r="A6" s="2"/>
      <x:c r="B6" s="2"/>
      <x:c r="C6" s="25" t="str">
        <x:v>Reconciliation</x:v>
      </x:c>
      <x:c r="D6" s="25" t="str">
        <x:v>Difference</x:v>
      </x:c>
      <x:c r="E6" s="25" t="str">
        <x:v>Tolerance</x:v>
      </x:c>
      <x:c r="F6" s="25" t="str">
        <x:v>Result</x:v>
      </x:c>
      <x:c r="G6" s="2"/>
      <x:c r="H6" s="2"/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 t="str">
        <x:v>Historical TCE revenue</x:v>
      </x:c>
      <x:c r="D7" s="62" t="n">
        <x:f>'Historical'!D14</x:f>
        <x:v>0</x:v>
      </x:c>
      <x:c r="E7" s="62" t="n">
        <x:v>1</x:v>
      </x:c>
      <x:c r="F7" s="2" t="str">
        <x:f>IF(ABS(D7)&lt;=E7,"PASS","REVIEW")</x:f>
        <x:v>PASS</x:v>
      </x:c>
      <x:c r="G7" s="2"/>
      <x:c r="H7" s="2"/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Historical cash flow</x:v>
      </x:c>
      <x:c r="D8" s="62" t="n">
        <x:f>'Historical'!D35</x:f>
        <x:v>0</x:v>
      </x:c>
      <x:c r="E8" s="62" t="n">
        <x:v>1</x:v>
      </x:c>
      <x:c r="F8" s="2" t="str">
        <x:f>IF(ABS(D8)&lt;=E8,"PASS","REVIEW")</x:f>
        <x:v>PASS</x:v>
      </x:c>
      <x:c r="G8" s="2"/>
      <x:c r="H8" s="2"/>
      <x:c r="I8" s="2"/>
      <x:c r="J8" s="2"/>
      <x:c r="K8" s="2"/>
      <x:c r="L8" s="2"/>
      <x:c r="M8" s="2"/>
      <x:c r="N8" s="2"/>
    </x:row>
    <x:row r="9" ht="21" customHeight="1">
      <x:c r="A9" s="2"/>
      <x:c r="B9" s="2"/>
      <x:c r="C9" s="2" t="str">
        <x:v>Completed share-count bridge</x:v>
      </x:c>
      <x:c r="D9" s="62" t="n">
        <x:f>'NAV'!D27-'Assumptions'!$D$115-'Assumptions'!$D$120/'Sources'!$D$44-'Sources'!$D$41</x:f>
        <x:v>0</x:v>
      </x:c>
      <x:c r="E9" s="62" t="n">
        <x:v>0</x:v>
      </x:c>
      <x:c r="F9" s="2" t="str">
        <x:f>IF(ABS(D9)&lt;=E9,"PASS","REVIEW")</x:f>
        <x:v>PASS</x:v>
      </x:c>
      <x:c r="G9" s="2"/>
      <x:c r="H9" s="2"/>
      <x:c r="I9" s="2"/>
      <x:c r="J9" s="2"/>
      <x:c r="K9" s="2"/>
      <x:c r="L9" s="2"/>
      <x:c r="M9" s="2"/>
      <x:c r="N9" s="2"/>
    </x:row>
    <x:row r="10" ht="21" customHeight="1">
      <x:c r="A10" s="2"/>
      <x:c r="B10" s="2"/>
      <x:c r="C10" s="2" t="str">
        <x:v>Debt carrying-value bridge</x:v>
      </x:c>
      <x:c r="D10" s="62" t="n">
        <x:f>'NAV'!D20-'Sources'!$D$11-'Sources'!$D$40</x:f>
        <x:v>0</x:v>
      </x:c>
      <x:c r="E10" s="62" t="n">
        <x:v>1</x:v>
      </x:c>
      <x:c r="F10" s="2" t="str">
        <x:f>IF(ABS(D10)&lt;=E10,"PASS","REVIEW")</x:f>
        <x:v>PASS</x:v>
      </x:c>
      <x:c r="G10" s="2"/>
      <x:c r="H10" s="2"/>
      <x:c r="I10" s="2"/>
      <x:c r="J10" s="2"/>
      <x:c r="K10" s="2"/>
      <x:c r="L10" s="2"/>
      <x:c r="M10" s="2"/>
      <x:c r="N10" s="2"/>
    </x:row>
    <x:row r="11" ht="21" customHeight="1">
      <x:c r="A11" s="2"/>
      <x:c r="B11" s="2"/>
      <x:c r="C11" s="2" t="str">
        <x:v>Debt schedule ties to gross debt</x:v>
      </x:c>
      <x:c r="D11" s="62" t="n">
        <x:f>SUM('Debt'!D31:D31)-'NAV'!D20</x:f>
        <x:v>0</x:v>
      </x:c>
      <x:c r="E11" s="62" t="n">
        <x:v>1</x:v>
      </x:c>
      <x:c r="F11" s="2" t="str">
        <x:f>IF(ABS(D11)&lt;=E11,"PASS","REVIEW")</x:f>
        <x:v>PASS</x:v>
      </x:c>
      <x:c r="G11" s="2"/>
      <x:c r="H11" s="2"/>
      <x:c r="I11" s="2"/>
      <x:c r="J11" s="2"/>
      <x:c r="K11" s="2"/>
      <x:c r="L11" s="2"/>
      <x:c r="M11" s="2"/>
      <x:c r="N11" s="2"/>
    </x:row>
    <x:row r="12" ht="21" customHeight="1">
      <x:c r="A12" s="2"/>
      <x:c r="B12" s="2"/>
      <x:c r="C12" s="2" t="str">
        <x:v>All newbuild capex forecast once</x:v>
      </x:c>
      <x:c r="D12" s="62" t="n">
        <x:f>SUM('Cash Flow'!E90:AQ90)-'NAV'!D22</x:f>
        <x:v>0</x:v>
      </x:c>
      <x:c r="E12" s="62" t="n">
        <x:v>1</x:v>
      </x:c>
      <x:c r="F12" s="2" t="str">
        <x:f>IF(ABS(D12)&lt;=E12,"PASS","REVIEW")</x:f>
        <x:v>PASS</x:v>
      </x:c>
      <x:c r="G12" s="2"/>
      <x:c r="H12" s="2"/>
      <x:c r="I12" s="2"/>
      <x:c r="J12" s="2"/>
      <x:c r="K12" s="2"/>
      <x:c r="L12" s="2"/>
      <x:c r="M12" s="2"/>
      <x:c r="N12" s="2"/>
    </x:row>
    <x:row r="13" ht="21" customHeight="1">
      <x:c r="A13" s="2"/>
      <x:c r="B13" s="2"/>
      <x:c r="C13" s="2" t="str">
        <x:v>Debt fully repaid</x:v>
      </x:c>
      <x:c r="D13" s="62" t="n">
        <x:f>'Debt'!AQ14</x:f>
        <x:v>0</x:v>
      </x:c>
      <x:c r="E13" s="62" t="n">
        <x:v>1</x:v>
      </x:c>
      <x:c r="F13" s="2" t="str">
        <x:f>IF(ABS(D13)&lt;=E13,"PASS","REVIEW")</x:f>
        <x:v>PASS</x:v>
      </x:c>
      <x:c r="G13" s="2"/>
      <x:c r="H13" s="2"/>
      <x:c r="I13" s="2"/>
      <x:c r="J13" s="2"/>
      <x:c r="K13" s="2"/>
      <x:c r="L13" s="2"/>
      <x:c r="M13" s="2"/>
      <x:c r="N13" s="2"/>
    </x:row>
    <x:row r="14" ht="21" customHeight="1">
      <x:c r="A14" s="2"/>
      <x:c r="B14" s="2"/>
      <x:c r="C14" s="2" t="str">
        <x:v>Fleet fully retired</x:v>
      </x:c>
      <x:c r="D14" s="62" t="n">
        <x:f>'Cash Flow'!AQ80</x:f>
        <x:v>0</x:v>
      </x:c>
      <x:c r="E14" s="62" t="n">
        <x:v>0</x:v>
      </x:c>
      <x:c r="F14" s="2" t="str">
        <x:f>IF(ABS(D14)&lt;=E14,"PASS","REVIEW")</x:f>
        <x:v>PASS</x:v>
      </x:c>
      <x:c r="G14" s="2"/>
      <x:c r="H14" s="2"/>
      <x:c r="I14" s="2"/>
      <x:c r="J14" s="2"/>
      <x:c r="K14" s="2"/>
      <x:c r="L14" s="2"/>
      <x:c r="M14" s="2"/>
      <x:c r="N14" s="2"/>
    </x:row>
    <x:row r="15" ht="21" customHeight="1">
      <x:c r="A15" s="2"/>
      <x:c r="B15" s="2"/>
      <x:c r="C15" s="2" t="str">
        <x:v>Reverse valuation residual</x:v>
      </x:c>
      <x:c r="D15" s="62" t="n">
        <x:f>'Summary'!D31</x:f>
        <x:v>7.105427357601002e-15</x:v>
      </x:c>
      <x:c r="E15" s="62" t="n">
        <x:v>0.000001</x:v>
      </x:c>
      <x:c r="F15" s="2" t="str">
        <x:f>IF(ABS(D15)&lt;=E15,"PASS","REVIEW")</x:f>
        <x:v>PASS</x:v>
      </x:c>
      <x:c r="G15" s="2"/>
      <x:c r="H15" s="2"/>
      <x:c r="I15" s="2"/>
      <x:c r="J15" s="2"/>
      <x:c r="K15" s="2"/>
      <x:c r="L15" s="2"/>
      <x:c r="M15" s="2"/>
      <x:c r="N15" s="2"/>
    </x:row>
    <x:row r="16" ht="21" customHeight="1">
      <x:c r="A16" s="2"/>
      <x:c r="B16" s="2"/>
      <x:c r="C16" s="2" t="str">
        <x:v>Operating fleet DWT vs prospectus</x:v>
      </x:c>
      <x:c r="D16" s="62" t="n">
        <x:f>SUMIFS('Fleet'!E7:E50,'Fleet'!G7:G50,"&lt;="&amp;'Summary'!D6)-5117000</x:f>
        <x:v>-1282</x:v>
      </x:c>
      <x:c r="E16" s="62" t="n">
        <x:v>0</x:v>
      </x:c>
      <x:c r="F16" s="2" t="str">
        <x:f>IF(ABS(D16)&lt;=E16,"PASS","REVIEW")</x:f>
        <x:v>REVIEW</x:v>
      </x:c>
      <x:c r="G16" s="2"/>
      <x:c r="H16" s="2"/>
      <x:c r="I16" s="2"/>
      <x:c r="J16" s="2"/>
      <x:c r="K16" s="2"/>
      <x:c r="L16" s="2"/>
      <x:c r="M16" s="2"/>
      <x:c r="N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1" customHeight="1">
      <x:c r="A20" s="2"/>
      <x:c r="B20" s="2"/>
      <x:c r="C20" s="2" t="str">
        <x:v>August 12 company release says 43 vessels and 4.935m DWT, while the company fleet list and Q2 pro-forma counts imply 44 vessels and about 5.117m DWT after Genco Volunteer. The model uses the named 44-vessel register and flags the conflict.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1" customHeight="1">
      <x:c r="A21" s="2"/>
      <x:c r="B21" s="2"/>
      <x:c r="C21" s="2" t="str">
        <x:v>Aggregate broker value is reverse-engineered as (330.0m debt - 73.587m cash) / 18%, then allocated to the 43 June vessels in proportion to disclosed carrying value.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1" customHeight="1">
      <x:c r="A22" s="2"/>
      <x:c r="B22" s="2"/>
      <x:c r="C22" s="2" t="str">
        <x:v>PASS means arithmetic reconciles. It does not validate assumptions or investment suitability.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conditionalFormatting sqref="F7:F16">
    <x:cfRule type="containsText" dxfId="1" priority="1" operator="containsText" text="REVIEW"/>
  </x:conditionalFormatting>
  <x:pageMargins left="0.7" right="0.7" top="0.75" bottom="0.75" header="0.3" footer="0.3"/>
</x:worksheet>
</file>