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a08ad5c6a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9ebbeb3eaf4456"/>
    <x:sheet xmlns:r="http://schemas.openxmlformats.org/officeDocument/2006/relationships" name="Assumptions" sheetId="2" r:id="R6ad2c70af04d4ca5"/>
    <x:sheet xmlns:r="http://schemas.openxmlformats.org/officeDocument/2006/relationships" name="NAV" sheetId="3" r:id="R0bc681d3ecb5424e"/>
    <x:sheet xmlns:r="http://schemas.openxmlformats.org/officeDocument/2006/relationships" name="Cash Flow" sheetId="4" r:id="R359af54c5c024a45"/>
    <x:sheet xmlns:r="http://schemas.openxmlformats.org/officeDocument/2006/relationships" name="Debt" sheetId="5" r:id="Rc559cf0c84f14399"/>
    <x:sheet xmlns:r="http://schemas.openxmlformats.org/officeDocument/2006/relationships" name="Fleet" sheetId="6" r:id="R4ebf1c04e0874f97"/>
    <x:sheet xmlns:r="http://schemas.openxmlformats.org/officeDocument/2006/relationships" name="Days" sheetId="7" r:id="Rf8f52e7156d64f14"/>
    <x:sheet xmlns:r="http://schemas.openxmlformats.org/officeDocument/2006/relationships" name="Historical" sheetId="8" r:id="R74fd43223f8844be"/>
    <x:sheet xmlns:r="http://schemas.openxmlformats.org/officeDocument/2006/relationships" name="Sources" sheetId="9" r:id="R19a92ae2bbcd4b7e"/>
    <x:sheet xmlns:r="http://schemas.openxmlformats.org/officeDocument/2006/relationships" name="Checks" sheetId="10" r:id="Rc7d97619fd8649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.0%;(0.0%);&quot;–&quot;"/>
    <x:numFmt numFmtId="201" formatCode="#,##0;(#,##0);&quot;–&quot;"/>
    <x:numFmt numFmtId="202" formatCode="0.00x"/>
    <x:numFmt numFmtId="203" formatCode="#,##0.00;(#,##0.00);&quot;–&quot;"/>
    <x:numFmt numFmtId="204" formatCode="dd-mmm-yy"/>
    <x:numFmt numFmtId="205" formatCode="#,##0.0,,;(#,##0.0,,);&quot;–&quot;"/>
    <x:numFmt numFmtId="206" formatCode="$0.00;($0.00);&quot;–&quot;"/>
    <x:numFmt numFmtId="207" formatCode="0.000x"/>
    <x:numFmt numFmtId="208" formatCode="#,##0.0"/>
    <x:numFmt numFmtId="209" formatCode="dd-mmm-yyyy"/>
    <x:numFmt numFmtId="210" formatCode="0.000000"/>
    <x:numFmt numFmtId="211" formatCode=";;;"/>
    <x:numFmt numFmtId="212" formatCode="0.00"/>
  </x:numFmts>
  <x:fonts count="12">
    <x:font>
      <x:sz val="11"/>
      <x:name val="Carlito"/>
    </x:font>
    <x:font>
      <x:sz val="10"/>
      <x:color rgb="FF142C46"/>
      <x:name val="Arial"/>
    </x:font>
    <x:font>
      <x:b/>
      <x:sz val="16"/>
      <x:color rgb="FF142C46"/>
      <x:name val="Arial"/>
    </x:font>
    <x:font>
      <x:sz val="10"/>
      <x:color rgb="FF18734A"/>
      <x:name val="Arial"/>
    </x:font>
    <x:font>
      <x:sz val="10"/>
      <x:color rgb="FF20252B"/>
      <x:name val="Arial"/>
    </x:font>
    <x:font>
      <x:sz val="10"/>
      <x:color rgb="FF627185"/>
      <x:name val="Arial"/>
    </x:font>
    <x:font>
      <x:b/>
      <x:sz val="10"/>
      <x:color rgb="FF142C46"/>
      <x:name val="Arial"/>
    </x:font>
    <x:font>
      <x:b/>
      <x:sz val="10"/>
      <x:color rgb="FF20252B"/>
      <x:name val="Arial"/>
    </x:font>
    <x:font>
      <x:sz val="10"/>
      <x:color rgb="FF1748A0"/>
      <x:name val="Arial"/>
    </x:font>
    <x:font>
      <x:b/>
      <x:sz val="10"/>
      <x:color rgb="FFFFFFFF"/>
      <x:name val="Arial"/>
    </x:font>
    <x:font>
      <x:sz val="9"/>
      <x:color rgb="FF627185"/>
      <x:name val="Arial"/>
    </x:font>
    <x:font>
      <x:b/>
      <x:sz val="10"/>
      <x:color rgb="FF1748A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6DF"/>
      </x:patternFill>
    </x:fill>
    <x:fill>
      <x:patternFill patternType="solid">
        <x:fgColor rgb="FF142C46"/>
      </x:patternFill>
    </x:fill>
    <x:fill>
      <x:patternFill patternType="solid">
        <x:fgColor rgb="FFEAF0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42C46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1" fontId="7" fillId="2" borderId="0" xfId="0" applyNumberFormat="1" applyFont="1" applyFill="1" applyBorder="1" applyAlignment="1">
      <x:alignment vertical="center"/>
    </x:xf>
    <x:xf numFmtId="201" fontId="8" fillId="3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202" fontId="7" fillId="2" borderId="0" xfId="0" applyNumberFormat="1" applyFont="1" applyFill="1" applyBorder="1" applyAlignment="1">
      <x:alignment vertical="center"/>
    </x:xf>
    <x:xf numFmtId="202" fontId="8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208" fontId="4" fillId="0" borderId="0" xfId="0" applyNumberFormat="1" applyFont="1" applyFill="1" applyBorder="1" applyAlignment="1">
      <x:alignment vertical="center"/>
    </x:xf>
    <x:xf numFmtId="205" fontId="4" fillId="5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10" fontId="3" fillId="0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5" fontId="6" fillId="5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211" fontId="3" fillId="0" borderId="0" xfId="0" applyNumberFormat="1" applyFont="1" applyFill="1" applyBorder="1" applyAlignment="1">
      <x:alignment vertical="center"/>
    </x:xf>
    <x:xf numFmtId="212" fontId="3" fillId="0" borderId="0" xfId="0" applyNumberFormat="1" applyFont="1" applyFill="1" applyBorder="1" applyAlignment="1">
      <x:alignment vertical="center"/>
    </x:xf>
    <x:xf numFmtId="21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12921"/>
      </x:font>
      <x:fill>
        <x:patternFill patternType="solid">
          <x:bgColor rgb="FFFDE9E5"/>
        </x:patternFill>
      </x:fill>
    </x:dxf>
    <x:dxf>
      <x:font>
        <x:b/>
        <x:color rgb="FFA12921"/>
      </x:font>
      <x:fill>
        <x:patternFill patternType="solid">
          <x:bgColor rgb="FFFDE9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5a540e7e34c42" /><Relationship Type="http://schemas.openxmlformats.org/officeDocument/2006/relationships/theme" Target="/xl/theme/theme1.xml" Id="R378c83ea33b94ab6" /><Relationship Type="http://schemas.openxmlformats.org/officeDocument/2006/relationships/sharedStrings" Target="/xl/sharedStrings.xml" Id="R747d9da702e44700" /><Relationship Type="http://schemas.openxmlformats.org/officeDocument/2006/relationships/worksheet" Target="/xl/worksheets/sheet1.xml" Id="Re29ebbeb3eaf4456" /><Relationship Type="http://schemas.openxmlformats.org/officeDocument/2006/relationships/worksheet" Target="/xl/worksheets/sheet2.xml" Id="R6ad2c70af04d4ca5" /><Relationship Type="http://schemas.openxmlformats.org/officeDocument/2006/relationships/worksheet" Target="/xl/worksheets/sheet3.xml" Id="R0bc681d3ecb5424e" /><Relationship Type="http://schemas.openxmlformats.org/officeDocument/2006/relationships/worksheet" Target="/xl/worksheets/sheet4.xml" Id="R359af54c5c024a45" /><Relationship Type="http://schemas.openxmlformats.org/officeDocument/2006/relationships/worksheet" Target="/xl/worksheets/sheet5.xml" Id="Rc559cf0c84f14399" /><Relationship Type="http://schemas.openxmlformats.org/officeDocument/2006/relationships/worksheet" Target="/xl/worksheets/sheet6.xml" Id="R4ebf1c04e0874f97" /><Relationship Type="http://schemas.openxmlformats.org/officeDocument/2006/relationships/worksheet" Target="/xl/worksheets/sheet7.xml" Id="Rf8f52e7156d64f14" /><Relationship Type="http://schemas.openxmlformats.org/officeDocument/2006/relationships/worksheet" Target="/xl/worksheets/sheet8.xml" Id="R74fd43223f8844be" /><Relationship Type="http://schemas.openxmlformats.org/officeDocument/2006/relationships/worksheet" Target="/xl/worksheets/sheet9.xml" Id="R19a92ae2bbcd4b7e" /><Relationship Type="http://schemas.openxmlformats.org/officeDocument/2006/relationships/worksheet" Target="/xl/worksheets/sheet10.xml" Id="Rc7d97619fd8649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0ce28eb5624b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Quarterly unlevered cash flow (USD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Free cash flow (USD m)</c:v>
          </c:tx>
          <c:spPr>
            <a:solidFill xmlns:a="http://schemas.openxmlformats.org/drawingml/2006/main">
              <a:srgbClr val="537598"/>
            </a:solidFill>
          </c:spPr>
          <c:cat>
            <c:strRef>
              <c:f>'Summary'!$F$44:$F$55</c:f>
              <c:strCache>
                <c:ptCount val="0"/>
              </c:strCache>
            </c:strRef>
          </c:cat>
          <c:val>
            <c:numRef>
              <c:f>'Summary'!$G$44:$G$55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42</xdr:row>
      <xdr:rowOff>0</xdr:rowOff>
    </xdr:from>
    <xdr:to>
      <xdr:col>18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0ce28eb5624b0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e98e76377a4ff0" /></Relationships>
</file>

<file path=xl/worksheets/sheet1.xml><?xml version="1.0" encoding="utf-8"?>
<x:worksheet xmlns:x="http://schemas.openxmlformats.org/spreadsheetml/2006/main">
  <x:sheetPr>
    <x:tabColor rgb="FF142C46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1" customHeight="1">
      <x:c r="A2" s="2"/>
      <x:c r="B2" s="2"/>
      <x:c r="C2" s="3" t="str">
        <x:v>Star Bulk Carriers valuation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1" customHeight="1">
      <x:c r="A6" s="2"/>
      <x:c r="B6" s="2"/>
      <x:c r="C6" s="2" t="str">
        <x:v>Information cutoff</x:v>
      </x:c>
      <x:c r="D6" s="49" t="n">
        <x:v>46304</x:v>
      </x:c>
      <x:c r="E6" s="2"/>
      <x:c r="F6" s="2" t="str">
        <x:v>USD. Market close: 2026-10-09.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5" customHeight="1">
      <x:c r="A8" s="2"/>
      <x:c r="B8" s="2"/>
      <x:c r="C8" s="30" t="str">
        <x:v>What is the fleet worth?</x:v>
      </x:c>
      <x:c r="D8" s="30"/>
      <x:c r="E8" s="30"/>
      <x:c r="F8" s="30"/>
      <x:c r="G8" s="30"/>
      <x:c r="H8" s="30"/>
      <x:c r="I8" s="30"/>
      <x:c r="J8" s="30"/>
      <x:c r="K8" s="2"/>
      <x:c r="L8" s="2"/>
      <x:c r="M8" s="2"/>
      <x:c r="N8" s="2"/>
      <x:c r="O8" s="2"/>
      <x:c r="P8" s="2"/>
      <x:c r="Q8" s="2"/>
      <x:c r="R8" s="2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1" customHeight="1">
      <x:c r="A10" s="2"/>
      <x:c r="B10" s="2"/>
      <x:c r="C10" s="2" t="str">
        <x:v>Market price</x:v>
      </x:c>
      <x:c r="D10" s="54" t="n">
        <x:f>'NAV'!D29</x:f>
        <x:v>29.7</x:v>
      </x:c>
      <x:c r="E10" s="2"/>
      <x:c r="F10" s="2" t="str">
        <x:v>Edit the blue cells in Assumptions. Keep reported history unchanged.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1" customHeight="1">
      <x:c r="A11" s="2"/>
      <x:c r="B11" s="2"/>
      <x:c r="C11" s="2" t="str">
        <x:v>Asset NAV per share</x:v>
      </x:c>
      <x:c r="D11" s="54" t="n">
        <x:f>'NAV'!D28</x:f>
        <x:v>32.98783732969295</x:v>
      </x:c>
      <x:c r="E11" s="2"/>
      <x:c r="F11" s="2" t="str">
        <x:v>Dated appraisals with the selected asset-value adjustment.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1" customHeight="1">
      <x:c r="A12" s="2"/>
      <x:c r="B12" s="2"/>
      <x:c r="C12" s="2" t="str">
        <x:v>Price / asset NAV</x:v>
      </x:c>
      <x:c r="D12" s="55" t="n">
        <x:f>'NAV'!D30</x:f>
        <x:v>0.9003318314919205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5" customHeight="1">
      <x:c r="A14" s="2"/>
      <x:c r="B14" s="2"/>
      <x:c r="C14" s="30" t="str">
        <x:v>What do remaining cash flows support? (USD millions)</x:v>
      </x:c>
      <x:c r="D14" s="30"/>
      <x:c r="E14" s="30"/>
      <x:c r="F14" s="30"/>
      <x:c r="G14" s="30"/>
      <x:c r="H14" s="30"/>
      <x:c r="I14" s="30"/>
      <x:c r="J14" s="30"/>
      <x:c r="K14" s="2"/>
      <x:c r="L14" s="2"/>
      <x:c r="M14" s="2"/>
      <x:c r="N14" s="2"/>
      <x:c r="O14" s="2"/>
      <x:c r="P14" s="2"/>
      <x:c r="Q14" s="2"/>
      <x:c r="R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1" customHeight="1">
      <x:c r="A16" s="2"/>
      <x:c r="B16" s="2"/>
      <x:c r="C16" s="2" t="str">
        <x:v>Operating enterprise value</x:v>
      </x:c>
      <x:c r="D16" s="38" t="n">
        <x:f>SUM('Cash Flow'!E96:AQ96)</x:f>
        <x:v>3510070329.6411695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1" customHeight="1">
      <x:c r="A17" s="2"/>
      <x:c r="B17" s="2"/>
      <x:c r="C17" s="2" t="str">
        <x:v>Cash less debt and other claims</x:v>
      </x:c>
      <x:c r="D17" s="38" t="n">
        <x:f>'NAV'!D17-'NAV'!D20-'NAV'!D21</x:f>
        <x:v>-427930000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1" customHeight="1">
      <x:c r="A18" s="2"/>
      <x:c r="B18" s="2"/>
      <x:c r="C18" s="2" t="str">
        <x:v>DCF equity value</x:v>
      </x:c>
      <x:c r="D18" s="38" t="n">
        <x:f>SUM(D16:D17)</x:f>
        <x:v>3082140329.6411695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1" customHeight="1">
      <x:c r="A19" s="2"/>
      <x:c r="B19" s="2"/>
      <x:c r="C19" s="2" t="str">
        <x:v>DCF equity per share</x:v>
      </x:c>
      <x:c r="D19" s="54" t="n">
        <x:f>D18/'NAV'!D27</x:f>
        <x:v>26.55383411757631</x:v>
      </x:c>
      <x:c r="E19" s="2"/>
      <x:c r="F19" s="2" t="str">
        <x:v>Finite fleet life. No perpetual growth or unfinanced replacement fleet.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5" customHeight="1">
      <x:c r="A21" s="2"/>
      <x:c r="B21" s="2"/>
      <x:c r="C21" s="30" t="str">
        <x:v>What cash can the business generate? (USD millions)</x:v>
      </x:c>
      <x:c r="D21" s="30"/>
      <x:c r="E21" s="30"/>
      <x:c r="F21" s="30"/>
      <x:c r="G21" s="30"/>
      <x:c r="H21" s="30"/>
      <x:c r="I21" s="30"/>
      <x:c r="J21" s="30"/>
      <x:c r="K21" s="2"/>
      <x:c r="L21" s="2"/>
      <x:c r="M21" s="2"/>
      <x:c r="N21" s="2"/>
      <x:c r="O21" s="2"/>
      <x:c r="P21" s="2"/>
      <x:c r="Q21" s="2"/>
      <x:c r="R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1" customHeight="1">
      <x:c r="A23" s="2"/>
      <x:c r="B23" s="2"/>
      <x:c r="C23" s="2" t="str">
        <x:v>2027 TCE cash revenue</x:v>
      </x:c>
      <x:c r="D23" s="38" t="n">
        <x:f>SUM('Cash Flow'!F82,'Cash Flow'!G82,'Cash Flow'!H82,'Cash Flow'!I82)</x:f>
        <x:v>893209524.6036334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1" customHeight="1">
      <x:c r="A24" s="2"/>
      <x:c r="B24" s="2"/>
      <x:c r="C24" s="2" t="str">
        <x:v>2027 unlevered free cash flow</x:v>
      </x:c>
      <x:c r="D24" s="38" t="n">
        <x:f>SUM('Cash Flow'!F94,'Cash Flow'!G94,'Cash Flow'!H94,'Cash Flow'!I94)</x:f>
        <x:v>442510049.3999021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1" customHeight="1">
      <x:c r="A25" s="2"/>
      <x:c r="B25" s="2"/>
      <x:c r="C25" s="2" t="str">
        <x:v>2027 cash after financing</x:v>
      </x:c>
      <x:c r="D25" s="38" t="n">
        <x:f>SUM('Debt'!F18,'Debt'!G18,'Debt'!H18,'Debt'!I18)</x:f>
        <x:v>249540605.180724</x:v>
      </x:c>
      <x:c r="E25" s="2"/>
      <x:c r="F25" s="2" t="str">
        <x:v>Debt maturity timing is estimated; excludes future dividends and refinancing.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1" customHeight="1">
      <x:c r="A26" s="2"/>
      <x:c r="B26" s="2"/>
      <x:c r="C26" s="2"/>
      <x:c r="D26" s="38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5" customHeight="1">
      <x:c r="A27" s="2"/>
      <x:c r="B27" s="2"/>
      <x:c r="C27" s="30" t="str">
        <x:v>What open freight rates justify the share price?</x:v>
      </x:c>
      <x:c r="D27" s="53"/>
      <x:c r="E27" s="30"/>
      <x:c r="F27" s="30"/>
      <x:c r="G27" s="30"/>
      <x:c r="H27" s="30"/>
      <x:c r="I27" s="30"/>
      <x:c r="J27" s="30"/>
      <x:c r="K27" s="2"/>
      <x:c r="L27" s="2"/>
      <x:c r="M27" s="2"/>
      <x:c r="N27" s="2"/>
      <x:c r="O27" s="2"/>
      <x:c r="P27" s="2"/>
      <x:c r="Q27" s="2"/>
      <x:c r="R27" s="2"/>
    </x:row>
    <x:row r="28" ht="21" customHeight="1">
      <x:c r="A28" s="2"/>
      <x:c r="B28" s="2"/>
      <x:c r="C28" s="2"/>
      <x:c r="D28" s="38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1" customHeight="1">
      <x:c r="A29" s="2"/>
      <x:c r="B29" s="2"/>
      <x:c r="C29" s="2" t="str">
        <x:v>PV sensitivity to unit rate change</x:v>
      </x:c>
      <x:c r="D29" s="38" t="n">
        <x:f>SUM('Cash Flow'!E104:AQ104)</x:f>
        <x:v>6582835200.561343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1" customHeight="1">
      <x:c r="A30" s="2"/>
      <x:c r="B30" s="2"/>
      <x:c r="C30" s="2" t="str">
        <x:v>Implied open-rate multiplier</x:v>
      </x:c>
      <x:c r="D30" s="55" t="n">
        <x:f>IF(D29=0,NA(),('NAV'!D29*'NAV'!D27-D17-D16+D29*'Assumptions'!D6)/D29)</x:f>
        <x:v>1.0554745521394322</x:v>
      </x:c>
      <x:c r="E30" s="2"/>
      <x:c r="F30" s="2" t="str">
        <x:v>Solves one common class-rate multiplier, with every other input held fixed.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1" customHeight="1">
      <x:c r="A31" s="2"/>
      <x:c r="B31" s="2"/>
      <x:c r="C31" s="2" t="str">
        <x:v>DCF repricing residual</x:v>
      </x:c>
      <x:c r="D31" s="56" t="n">
        <x:f>(D16-D29*'Assumptions'!D6+D29*D30+D17)/'NAV'!D27-'NAV'!D29</x:f>
        <x:v>0</x:v>
      </x:c>
      <x:c r="E31" s="2"/>
      <x:c r="F31" s="2" t="str">
        <x:v>Zero confirms the affine repricing identity; Python also solves by bisection.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1" customHeight="1">
      <x:c r="A34" s="2"/>
      <x:c r="B34" s="2"/>
      <x:c r="C34" s="2" t="str">
        <x:v>Operating vessels</x:v>
      </x:c>
      <x:c r="D34" s="2" t="n">
        <x:f>COUNTIFS('Fleet'!G7:G144,"&lt;="&amp;D6)</x:f>
        <x:v>135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1" customHeight="1">
      <x:c r="A35" s="2"/>
      <x:c r="B35" s="2"/>
      <x:c r="C35" s="2" t="str">
        <x:v>Committed newbuilds</x:v>
      </x:c>
      <x:c r="D35" s="2" t="n">
        <x:f>COUNTIFS('Fleet'!G7:G144,"&gt;"&amp;D6)</x:f>
        <x:v>3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1" customHeight="1">
      <x:c r="A38" s="2"/>
      <x:c r="B38" s="2"/>
      <x:c r="C38" s="8" t="str">
        <x:v>Research view: conditional valuation, not a final stock recommendation.</x:v>
      </x:c>
      <x:c r="D38" s="8"/>
      <x:c r="E38" s="8"/>
      <x:c r="F38" s="8"/>
      <x:c r="G38" s="8"/>
      <x:c r="H38" s="8"/>
      <x:c r="I38" s="8"/>
      <x:c r="J38" s="8"/>
      <x:c r="K38" s="2"/>
      <x:c r="L38" s="2"/>
      <x:c r="M38" s="2"/>
      <x:c r="N38" s="2"/>
      <x:c r="O38" s="2"/>
      <x:c r="P38" s="2"/>
      <x:c r="Q38" s="2"/>
      <x:c r="R38" s="2"/>
    </x:row>
    <x:row r="39" ht="21" customHeight="1">
      <x:c r="A39" s="2"/>
      <x:c r="B39" s="2"/>
      <x:c r="C39" s="8" t="str">
        <x:v>Cash bridge, charter coverage, remaining newbuild payments and appraisal updates require review.</x:v>
      </x:c>
      <x:c r="D39" s="8"/>
      <x:c r="E39" s="8"/>
      <x:c r="F39" s="8"/>
      <x:c r="G39" s="8"/>
      <x:c r="H39" s="8"/>
      <x:c r="I39" s="8"/>
      <x:c r="J39" s="8"/>
      <x:c r="K39" s="2"/>
      <x:c r="L39" s="2"/>
      <x:c r="M39" s="2"/>
      <x:c r="N39" s="2"/>
      <x:c r="O39" s="2"/>
      <x:c r="P39" s="2"/>
      <x:c r="Q39" s="2"/>
      <x:c r="R39" s="2"/>
    </x:row>
    <x:row r="40" ht="21" customHeight="1">
      <x:c r="A40" s="2"/>
      <x:c r="B40" s="2"/>
      <x:c r="C40" s="8" t="str">
        <x:v>Forecast rates are explicit scenarios. The workbook does not contain a licensed freight curve.</x:v>
      </x:c>
      <x:c r="D40" s="8"/>
      <x:c r="E40" s="8"/>
      <x:c r="F40" s="8"/>
      <x:c r="G40" s="8"/>
      <x:c r="H40" s="8"/>
      <x:c r="I40" s="8"/>
      <x:c r="J40" s="8"/>
      <x:c r="K40" s="2"/>
      <x:c r="L40" s="2"/>
      <x:c r="M40" s="2"/>
      <x:c r="N40" s="2"/>
      <x:c r="O40" s="2"/>
      <x:c r="P40" s="2"/>
      <x:c r="Q40" s="2"/>
      <x:c r="R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8" customHeight="1">
      <x:c r="A43" s="2"/>
      <x:c r="B43" s="2"/>
      <x:c r="C43" s="2"/>
      <x:c r="D43" s="2"/>
      <x:c r="E43" s="2"/>
      <x:c r="F43" s="25" t="str">
        <x:v>Period</x:v>
      </x:c>
      <x:c r="G43" s="25" t="str">
        <x:v>Free cash flow (USD m)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1" customHeight="1">
      <x:c r="A44" s="2"/>
      <x:c r="B44" s="2"/>
      <x:c r="C44" s="2"/>
      <x:c r="D44" s="2"/>
      <x:c r="E44" s="2"/>
      <x:c r="F44" s="2" t="str">
        <x:v>Q4:26 stub</x:v>
      </x:c>
      <x:c r="G44" s="5" t="n">
        <x:f>'Cash Flow'!E94/1000000</x:f>
        <x:v>8.051548906688229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1" customHeight="1">
      <x:c r="A45" s="2"/>
      <x:c r="B45" s="2"/>
      <x:c r="C45" s="2"/>
      <x:c r="D45" s="2"/>
      <x:c r="E45" s="2"/>
      <x:c r="F45" s="2" t="str">
        <x:v>Q1:27</x:v>
      </x:c>
      <x:c r="G45" s="5" t="n">
        <x:f>'Cash Flow'!F94/1000000</x:f>
        <x:v>107.64393126295498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1" customHeight="1">
      <x:c r="A46" s="2"/>
      <x:c r="B46" s="2"/>
      <x:c r="C46" s="2"/>
      <x:c r="D46" s="2"/>
      <x:c r="E46" s="2"/>
      <x:c r="F46" s="2" t="str">
        <x:v>Q2:27</x:v>
      </x:c>
      <x:c r="G46" s="5" t="n">
        <x:f>'Cash Flow'!G94/1000000</x:f>
        <x:v>110.25802406381887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1" customHeight="1">
      <x:c r="A47" s="2"/>
      <x:c r="B47" s="2"/>
      <x:c r="C47" s="2"/>
      <x:c r="D47" s="2"/>
      <x:c r="E47" s="2"/>
      <x:c r="F47" s="2" t="str">
        <x:v>Q3:27</x:v>
      </x:c>
      <x:c r="G47" s="5" t="n">
        <x:f>'Cash Flow'!H94/1000000</x:f>
        <x:v>112.02437907325924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1" customHeight="1">
      <x:c r="A48" s="2"/>
      <x:c r="B48" s="2"/>
      <x:c r="C48" s="2"/>
      <x:c r="D48" s="2"/>
      <x:c r="E48" s="2"/>
      <x:c r="F48" s="2" t="str">
        <x:v>Q4:27</x:v>
      </x:c>
      <x:c r="G48" s="5" t="n">
        <x:f>'Cash Flow'!I94/1000000</x:f>
        <x:v>112.58371499986902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1" customHeight="1">
      <x:c r="A49" s="2"/>
      <x:c r="B49" s="2"/>
      <x:c r="C49" s="2"/>
      <x:c r="D49" s="2"/>
      <x:c r="E49" s="2"/>
      <x:c r="F49" s="2" t="str">
        <x:v>Q1:28</x:v>
      </x:c>
      <x:c r="G49" s="5" t="n">
        <x:f>'Cash Flow'!J94/1000000</x:f>
        <x:v>111.91294231565536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1" customHeight="1">
      <x:c r="A50" s="2"/>
      <x:c r="B50" s="2"/>
      <x:c r="C50" s="2"/>
      <x:c r="D50" s="2"/>
      <x:c r="E50" s="2"/>
      <x:c r="F50" s="2" t="str">
        <x:v>Q2:28</x:v>
      </x:c>
      <x:c r="G50" s="5" t="n">
        <x:f>'Cash Flow'!K94/1000000</x:f>
        <x:v>112.46805968606576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1" customHeight="1">
      <x:c r="A51" s="2"/>
      <x:c r="B51" s="2"/>
      <x:c r="C51" s="2"/>
      <x:c r="D51" s="2"/>
      <x:c r="E51" s="2"/>
      <x:c r="F51" s="2" t="str">
        <x:v>Q3:28</x:v>
      </x:c>
      <x:c r="G51" s="5" t="n">
        <x:f>'Cash Flow'!L94/1000000</x:f>
        <x:v>114.27106612307985</x:v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1" customHeight="1">
      <x:c r="A52" s="2"/>
      <x:c r="B52" s="2"/>
      <x:c r="C52" s="2"/>
      <x:c r="D52" s="2"/>
      <x:c r="E52" s="2"/>
      <x:c r="F52" s="2" t="str">
        <x:v>Q4:28</x:v>
      </x:c>
      <x:c r="G52" s="5" t="n">
        <x:f>'Cash Flow'!M94/1000000</x:f>
        <x:v>114.8416197220678</x:v>
      </x:c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1" customHeight="1">
      <x:c r="A53" s="2"/>
      <x:c r="B53" s="2"/>
      <x:c r="C53" s="2"/>
      <x:c r="D53" s="2"/>
      <x:c r="E53" s="2"/>
      <x:c r="F53" s="2" t="str">
        <x:v>Q1:29</x:v>
      </x:c>
      <x:c r="G53" s="5" t="n">
        <x:f>'Cash Flow'!N94/1000000</x:f>
        <x:v>112.89859012029476</x:v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1" customHeight="1">
      <x:c r="A54" s="2"/>
      <x:c r="B54" s="2"/>
      <x:c r="C54" s="2"/>
      <x:c r="D54" s="2"/>
      <x:c r="E54" s="2"/>
      <x:c r="F54" s="2" t="str">
        <x:v>Q2:29</x:v>
      </x:c>
      <x:c r="G54" s="5" t="n">
        <x:f>'Cash Flow'!O94/1000000</x:f>
        <x:v>114.71867198800105</x:v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1" customHeight="1">
      <x:c r="A55" s="2"/>
      <x:c r="B55" s="2"/>
      <x:c r="C55" s="2"/>
      <x:c r="D55" s="2"/>
      <x:c r="E55" s="2"/>
      <x:c r="F55" s="2" t="str">
        <x:v>Q3:29</x:v>
      </x:c>
      <x:c r="G55" s="5" t="n">
        <x:f>'Cash Flow'!P94/1000000</x:f>
        <x:v>116.5564874455414</x:v>
      </x:c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</x:row>
  </x:sheetData>
  <x:pageMargins left="0.7" right="0.7" top="0.75" bottom="0.75" header="0.3" footer="0.3"/>
  <x:drawing xmlns:r="http://schemas.openxmlformats.org/officeDocument/2006/relationships" r:id="Rf2e98e76377a4ff0"/>
</x:worksheet>
</file>

<file path=xl/worksheets/sheet2.xml><?xml version="1.0" encoding="utf-8"?>
<x:worksheet xmlns:x="http://schemas.openxmlformats.org/spreadsheetml/2006/main">
  <x:sheetPr>
    <x:tabColor rgb="FF53759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1" customHeight="1">
      <x:c r="A2" s="2"/>
      <x:c r="B2" s="2"/>
      <x:c r="C2" s="3" t="str">
        <x:v>Assumptions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</x:row>
    <x:row r="4" ht="21" customHeight="1">
      <x:c r="A4" s="2"/>
      <x:c r="B4" s="2"/>
      <x:c r="C4" s="2" t="str">
        <x:v>Case selected</x:v>
      </x:c>
      <x:c r="D4" s="6" t="str">
        <x:f>CHOOSE(D5,"Bear","Base","Bull")</x:f>
        <x:v>Base</x:v>
      </x:c>
      <x:c r="E4" s="2"/>
      <x:c r="F4" s="2"/>
      <x:c r="G4" s="2"/>
      <x:c r="H4" s="2"/>
      <x:c r="I4" s="2"/>
      <x:c r="J4" s="2"/>
      <x:c r="K4" s="2"/>
      <x:c r="L4" s="2" t="str">
        <x:v>DCF per share sensitivity</x:v>
      </x:c>
      <x:c r="M4" s="2"/>
      <x:c r="N4" s="2"/>
      <x:c r="O4" s="2"/>
      <x:c r="P4" s="2"/>
      <x:c r="Q4" s="2"/>
    </x:row>
    <x:row r="5" ht="21" customHeight="1">
      <x:c r="A5" s="2"/>
      <x:c r="B5" s="2"/>
      <x:c r="C5" s="2" t="str">
        <x:v>Case number</x:v>
      </x:c>
      <x:c r="D5" s="16" t="n">
        <x:v>2</x:v>
      </x:c>
      <x:c r="E5" s="2"/>
      <x:c r="F5" s="2" t="str">
        <x:v>1 Bear, 2 Base, 3 Bull</x:v>
      </x:c>
      <x:c r="G5" s="2"/>
      <x:c r="H5" s="2"/>
      <x:c r="I5" s="2"/>
      <x:c r="J5" s="2"/>
      <x:c r="K5" s="2"/>
      <x:c r="L5" s="2" t="str">
        <x:v>Columns: rate multiplier. Rows: discount-rate adjustment.</x:v>
      </x:c>
      <x:c r="M5" s="2"/>
      <x:c r="N5" s="2"/>
      <x:c r="O5" s="2"/>
      <x:c r="P5" s="2"/>
      <x:c r="Q5" s="2"/>
    </x:row>
    <x:row r="6" ht="25" customHeight="1">
      <x:c r="A6" s="2"/>
      <x:c r="B6" s="2"/>
      <x:c r="C6" s="30" t="str">
        <x:v>Open-rate multiplier</x:v>
      </x:c>
      <x:c r="D6" s="59" t="n">
        <x:v>1</x:v>
      </x:c>
      <x:c r="E6" s="30"/>
      <x:c r="F6" s="30" t="str">
        <x:v>Change this to test all open charter rates together.</x:v>
      </x:c>
      <x:c r="G6" s="30"/>
      <x:c r="H6" s="30"/>
      <x:c r="I6" s="30"/>
      <x:c r="J6" s="30"/>
      <x:c r="K6" s="2"/>
      <x:c r="L6" s="2"/>
      <x:c r="M6" s="2"/>
      <x:c r="N6" s="2"/>
      <x:c r="O6" s="2"/>
      <x:c r="P6" s="2"/>
      <x:c r="Q6" s="2"/>
    </x:row>
    <x:row r="7" ht="21" customHeight="1">
      <x:c r="A7" s="2"/>
      <x:c r="B7" s="2"/>
      <x:c r="C7" s="2" t="str">
        <x:v>Discount-rate adjustment</x:v>
      </x:c>
      <x:c r="D7" s="20" t="n">
        <x:v>0</x:v>
      </x:c>
      <x:c r="E7" s="2"/>
      <x:c r="F7" s="2" t="str">
        <x:v>Add to the selected discount rate.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60" t="n">
        <x:f>'Summary'!D19</x:f>
        <x:v>26.55383411757631</x:v>
      </x:c>
      <x:c r="M8" s="55" t="n">
        <x:v>0.8</x:v>
      </x:c>
      <x:c r="N8" s="55" t="n">
        <x:v>0.9</x:v>
      </x:c>
      <x:c r="O8" s="55" t="n">
        <x:v>1</x:v>
      </x:c>
      <x:c r="P8" s="55" t="n">
        <x:v>1.1</x:v>
      </x:c>
      <x:c r="Q8" s="55" t="n">
        <x:v>1.2</x:v>
      </x:c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7" t="n">
        <x:v>-0.02</x:v>
      </x:c>
      <x:c r="M9" s="54" t="n">
        <x:f t="dataTable" ref="M9:Q13" dt2D="1" r1="D6" r2="D7"/>
        <x:v>17.7428387312471</x:v>
      </x:c>
      <x:c r="N9" s="54" t="n">
        <x:v>24.0851059261266</x:v>
      </x:c>
      <x:c r="O9" s="54" t="n">
        <x:v>30.4273731210062</x:v>
      </x:c>
      <x:c r="P9" s="54" t="n">
        <x:v>36.7696403158857</x:v>
      </x:c>
      <x:c r="Q9" s="54" t="n">
        <x:v>43.1119075107653</x:v>
      </x:c>
    </x:row>
    <x:row r="10" ht="21" customHeight="1">
      <x:c r="A10" s="2"/>
      <x:c r="B10" s="2"/>
      <x:c r="C10" s="13" t="str">
        <x:v>Newcastlemax open TCE</x:v>
      </x:c>
      <x:c r="D10" s="17" t="n">
        <x:f>IF(ISNUMBER(CHOOSE($D$5,D11,D12,D13)),CHOOSE($D$5,D11,D12,D13),NA())</x:f>
        <x:v>26000</x:v>
      </x:c>
      <x:c r="E10" s="13" t="str">
        <x:v>USD/day</x:v>
      </x:c>
      <x:c r="F10" s="10" t="str">
        <x:v>Illustrative class-rate range. No licensed class curve or calibrated freight forecast.</x:v>
      </x:c>
      <x:c r="G10" s="10"/>
      <x:c r="H10" s="10"/>
      <x:c r="I10" s="10"/>
      <x:c r="J10" s="10"/>
      <x:c r="K10" s="2"/>
      <x:c r="L10" s="7" t="n">
        <x:v>-0.01</x:v>
      </x:c>
      <x:c r="M10" s="54" t="n">
        <x:v>16.4145810756223</x:v>
      </x:c>
      <x:c r="N10" s="54" t="n">
        <x:v>22.4055289739684</x:v>
      </x:c>
      <x:c r="O10" s="54" t="n">
        <x:v>28.3964768723146</x:v>
      </x:c>
      <x:c r="P10" s="54" t="n">
        <x:v>34.3874247706608</x:v>
      </x:c>
      <x:c r="Q10" s="54" t="n">
        <x:v>40.3783726690069</x:v>
      </x:c>
    </x:row>
    <x:row r="11" ht="21" customHeight="1">
      <x:c r="A11" s="2"/>
      <x:c r="B11" s="2"/>
      <x:c r="C11" s="2" t="str">
        <x:v>Bear</x:v>
      </x:c>
      <x:c r="D11" s="18" t="n">
        <x:v>18000</x:v>
      </x:c>
      <x:c r="E11" s="2"/>
      <x:c r="F11" s="10"/>
      <x:c r="G11" s="10"/>
      <x:c r="H11" s="10"/>
      <x:c r="I11" s="10"/>
      <x:c r="J11" s="10"/>
      <x:c r="K11" s="2"/>
      <x:c r="L11" s="7" t="n">
        <x:v>0</x:v>
      </x:c>
      <x:c r="M11" s="54" t="n">
        <x:v>15.2110985349042</x:v>
      </x:c>
      <x:c r="N11" s="54" t="n">
        <x:v>20.8824663262403</x:v>
      </x:c>
      <x:c r="O11" s="54" t="n">
        <x:v>26.5538341175763</x:v>
      </x:c>
      <x:c r="P11" s="54" t="n">
        <x:v>32.2252019089124</x:v>
      </x:c>
      <x:c r="Q11" s="54" t="n">
        <x:v>37.8965697002484</x:v>
      </x:c>
    </x:row>
    <x:row r="12" ht="21" customHeight="1">
      <x:c r="A12" s="2"/>
      <x:c r="B12" s="2"/>
      <x:c r="C12" s="2" t="str">
        <x:v>Base</x:v>
      </x:c>
      <x:c r="D12" s="18" t="n">
        <x:v>26000</x:v>
      </x:c>
      <x:c r="E12" s="2"/>
      <x:c r="F12" s="10"/>
      <x:c r="G12" s="10"/>
      <x:c r="H12" s="10"/>
      <x:c r="I12" s="10"/>
      <x:c r="J12" s="10"/>
      <x:c r="K12" s="2"/>
      <x:c r="L12" s="7" t="n">
        <x:v>0.01</x:v>
      </x:c>
      <x:c r="M12" s="54" t="n">
        <x:v>14.1179631422798</x:v>
      </x:c>
      <x:c r="N12" s="54" t="n">
        <x:v>19.4978489709956</x:v>
      </x:c>
      <x:c r="O12" s="54" t="n">
        <x:v>24.8777347997116</x:v>
      </x:c>
      <x:c r="P12" s="54" t="n">
        <x:v>30.2576206284275</x:v>
      </x:c>
      <x:c r="Q12" s="54" t="n">
        <x:v>35.6375064571434</x:v>
      </x:c>
    </x:row>
    <x:row r="13" ht="21" customHeight="1">
      <x:c r="A13" s="2"/>
      <x:c r="B13" s="2"/>
      <x:c r="C13" s="2" t="str">
        <x:v>Bull</x:v>
      </x:c>
      <x:c r="D13" s="18" t="n">
        <x:v>34000</x:v>
      </x:c>
      <x:c r="E13" s="2"/>
      <x:c r="F13" s="10"/>
      <x:c r="G13" s="10"/>
      <x:c r="H13" s="10"/>
      <x:c r="I13" s="10"/>
      <x:c r="J13" s="10"/>
      <x:c r="K13" s="2"/>
      <x:c r="L13" s="7" t="n">
        <x:v>0.02</x:v>
      </x:c>
      <x:c r="M13" s="54" t="n">
        <x:v>13.1226681886807</x:v>
      </x:c>
      <x:c r="N13" s="54" t="n">
        <x:v>18.2360217307225</x:v>
      </x:c>
      <x:c r="O13" s="54" t="n">
        <x:v>23.3493752727643</x:v>
      </x:c>
      <x:c r="P13" s="54" t="n">
        <x:v>28.4627288148061</x:v>
      </x:c>
      <x:c r="Q13" s="54" t="n">
        <x:v>33.5760823568479</x:v>
      </x:c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1" customHeight="1">
      <x:c r="A15" s="2"/>
      <x:c r="B15" s="2"/>
      <x:c r="C15" s="13" t="str">
        <x:v>Capesize open TCE</x:v>
      </x:c>
      <x:c r="D15" s="17" t="n">
        <x:f>IF(ISNUMBER(CHOOSE($D$5,D16,D17,D18)),CHOOSE($D$5,D16,D17,D18),NA())</x:f>
        <x:v>24000</x:v>
      </x:c>
      <x:c r="E15" s="13" t="str">
        <x:v>USD/day</x:v>
      </x:c>
      <x:c r="F15" s="10" t="str">
        <x:v>Illustrative class-rate range. No licensed class curve or calibrated freight forecast.</x:v>
      </x:c>
      <x:c r="G15" s="10"/>
      <x:c r="H15" s="10"/>
      <x:c r="I15" s="10"/>
      <x:c r="J15" s="10"/>
      <x:c r="K15" s="2"/>
      <x:c r="L15" s="2"/>
      <x:c r="M15" s="2"/>
      <x:c r="N15" s="2"/>
      <x:c r="O15" s="2"/>
      <x:c r="P15" s="2"/>
      <x:c r="Q15" s="2"/>
    </x:row>
    <x:row r="16" ht="21" customHeight="1">
      <x:c r="A16" s="2"/>
      <x:c r="B16" s="2"/>
      <x:c r="C16" s="2" t="str">
        <x:v>Bear</x:v>
      </x:c>
      <x:c r="D16" s="18" t="n">
        <x:v>16000</x:v>
      </x:c>
      <x:c r="E16" s="2"/>
      <x:c r="F16" s="10"/>
      <x:c r="G16" s="10"/>
      <x:c r="H16" s="10"/>
      <x:c r="I16" s="10"/>
      <x:c r="J16" s="10"/>
      <x:c r="K16" s="2"/>
      <x:c r="L16" s="2"/>
      <x:c r="M16" s="2"/>
      <x:c r="N16" s="2"/>
      <x:c r="O16" s="2"/>
      <x:c r="P16" s="2"/>
      <x:c r="Q16" s="2"/>
    </x:row>
    <x:row r="17" ht="21" customHeight="1">
      <x:c r="A17" s="2"/>
      <x:c r="B17" s="2"/>
      <x:c r="C17" s="2" t="str">
        <x:v>Base</x:v>
      </x:c>
      <x:c r="D17" s="18" t="n">
        <x:v>24000</x:v>
      </x:c>
      <x:c r="E17" s="2"/>
      <x:c r="F17" s="10"/>
      <x:c r="G17" s="10"/>
      <x:c r="H17" s="10"/>
      <x:c r="I17" s="10"/>
      <x:c r="J17" s="10"/>
      <x:c r="K17" s="2"/>
      <x:c r="L17" s="2"/>
      <x:c r="M17" s="2"/>
      <x:c r="N17" s="2"/>
      <x:c r="O17" s="2"/>
      <x:c r="P17" s="2"/>
      <x:c r="Q17" s="2"/>
    </x:row>
    <x:row r="18" ht="21" customHeight="1">
      <x:c r="A18" s="2"/>
      <x:c r="B18" s="2"/>
      <x:c r="C18" s="2" t="str">
        <x:v>Bull</x:v>
      </x:c>
      <x:c r="D18" s="18" t="n">
        <x:v>32000</x:v>
      </x:c>
      <x:c r="E18" s="2"/>
      <x:c r="F18" s="10"/>
      <x:c r="G18" s="10"/>
      <x:c r="H18" s="10"/>
      <x:c r="I18" s="10"/>
      <x:c r="J18" s="10"/>
      <x:c r="K18" s="2"/>
      <x:c r="L18" s="2"/>
      <x:c r="M18" s="2"/>
      <x:c r="N18" s="2"/>
      <x:c r="O18" s="2"/>
      <x:c r="P18" s="2"/>
      <x:c r="Q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1" customHeight="1">
      <x:c r="A20" s="2"/>
      <x:c r="B20" s="2"/>
      <x:c r="C20" s="13" t="str">
        <x:v>Post Panamax open TCE</x:v>
      </x:c>
      <x:c r="D20" s="17" t="n">
        <x:f>IF(ISNUMBER(CHOOSE($D$5,D21,D22,D23)),CHOOSE($D$5,D21,D22,D23),NA())</x:f>
        <x:v>16000</x:v>
      </x:c>
      <x:c r="E20" s="13" t="str">
        <x:v>USD/day</x:v>
      </x:c>
      <x:c r="F20" s="10" t="str">
        <x:v>Illustrative class-rate range. No licensed class curve or calibrated freight forecast.</x:v>
      </x:c>
      <x:c r="G20" s="10"/>
      <x:c r="H20" s="10"/>
      <x:c r="I20" s="10"/>
      <x:c r="J20" s="10"/>
      <x:c r="K20" s="2"/>
      <x:c r="L20" s="2"/>
      <x:c r="M20" s="2"/>
      <x:c r="N20" s="2"/>
      <x:c r="O20" s="2"/>
      <x:c r="P20" s="2"/>
      <x:c r="Q20" s="2"/>
    </x:row>
    <x:row r="21" ht="21" customHeight="1">
      <x:c r="A21" s="2"/>
      <x:c r="B21" s="2"/>
      <x:c r="C21" s="2" t="str">
        <x:v>Bear</x:v>
      </x:c>
      <x:c r="D21" s="18" t="n">
        <x:v>11000</x:v>
      </x:c>
      <x:c r="E21" s="2"/>
      <x:c r="F21" s="10"/>
      <x:c r="G21" s="10"/>
      <x:c r="H21" s="10"/>
      <x:c r="I21" s="10"/>
      <x:c r="J21" s="10"/>
      <x:c r="K21" s="2"/>
      <x:c r="L21" s="2"/>
      <x:c r="M21" s="2"/>
      <x:c r="N21" s="2"/>
      <x:c r="O21" s="2"/>
      <x:c r="P21" s="2"/>
      <x:c r="Q21" s="2"/>
    </x:row>
    <x:row r="22" ht="21" customHeight="1">
      <x:c r="A22" s="2"/>
      <x:c r="B22" s="2"/>
      <x:c r="C22" s="2" t="str">
        <x:v>Base</x:v>
      </x:c>
      <x:c r="D22" s="18" t="n">
        <x:v>16000</x:v>
      </x:c>
      <x:c r="E22" s="2"/>
      <x:c r="F22" s="10"/>
      <x:c r="G22" s="10"/>
      <x:c r="H22" s="10"/>
      <x:c r="I22" s="10"/>
      <x:c r="J22" s="10"/>
      <x:c r="K22" s="2"/>
      <x:c r="L22" s="2"/>
      <x:c r="M22" s="2"/>
      <x:c r="N22" s="2"/>
      <x:c r="O22" s="2"/>
      <x:c r="P22" s="2"/>
      <x:c r="Q22" s="2"/>
    </x:row>
    <x:row r="23" ht="21" customHeight="1">
      <x:c r="A23" s="2"/>
      <x:c r="B23" s="2"/>
      <x:c r="C23" s="2" t="str">
        <x:v>Bull</x:v>
      </x:c>
      <x:c r="D23" s="18" t="n">
        <x:v>21000</x:v>
      </x:c>
      <x:c r="E23" s="2"/>
      <x:c r="F23" s="10"/>
      <x:c r="G23" s="10"/>
      <x:c r="H23" s="10"/>
      <x:c r="I23" s="10"/>
      <x:c r="J23" s="10"/>
      <x:c r="K23" s="2"/>
      <x:c r="L23" s="2"/>
      <x:c r="M23" s="2"/>
      <x:c r="N23" s="2"/>
      <x:c r="O23" s="2"/>
      <x:c r="P23" s="2"/>
      <x:c r="Q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1" customHeight="1">
      <x:c r="A25" s="2"/>
      <x:c r="B25" s="2"/>
      <x:c r="C25" s="13" t="str">
        <x:v>Kamsarmax open TCE</x:v>
      </x:c>
      <x:c r="D25" s="17" t="n">
        <x:f>IF(ISNUMBER(CHOOSE($D$5,D26,D27,D28)),CHOOSE($D$5,D26,D27,D28),NA())</x:f>
        <x:v>17000</x:v>
      </x:c>
      <x:c r="E25" s="13" t="str">
        <x:v>USD/day</x:v>
      </x:c>
      <x:c r="F25" s="10" t="str">
        <x:v>Illustrative class-rate range. No licensed class curve or calibrated freight forecast.</x:v>
      </x:c>
      <x:c r="G25" s="10"/>
      <x:c r="H25" s="10"/>
      <x:c r="I25" s="10"/>
      <x:c r="J25" s="10"/>
      <x:c r="K25" s="2"/>
      <x:c r="L25" s="2"/>
      <x:c r="M25" s="2"/>
      <x:c r="N25" s="2"/>
      <x:c r="O25" s="2"/>
      <x:c r="P25" s="2"/>
      <x:c r="Q25" s="2"/>
    </x:row>
    <x:row r="26" ht="21" customHeight="1">
      <x:c r="A26" s="2"/>
      <x:c r="B26" s="2"/>
      <x:c r="C26" s="2" t="str">
        <x:v>Bear</x:v>
      </x:c>
      <x:c r="D26" s="18" t="n">
        <x:v>12000</x:v>
      </x:c>
      <x:c r="E26" s="2"/>
      <x:c r="F26" s="10"/>
      <x:c r="G26" s="10"/>
      <x:c r="H26" s="10"/>
      <x:c r="I26" s="10"/>
      <x:c r="J26" s="10"/>
      <x:c r="K26" s="2"/>
      <x:c r="L26" s="2"/>
      <x:c r="M26" s="2"/>
      <x:c r="N26" s="2"/>
      <x:c r="O26" s="2"/>
      <x:c r="P26" s="2"/>
      <x:c r="Q26" s="2"/>
    </x:row>
    <x:row r="27" ht="21" customHeight="1">
      <x:c r="A27" s="2"/>
      <x:c r="B27" s="2"/>
      <x:c r="C27" s="2" t="str">
        <x:v>Base</x:v>
      </x:c>
      <x:c r="D27" s="18" t="n">
        <x:v>17000</x:v>
      </x:c>
      <x:c r="E27" s="2"/>
      <x:c r="F27" s="10"/>
      <x:c r="G27" s="10"/>
      <x:c r="H27" s="10"/>
      <x:c r="I27" s="10"/>
      <x:c r="J27" s="10"/>
      <x:c r="K27" s="2"/>
      <x:c r="L27" s="2"/>
      <x:c r="M27" s="2"/>
      <x:c r="N27" s="2"/>
      <x:c r="O27" s="2"/>
      <x:c r="P27" s="2"/>
      <x:c r="Q27" s="2"/>
    </x:row>
    <x:row r="28" ht="21" customHeight="1">
      <x:c r="A28" s="2"/>
      <x:c r="B28" s="2"/>
      <x:c r="C28" s="2" t="str">
        <x:v>Bull</x:v>
      </x:c>
      <x:c r="D28" s="18" t="n">
        <x:v>22000</x:v>
      </x:c>
      <x:c r="E28" s="2"/>
      <x:c r="F28" s="10"/>
      <x:c r="G28" s="10"/>
      <x:c r="H28" s="10"/>
      <x:c r="I28" s="10"/>
      <x:c r="J28" s="10"/>
      <x:c r="K28" s="2"/>
      <x:c r="L28" s="2"/>
      <x:c r="M28" s="2"/>
      <x:c r="N28" s="2"/>
      <x:c r="O28" s="2"/>
      <x:c r="P28" s="2"/>
      <x:c r="Q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1" customHeight="1">
      <x:c r="A30" s="2"/>
      <x:c r="B30" s="2"/>
      <x:c r="C30" s="13" t="str">
        <x:v>Ultramax open TCE</x:v>
      </x:c>
      <x:c r="D30" s="17" t="n">
        <x:f>IF(ISNUMBER(CHOOSE($D$5,D31,D32,D33)),CHOOSE($D$5,D31,D32,D33),NA())</x:f>
        <x:v>16500</x:v>
      </x:c>
      <x:c r="E30" s="13" t="str">
        <x:v>USD/day</x:v>
      </x:c>
      <x:c r="F30" s="10" t="str">
        <x:v>Illustrative class-rate range. No licensed class curve or calibrated freight forecast.</x:v>
      </x:c>
      <x:c r="G30" s="10"/>
      <x:c r="H30" s="10"/>
      <x:c r="I30" s="10"/>
      <x:c r="J30" s="10"/>
      <x:c r="K30" s="2"/>
      <x:c r="L30" s="2"/>
      <x:c r="M30" s="2"/>
      <x:c r="N30" s="2"/>
      <x:c r="O30" s="2"/>
      <x:c r="P30" s="2"/>
      <x:c r="Q30" s="2"/>
    </x:row>
    <x:row r="31" ht="21" customHeight="1">
      <x:c r="A31" s="2"/>
      <x:c r="B31" s="2"/>
      <x:c r="C31" s="2" t="str">
        <x:v>Bear</x:v>
      </x:c>
      <x:c r="D31" s="18" t="n">
        <x:v>11500</x:v>
      </x:c>
      <x:c r="E31" s="2"/>
      <x:c r="F31" s="10"/>
      <x:c r="G31" s="10"/>
      <x:c r="H31" s="10"/>
      <x:c r="I31" s="10"/>
      <x:c r="J31" s="10"/>
      <x:c r="K31" s="2"/>
      <x:c r="L31" s="2"/>
      <x:c r="M31" s="2"/>
      <x:c r="N31" s="2"/>
      <x:c r="O31" s="2"/>
      <x:c r="P31" s="2"/>
      <x:c r="Q31" s="2"/>
    </x:row>
    <x:row r="32" ht="21" customHeight="1">
      <x:c r="A32" s="2"/>
      <x:c r="B32" s="2"/>
      <x:c r="C32" s="2" t="str">
        <x:v>Base</x:v>
      </x:c>
      <x:c r="D32" s="18" t="n">
        <x:v>16500</x:v>
      </x:c>
      <x:c r="E32" s="2"/>
      <x:c r="F32" s="10"/>
      <x:c r="G32" s="10"/>
      <x:c r="H32" s="10"/>
      <x:c r="I32" s="10"/>
      <x:c r="J32" s="10"/>
      <x:c r="K32" s="2"/>
      <x:c r="L32" s="2"/>
      <x:c r="M32" s="2"/>
      <x:c r="N32" s="2"/>
      <x:c r="O32" s="2"/>
      <x:c r="P32" s="2"/>
      <x:c r="Q32" s="2"/>
    </x:row>
    <x:row r="33" ht="21" customHeight="1">
      <x:c r="A33" s="2"/>
      <x:c r="B33" s="2"/>
      <x:c r="C33" s="2" t="str">
        <x:v>Bull</x:v>
      </x:c>
      <x:c r="D33" s="18" t="n">
        <x:v>21000</x:v>
      </x:c>
      <x:c r="E33" s="2"/>
      <x:c r="F33" s="10"/>
      <x:c r="G33" s="10"/>
      <x:c r="H33" s="10"/>
      <x:c r="I33" s="10"/>
      <x:c r="J33" s="10"/>
      <x:c r="K33" s="2"/>
      <x:c r="L33" s="2"/>
      <x:c r="M33" s="2"/>
      <x:c r="N33" s="2"/>
      <x:c r="O33" s="2"/>
      <x:c r="P33" s="2"/>
      <x:c r="Q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1" customHeight="1">
      <x:c r="A35" s="2"/>
      <x:c r="B35" s="2"/>
      <x:c r="C35" s="13" t="str">
        <x:v>Supramax open TCE</x:v>
      </x:c>
      <x:c r="D35" s="17" t="n">
        <x:f>IF(ISNUMBER(CHOOSE($D$5,D36,D37,D38)),CHOOSE($D$5,D36,D37,D38),NA())</x:f>
        <x:v>14500</x:v>
      </x:c>
      <x:c r="E35" s="13" t="str">
        <x:v>USD/day</x:v>
      </x:c>
      <x:c r="F35" s="10" t="str">
        <x:v>Illustrative class-rate range. No licensed class curve or calibrated freight forecast.</x:v>
      </x:c>
      <x:c r="G35" s="10"/>
      <x:c r="H35" s="10"/>
      <x:c r="I35" s="10"/>
      <x:c r="J35" s="10"/>
      <x:c r="K35" s="2"/>
      <x:c r="L35" s="2"/>
      <x:c r="M35" s="2"/>
      <x:c r="N35" s="2"/>
      <x:c r="O35" s="2"/>
      <x:c r="P35" s="2"/>
      <x:c r="Q35" s="2"/>
    </x:row>
    <x:row r="36" ht="21" customHeight="1">
      <x:c r="A36" s="2"/>
      <x:c r="B36" s="2"/>
      <x:c r="C36" s="2" t="str">
        <x:v>Bear</x:v>
      </x:c>
      <x:c r="D36" s="18" t="n">
        <x:v>10500</x:v>
      </x:c>
      <x:c r="E36" s="2"/>
      <x:c r="F36" s="10"/>
      <x:c r="G36" s="10"/>
      <x:c r="H36" s="10"/>
      <x:c r="I36" s="10"/>
      <x:c r="J36" s="10"/>
      <x:c r="K36" s="2"/>
      <x:c r="L36" s="2"/>
      <x:c r="M36" s="2"/>
      <x:c r="N36" s="2"/>
      <x:c r="O36" s="2"/>
      <x:c r="P36" s="2"/>
      <x:c r="Q36" s="2"/>
    </x:row>
    <x:row r="37" ht="21" customHeight="1">
      <x:c r="A37" s="2"/>
      <x:c r="B37" s="2"/>
      <x:c r="C37" s="2" t="str">
        <x:v>Base</x:v>
      </x:c>
      <x:c r="D37" s="18" t="n">
        <x:v>14500</x:v>
      </x:c>
      <x:c r="E37" s="2"/>
      <x:c r="F37" s="10"/>
      <x:c r="G37" s="10"/>
      <x:c r="H37" s="10"/>
      <x:c r="I37" s="10"/>
      <x:c r="J37" s="10"/>
      <x:c r="K37" s="2"/>
      <x:c r="L37" s="2"/>
      <x:c r="M37" s="2"/>
      <x:c r="N37" s="2"/>
      <x:c r="O37" s="2"/>
      <x:c r="P37" s="2"/>
      <x:c r="Q37" s="2"/>
    </x:row>
    <x:row r="38" ht="21" customHeight="1">
      <x:c r="A38" s="2"/>
      <x:c r="B38" s="2"/>
      <x:c r="C38" s="2" t="str">
        <x:v>Bull</x:v>
      </x:c>
      <x:c r="D38" s="18" t="n">
        <x:v>19000</x:v>
      </x:c>
      <x:c r="E38" s="2"/>
      <x:c r="F38" s="10"/>
      <x:c r="G38" s="10"/>
      <x:c r="H38" s="10"/>
      <x:c r="I38" s="10"/>
      <x:c r="J38" s="10"/>
      <x:c r="K38" s="2"/>
      <x:c r="L38" s="2"/>
      <x:c r="M38" s="2"/>
      <x:c r="N38" s="2"/>
      <x:c r="O38" s="2"/>
      <x:c r="P38" s="2"/>
      <x:c r="Q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1" customHeight="1">
      <x:c r="A40" s="2"/>
      <x:c r="B40" s="2"/>
      <x:c r="C40" s="13" t="str">
        <x:v>Discount rate</x:v>
      </x:c>
      <x:c r="D40" s="19" t="n">
        <x:f>IF(ISNUMBER(CHOOSE($D$5,D41,D42,D43)),CHOOSE($D$5,D41,D42,D43),NA())</x:f>
        <x:v>0.1</x:v>
      </x:c>
      <x:c r="E40" s="13" t="str">
        <x:v>fraction</x:v>
      </x:c>
      <x:c r="F40" s="10" t="str">
        <x:v>Nominal unlevered discount-rate scenarios; not a fitted WACC.</x:v>
      </x:c>
      <x:c r="G40" s="10"/>
      <x:c r="H40" s="10"/>
      <x:c r="I40" s="10"/>
      <x:c r="J40" s="10"/>
      <x:c r="K40" s="2"/>
      <x:c r="L40" s="2"/>
      <x:c r="M40" s="2"/>
      <x:c r="N40" s="2"/>
      <x:c r="O40" s="2"/>
      <x:c r="P40" s="2"/>
      <x:c r="Q40" s="2"/>
    </x:row>
    <x:row r="41" ht="21" customHeight="1">
      <x:c r="A41" s="2"/>
      <x:c r="B41" s="2"/>
      <x:c r="C41" s="2" t="str">
        <x:v>Bear</x:v>
      </x:c>
      <x:c r="D41" s="20" t="n">
        <x:v>0.12</x:v>
      </x:c>
      <x:c r="E41" s="2"/>
      <x:c r="F41" s="10"/>
      <x:c r="G41" s="10"/>
      <x:c r="H41" s="10"/>
      <x:c r="I41" s="10"/>
      <x:c r="J41" s="10"/>
      <x:c r="K41" s="2"/>
      <x:c r="L41" s="2"/>
      <x:c r="M41" s="2"/>
      <x:c r="N41" s="2"/>
      <x:c r="O41" s="2"/>
      <x:c r="P41" s="2"/>
      <x:c r="Q41" s="2"/>
    </x:row>
    <x:row r="42" ht="21" customHeight="1">
      <x:c r="A42" s="2"/>
      <x:c r="B42" s="2"/>
      <x:c r="C42" s="2" t="str">
        <x:v>Base</x:v>
      </x:c>
      <x:c r="D42" s="20" t="n">
        <x:v>0.1</x:v>
      </x:c>
      <x:c r="E42" s="2"/>
      <x:c r="F42" s="10"/>
      <x:c r="G42" s="10"/>
      <x:c r="H42" s="10"/>
      <x:c r="I42" s="10"/>
      <x:c r="J42" s="10"/>
      <x:c r="K42" s="2"/>
      <x:c r="L42" s="2"/>
      <x:c r="M42" s="2"/>
      <x:c r="N42" s="2"/>
      <x:c r="O42" s="2"/>
      <x:c r="P42" s="2"/>
      <x:c r="Q42" s="2"/>
    </x:row>
    <x:row r="43" ht="21" customHeight="1">
      <x:c r="A43" s="2"/>
      <x:c r="B43" s="2"/>
      <x:c r="C43" s="2" t="str">
        <x:v>Bull</x:v>
      </x:c>
      <x:c r="D43" s="20" t="n">
        <x:v>0.085</x:v>
      </x:c>
      <x:c r="E43" s="2"/>
      <x:c r="F43" s="10"/>
      <x:c r="G43" s="10"/>
      <x:c r="H43" s="10"/>
      <x:c r="I43" s="10"/>
      <x:c r="J43" s="10"/>
      <x:c r="K43" s="2"/>
      <x:c r="L43" s="2"/>
      <x:c r="M43" s="2"/>
      <x:c r="N43" s="2"/>
      <x:c r="O43" s="2"/>
      <x:c r="P43" s="2"/>
      <x:c r="Q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1" customHeight="1">
      <x:c r="A45" s="2"/>
      <x:c r="B45" s="2"/>
      <x:c r="C45" s="13" t="str">
        <x:v>Appraisal multiplier</x:v>
      </x:c>
      <x:c r="D45" s="21" t="n">
        <x:f>IF(ISNUMBER(CHOOSE($D$5,D46,D47,D48)),CHOOSE($D$5,D46,D47,D48),NA())</x:f>
        <x:v>1</x:v>
      </x:c>
      <x:c r="E45" s="13" t="str">
        <x:v>multiple</x:v>
      </x:c>
      <x:c r="F45" s="10" t="str">
        <x:v>Scenario mark relative to dated appraisals, not a new broker appraisal.</x:v>
      </x:c>
      <x:c r="G45" s="10"/>
      <x:c r="H45" s="10"/>
      <x:c r="I45" s="10"/>
      <x:c r="J45" s="10"/>
      <x:c r="K45" s="2"/>
      <x:c r="L45" s="2"/>
      <x:c r="M45" s="2"/>
      <x:c r="N45" s="2"/>
      <x:c r="O45" s="2"/>
      <x:c r="P45" s="2"/>
      <x:c r="Q45" s="2"/>
    </x:row>
    <x:row r="46" ht="21" customHeight="1">
      <x:c r="A46" s="2"/>
      <x:c r="B46" s="2"/>
      <x:c r="C46" s="2" t="str">
        <x:v>Bear</x:v>
      </x:c>
      <x:c r="D46" s="22" t="n">
        <x:v>0.8</x:v>
      </x:c>
      <x:c r="E46" s="2"/>
      <x:c r="F46" s="10"/>
      <x:c r="G46" s="10"/>
      <x:c r="H46" s="10"/>
      <x:c r="I46" s="10"/>
      <x:c r="J46" s="10"/>
      <x:c r="K46" s="2"/>
      <x:c r="L46" s="2"/>
      <x:c r="M46" s="2"/>
      <x:c r="N46" s="2"/>
      <x:c r="O46" s="2"/>
      <x:c r="P46" s="2"/>
      <x:c r="Q46" s="2"/>
    </x:row>
    <x:row r="47" ht="21" customHeight="1">
      <x:c r="A47" s="2"/>
      <x:c r="B47" s="2"/>
      <x:c r="C47" s="2" t="str">
        <x:v>Base</x:v>
      </x:c>
      <x:c r="D47" s="22" t="n">
        <x:v>1</x:v>
      </x:c>
      <x:c r="E47" s="2"/>
      <x:c r="F47" s="10"/>
      <x:c r="G47" s="10"/>
      <x:c r="H47" s="10"/>
      <x:c r="I47" s="10"/>
      <x:c r="J47" s="10"/>
      <x:c r="K47" s="2"/>
      <x:c r="L47" s="2"/>
      <x:c r="M47" s="2"/>
      <x:c r="N47" s="2"/>
      <x:c r="O47" s="2"/>
      <x:c r="P47" s="2"/>
      <x:c r="Q47" s="2"/>
    </x:row>
    <x:row r="48" ht="21" customHeight="1">
      <x:c r="A48" s="2"/>
      <x:c r="B48" s="2"/>
      <x:c r="C48" s="2" t="str">
        <x:v>Bull</x:v>
      </x:c>
      <x:c r="D48" s="22" t="n">
        <x:v>1.15</x:v>
      </x:c>
      <x:c r="E48" s="2"/>
      <x:c r="F48" s="10"/>
      <x:c r="G48" s="10"/>
      <x:c r="H48" s="10"/>
      <x:c r="I48" s="10"/>
      <x:c r="J48" s="10"/>
      <x:c r="K48" s="2"/>
      <x:c r="L48" s="2"/>
      <x:c r="M48" s="2"/>
      <x:c r="N48" s="2"/>
      <x:c r="O48" s="2"/>
      <x:c r="P48" s="2"/>
      <x:c r="Q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1" customHeight="1">
      <x:c r="A50" s="2"/>
      <x:c r="B50" s="2"/>
      <x:c r="C50" s="13" t="str">
        <x:v>Retirement age</x:v>
      </x:c>
      <x:c r="D50" s="17" t="n">
        <x:f>IF(ISNUMBER(CHOOSE($D$5,D51,D52,D53)),CHOOSE($D$5,D51,D52,D53),NA())</x:f>
        <x:v>25</x:v>
      </x:c>
      <x:c r="E50" s="13" t="str">
        <x:v>years</x:v>
      </x:c>
      <x:c r="F50" s="10" t="str">
        <x:v>Retire July 1 of build year plus age; build month is unavailable.</x:v>
      </x:c>
      <x:c r="G50" s="10"/>
      <x:c r="H50" s="10"/>
      <x:c r="I50" s="10"/>
      <x:c r="J50" s="10"/>
      <x:c r="K50" s="2"/>
      <x:c r="L50" s="2"/>
      <x:c r="M50" s="2"/>
      <x:c r="N50" s="2"/>
      <x:c r="O50" s="2"/>
      <x:c r="P50" s="2"/>
      <x:c r="Q50" s="2"/>
    </x:row>
    <x:row r="51" ht="21" customHeight="1">
      <x:c r="A51" s="2"/>
      <x:c r="B51" s="2"/>
      <x:c r="C51" s="2" t="str">
        <x:v>Bear</x:v>
      </x:c>
      <x:c r="D51" s="18" t="n">
        <x:v>23</x:v>
      </x:c>
      <x:c r="E51" s="2"/>
      <x:c r="F51" s="10"/>
      <x:c r="G51" s="10"/>
      <x:c r="H51" s="10"/>
      <x:c r="I51" s="10"/>
      <x:c r="J51" s="10"/>
      <x:c r="K51" s="2"/>
      <x:c r="L51" s="2"/>
      <x:c r="M51" s="2"/>
      <x:c r="N51" s="2"/>
      <x:c r="O51" s="2"/>
      <x:c r="P51" s="2"/>
      <x:c r="Q51" s="2"/>
    </x:row>
    <x:row r="52" ht="21" customHeight="1">
      <x:c r="A52" s="2"/>
      <x:c r="B52" s="2"/>
      <x:c r="C52" s="2" t="str">
        <x:v>Base</x:v>
      </x:c>
      <x:c r="D52" s="18" t="n">
        <x:v>25</x:v>
      </x:c>
      <x:c r="E52" s="2"/>
      <x:c r="F52" s="10"/>
      <x:c r="G52" s="10"/>
      <x:c r="H52" s="10"/>
      <x:c r="I52" s="10"/>
      <x:c r="J52" s="10"/>
      <x:c r="K52" s="2"/>
      <x:c r="L52" s="2"/>
      <x:c r="M52" s="2"/>
      <x:c r="N52" s="2"/>
      <x:c r="O52" s="2"/>
      <x:c r="P52" s="2"/>
      <x:c r="Q52" s="2"/>
    </x:row>
    <x:row r="53" ht="21" customHeight="1">
      <x:c r="A53" s="2"/>
      <x:c r="B53" s="2"/>
      <x:c r="C53" s="2" t="str">
        <x:v>Bull</x:v>
      </x:c>
      <x:c r="D53" s="18" t="n">
        <x:v>27</x:v>
      </x:c>
      <x:c r="E53" s="2"/>
      <x:c r="F53" s="10"/>
      <x:c r="G53" s="10"/>
      <x:c r="H53" s="10"/>
      <x:c r="I53" s="10"/>
      <x:c r="J53" s="10"/>
      <x:c r="K53" s="2"/>
      <x:c r="L53" s="2"/>
      <x:c r="M53" s="2"/>
      <x:c r="N53" s="2"/>
      <x:c r="O53" s="2"/>
      <x:c r="P53" s="2"/>
      <x:c r="Q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1" customHeight="1">
      <x:c r="A55" s="2"/>
      <x:c r="B55" s="2"/>
      <x:c r="C55" s="13" t="str">
        <x:v>Unavailable share of owned days</x:v>
      </x:c>
      <x:c r="D55" s="19" t="n">
        <x:f>IF(ISNUMBER(CHOOSE($D$5,D56,D57,D58)),CHOOSE($D$5,D56,D57,D58),NA())</x:f>
        <x:v>0.05</x:v>
      </x:c>
      <x:c r="E55" s="13" t="str">
        <x:v>fraction</x:v>
      </x:c>
      <x:c r="F55" s="10" t="str">
        <x:v>Includes normalized docking downtime. H1 disclosed gap: 1199/24401.</x:v>
      </x:c>
      <x:c r="G55" s="10"/>
      <x:c r="H55" s="10"/>
      <x:c r="I55" s="10"/>
      <x:c r="J55" s="10"/>
      <x:c r="K55" s="2"/>
      <x:c r="L55" s="2"/>
      <x:c r="M55" s="2"/>
      <x:c r="N55" s="2"/>
      <x:c r="O55" s="2"/>
      <x:c r="P55" s="2"/>
      <x:c r="Q55" s="2"/>
    </x:row>
    <x:row r="56" ht="21" customHeight="1">
      <x:c r="A56" s="2"/>
      <x:c r="B56" s="2"/>
      <x:c r="C56" s="2" t="str">
        <x:v>Bear</x:v>
      </x:c>
      <x:c r="D56" s="20" t="n">
        <x:v>0.07</x:v>
      </x:c>
      <x:c r="E56" s="2"/>
      <x:c r="F56" s="10"/>
      <x:c r="G56" s="10"/>
      <x:c r="H56" s="10"/>
      <x:c r="I56" s="10"/>
      <x:c r="J56" s="10"/>
      <x:c r="K56" s="2"/>
      <x:c r="L56" s="2"/>
      <x:c r="M56" s="2"/>
      <x:c r="N56" s="2"/>
      <x:c r="O56" s="2"/>
      <x:c r="P56" s="2"/>
      <x:c r="Q56" s="2"/>
    </x:row>
    <x:row r="57" ht="21" customHeight="1">
      <x:c r="A57" s="2"/>
      <x:c r="B57" s="2"/>
      <x:c r="C57" s="2" t="str">
        <x:v>Base</x:v>
      </x:c>
      <x:c r="D57" s="20" t="n">
        <x:v>0.05</x:v>
      </x:c>
      <x:c r="E57" s="2"/>
      <x:c r="F57" s="10"/>
      <x:c r="G57" s="10"/>
      <x:c r="H57" s="10"/>
      <x:c r="I57" s="10"/>
      <x:c r="J57" s="10"/>
      <x:c r="K57" s="2"/>
      <x:c r="L57" s="2"/>
      <x:c r="M57" s="2"/>
      <x:c r="N57" s="2"/>
      <x:c r="O57" s="2"/>
      <x:c r="P57" s="2"/>
      <x:c r="Q57" s="2"/>
    </x:row>
    <x:row r="58" ht="21" customHeight="1">
      <x:c r="A58" s="2"/>
      <x:c r="B58" s="2"/>
      <x:c r="C58" s="2" t="str">
        <x:v>Bull</x:v>
      </x:c>
      <x:c r="D58" s="20" t="n">
        <x:v>0.04</x:v>
      </x:c>
      <x:c r="E58" s="2"/>
      <x:c r="F58" s="10"/>
      <x:c r="G58" s="10"/>
      <x:c r="H58" s="10"/>
      <x:c r="I58" s="10"/>
      <x:c r="J58" s="10"/>
      <x:c r="K58" s="2"/>
      <x:c r="L58" s="2"/>
      <x:c r="M58" s="2"/>
      <x:c r="N58" s="2"/>
      <x:c r="O58" s="2"/>
      <x:c r="P58" s="2"/>
      <x:c r="Q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1" customHeight="1">
      <x:c r="A60" s="2"/>
      <x:c r="B60" s="2"/>
      <x:c r="C60" s="13" t="str">
        <x:v>Vessel operating cost</x:v>
      </x:c>
      <x:c r="D60" s="17" t="n">
        <x:f>IF(ISNUMBER(CHOOSE($D$5,D61,D62,D63)),CHOOSE($D$5,D61,D62,D63),NA())</x:f>
        <x:v>5300</x:v>
      </x:c>
      <x:c r="E60" s="13" t="str">
        <x:v>USD/day</x:v>
      </x:c>
      <x:c r="F60" s="10" t="str">
        <x:v>H1 vessel operating cost / ownership days is about $5168; management separate.</x:v>
      </x:c>
      <x:c r="G60" s="10"/>
      <x:c r="H60" s="10"/>
      <x:c r="I60" s="10"/>
      <x:c r="J60" s="10"/>
      <x:c r="K60" s="2"/>
      <x:c r="L60" s="2"/>
      <x:c r="M60" s="2"/>
      <x:c r="N60" s="2"/>
      <x:c r="O60" s="2"/>
      <x:c r="P60" s="2"/>
      <x:c r="Q60" s="2"/>
    </x:row>
    <x:row r="61" ht="21" customHeight="1">
      <x:c r="A61" s="2"/>
      <x:c r="B61" s="2"/>
      <x:c r="C61" s="2" t="str">
        <x:v>Bear</x:v>
      </x:c>
      <x:c r="D61" s="18" t="n">
        <x:v>5800</x:v>
      </x:c>
      <x:c r="E61" s="2"/>
      <x:c r="F61" s="10"/>
      <x:c r="G61" s="10"/>
      <x:c r="H61" s="10"/>
      <x:c r="I61" s="10"/>
      <x:c r="J61" s="10"/>
      <x:c r="K61" s="2"/>
      <x:c r="L61" s="2"/>
      <x:c r="M61" s="2"/>
      <x:c r="N61" s="2"/>
      <x:c r="O61" s="2"/>
      <x:c r="P61" s="2"/>
      <x:c r="Q61" s="2"/>
    </x:row>
    <x:row r="62" ht="21" customHeight="1">
      <x:c r="A62" s="2"/>
      <x:c r="B62" s="2"/>
      <x:c r="C62" s="2" t="str">
        <x:v>Base</x:v>
      </x:c>
      <x:c r="D62" s="18" t="n">
        <x:v>5300</x:v>
      </x:c>
      <x:c r="E62" s="2"/>
      <x:c r="F62" s="10"/>
      <x:c r="G62" s="10"/>
      <x:c r="H62" s="10"/>
      <x:c r="I62" s="10"/>
      <x:c r="J62" s="10"/>
      <x:c r="K62" s="2"/>
      <x:c r="L62" s="2"/>
      <x:c r="M62" s="2"/>
      <x:c r="N62" s="2"/>
      <x:c r="O62" s="2"/>
      <x:c r="P62" s="2"/>
      <x:c r="Q62" s="2"/>
    </x:row>
    <x:row r="63" ht="21" customHeight="1">
      <x:c r="A63" s="2"/>
      <x:c r="B63" s="2"/>
      <x:c r="C63" s="2" t="str">
        <x:v>Bull</x:v>
      </x:c>
      <x:c r="D63" s="18" t="n">
        <x:v>5100</x:v>
      </x:c>
      <x:c r="E63" s="2"/>
      <x:c r="F63" s="10"/>
      <x:c r="G63" s="10"/>
      <x:c r="H63" s="10"/>
      <x:c r="I63" s="10"/>
      <x:c r="J63" s="10"/>
      <x:c r="K63" s="2"/>
      <x:c r="L63" s="2"/>
      <x:c r="M63" s="2"/>
      <x:c r="N63" s="2"/>
      <x:c r="O63" s="2"/>
      <x:c r="P63" s="2"/>
      <x:c r="Q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1" customHeight="1">
      <x:c r="A65" s="2"/>
      <x:c r="B65" s="2"/>
      <x:c r="C65" s="13" t="str">
        <x:v>Management cost</x:v>
      </x:c>
      <x:c r="D65" s="17" t="n">
        <x:f>IF(ISNUMBER(CHOOSE($D$5,D66,D67,D68)),CHOOSE($D$5,D66,D67,D68),NA())</x:f>
        <x:v>460</x:v>
      </x:c>
      <x:c r="E65" s="13" t="str">
        <x:v>USD/day</x:v>
      </x:c>
      <x:c r="F65" s="10" t="str">
        <x:v>H1 management fees / ownership days is about $454.</x:v>
      </x:c>
      <x:c r="G65" s="10"/>
      <x:c r="H65" s="10"/>
      <x:c r="I65" s="10"/>
      <x:c r="J65" s="10"/>
      <x:c r="K65" s="2"/>
      <x:c r="L65" s="2"/>
      <x:c r="M65" s="2"/>
      <x:c r="N65" s="2"/>
      <x:c r="O65" s="2"/>
      <x:c r="P65" s="2"/>
      <x:c r="Q65" s="2"/>
    </x:row>
    <x:row r="66" ht="21" customHeight="1">
      <x:c r="A66" s="2"/>
      <x:c r="B66" s="2"/>
      <x:c r="C66" s="2" t="str">
        <x:v>Bear</x:v>
      </x:c>
      <x:c r="D66" s="18" t="n">
        <x:v>500</x:v>
      </x:c>
      <x:c r="E66" s="2"/>
      <x:c r="F66" s="10"/>
      <x:c r="G66" s="10"/>
      <x:c r="H66" s="10"/>
      <x:c r="I66" s="10"/>
      <x:c r="J66" s="10"/>
      <x:c r="K66" s="2"/>
      <x:c r="L66" s="2"/>
      <x:c r="M66" s="2"/>
      <x:c r="N66" s="2"/>
      <x:c r="O66" s="2"/>
      <x:c r="P66" s="2"/>
      <x:c r="Q66" s="2"/>
    </x:row>
    <x:row r="67" ht="21" customHeight="1">
      <x:c r="A67" s="2"/>
      <x:c r="B67" s="2"/>
      <x:c r="C67" s="2" t="str">
        <x:v>Base</x:v>
      </x:c>
      <x:c r="D67" s="18" t="n">
        <x:v>460</x:v>
      </x:c>
      <x:c r="E67" s="2"/>
      <x:c r="F67" s="10"/>
      <x:c r="G67" s="10"/>
      <x:c r="H67" s="10"/>
      <x:c r="I67" s="10"/>
      <x:c r="J67" s="10"/>
      <x:c r="K67" s="2"/>
      <x:c r="L67" s="2"/>
      <x:c r="M67" s="2"/>
      <x:c r="N67" s="2"/>
      <x:c r="O67" s="2"/>
      <x:c r="P67" s="2"/>
      <x:c r="Q67" s="2"/>
    </x:row>
    <x:row r="68" ht="21" customHeight="1">
      <x:c r="A68" s="2"/>
      <x:c r="B68" s="2"/>
      <x:c r="C68" s="2" t="str">
        <x:v>Bull</x:v>
      </x:c>
      <x:c r="D68" s="18" t="n">
        <x:v>440</x:v>
      </x:c>
      <x:c r="E68" s="2"/>
      <x:c r="F68" s="10"/>
      <x:c r="G68" s="10"/>
      <x:c r="H68" s="10"/>
      <x:c r="I68" s="10"/>
      <x:c r="J68" s="10"/>
      <x:c r="K68" s="2"/>
      <x:c r="L68" s="2"/>
      <x:c r="M68" s="2"/>
      <x:c r="N68" s="2"/>
      <x:c r="O68" s="2"/>
      <x:c r="P68" s="2"/>
      <x:c r="Q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1" customHeight="1">
      <x:c r="A70" s="2"/>
      <x:c r="B70" s="2"/>
      <x:c r="C70" s="13" t="str">
        <x:v>Corporate overhead</x:v>
      </x:c>
      <x:c r="D70" s="17" t="n">
        <x:f>IF(ISNUMBER(CHOOSE($D$5,D71,D72,D73)),CHOOSE($D$5,D71,D72,D73),NA())</x:f>
        <x:v>50000000</x:v>
      </x:c>
      <x:c r="E70" s="13" t="str">
        <x:v>USD/year</x:v>
      </x:c>
      <x:c r="F70" s="10" t="str">
        <x:v>Cash G&amp;A proxy annualizes H1 G&amp;A less share compensation; stock dilution separately editable.</x:v>
      </x:c>
      <x:c r="G70" s="10"/>
      <x:c r="H70" s="10"/>
      <x:c r="I70" s="10"/>
      <x:c r="J70" s="10"/>
      <x:c r="K70" s="2"/>
      <x:c r="L70" s="2"/>
      <x:c r="M70" s="2"/>
      <x:c r="N70" s="2"/>
      <x:c r="O70" s="2"/>
      <x:c r="P70" s="2"/>
      <x:c r="Q70" s="2"/>
    </x:row>
    <x:row r="71" ht="21" customHeight="1">
      <x:c r="A71" s="2"/>
      <x:c r="B71" s="2"/>
      <x:c r="C71" s="2" t="str">
        <x:v>Bear</x:v>
      </x:c>
      <x:c r="D71" s="18" t="n">
        <x:v>55000000</x:v>
      </x:c>
      <x:c r="E71" s="2"/>
      <x:c r="F71" s="10"/>
      <x:c r="G71" s="10"/>
      <x:c r="H71" s="10"/>
      <x:c r="I71" s="10"/>
      <x:c r="J71" s="10"/>
      <x:c r="K71" s="2"/>
      <x:c r="L71" s="2"/>
      <x:c r="M71" s="2"/>
      <x:c r="N71" s="2"/>
      <x:c r="O71" s="2"/>
      <x:c r="P71" s="2"/>
      <x:c r="Q71" s="2"/>
    </x:row>
    <x:row r="72" ht="21" customHeight="1">
      <x:c r="A72" s="2"/>
      <x:c r="B72" s="2"/>
      <x:c r="C72" s="2" t="str">
        <x:v>Base</x:v>
      </x:c>
      <x:c r="D72" s="18" t="n">
        <x:v>50000000</x:v>
      </x:c>
      <x:c r="E72" s="2"/>
      <x:c r="F72" s="10"/>
      <x:c r="G72" s="10"/>
      <x:c r="H72" s="10"/>
      <x:c r="I72" s="10"/>
      <x:c r="J72" s="10"/>
      <x:c r="K72" s="2"/>
      <x:c r="L72" s="2"/>
      <x:c r="M72" s="2"/>
      <x:c r="N72" s="2"/>
      <x:c r="O72" s="2"/>
      <x:c r="P72" s="2"/>
      <x:c r="Q72" s="2"/>
    </x:row>
    <x:row r="73" ht="21" customHeight="1">
      <x:c r="A73" s="2"/>
      <x:c r="B73" s="2"/>
      <x:c r="C73" s="2" t="str">
        <x:v>Bull</x:v>
      </x:c>
      <x:c r="D73" s="18" t="n">
        <x:v>48000000</x:v>
      </x:c>
      <x:c r="E73" s="2"/>
      <x:c r="F73" s="10"/>
      <x:c r="G73" s="10"/>
      <x:c r="H73" s="10"/>
      <x:c r="I73" s="10"/>
      <x:c r="J73" s="10"/>
      <x:c r="K73" s="2"/>
      <x:c r="L73" s="2"/>
      <x:c r="M73" s="2"/>
      <x:c r="N73" s="2"/>
      <x:c r="O73" s="2"/>
      <x:c r="P73" s="2"/>
      <x:c r="Q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1" customHeight="1">
      <x:c r="A75" s="2"/>
      <x:c r="B75" s="2"/>
      <x:c r="C75" s="13" t="str">
        <x:v>Drydock cash budget</x:v>
      </x:c>
      <x:c r="D75" s="17" t="n">
        <x:f>IF(ISNUMBER(CHOOSE($D$5,D76,D77,D78)),CHOOSE($D$5,D76,D77,D78),NA())</x:f>
        <x:v>580000</x:v>
      </x:c>
      <x:c r="E75" s="13" t="str">
        <x:v>USD/vessel/year</x:v>
      </x:c>
      <x:c r="F75" s="10" t="str">
        <x:v>Normalized annual cash budget, not individual docking dates. H1 expensed docking annualized is about $580k/vessel.</x:v>
      </x:c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</x:row>
    <x:row r="76" ht="21" customHeight="1">
      <x:c r="A76" s="2"/>
      <x:c r="B76" s="2"/>
      <x:c r="C76" s="2" t="str">
        <x:v>Bear</x:v>
      </x:c>
      <x:c r="D76" s="18" t="n">
        <x:v>650000</x:v>
      </x:c>
      <x:c r="E76" s="2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</x:row>
    <x:row r="77" ht="21" customHeight="1">
      <x:c r="A77" s="2"/>
      <x:c r="B77" s="2"/>
      <x:c r="C77" s="2" t="str">
        <x:v>Base</x:v>
      </x:c>
      <x:c r="D77" s="18" t="n">
        <x:v>580000</x:v>
      </x:c>
      <x:c r="E77" s="2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</x:row>
    <x:row r="78" ht="21" customHeight="1">
      <x:c r="A78" s="2"/>
      <x:c r="B78" s="2"/>
      <x:c r="C78" s="2" t="str">
        <x:v>Bull</x:v>
      </x:c>
      <x:c r="D78" s="18" t="n">
        <x:v>520000</x:v>
      </x:c>
      <x:c r="E78" s="2"/>
      <x:c r="F78" s="10"/>
      <x:c r="G78" s="10"/>
      <x:c r="H78" s="10"/>
      <x:c r="I78" s="10"/>
      <x:c r="J78" s="10"/>
      <x:c r="K78" s="2"/>
      <x:c r="L78" s="2"/>
      <x:c r="M78" s="2"/>
      <x:c r="N78" s="2"/>
      <x:c r="O78" s="2"/>
      <x:c r="P78" s="2"/>
      <x:c r="Q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1" customHeight="1">
      <x:c r="A80" s="2"/>
      <x:c r="B80" s="2"/>
      <x:c r="C80" s="13" t="str">
        <x:v>Other maintenance capex</x:v>
      </x:c>
      <x:c r="D80" s="17" t="n">
        <x:f>IF(ISNUMBER(CHOOSE($D$5,D81,D82,D83)),CHOOSE($D$5,D81,D82,D83),NA())</x:f>
        <x:v>130000</x:v>
      </x:c>
      <x:c r="E80" s="13" t="str">
        <x:v>USD/vessel/year</x:v>
      </x:c>
      <x:c r="F80" s="10" t="str">
        <x:v>Excludes drydock budget and newbuild delivery payments.</x:v>
      </x:c>
      <x:c r="G80" s="10"/>
      <x:c r="H80" s="10"/>
      <x:c r="I80" s="10"/>
      <x:c r="J80" s="10"/>
      <x:c r="K80" s="2"/>
      <x:c r="L80" s="2"/>
      <x:c r="M80" s="2"/>
      <x:c r="N80" s="2"/>
      <x:c r="O80" s="2"/>
      <x:c r="P80" s="2"/>
      <x:c r="Q80" s="2"/>
    </x:row>
    <x:row r="81" ht="21" customHeight="1">
      <x:c r="A81" s="2"/>
      <x:c r="B81" s="2"/>
      <x:c r="C81" s="2" t="str">
        <x:v>Bear</x:v>
      </x:c>
      <x:c r="D81" s="18" t="n">
        <x:v>160000</x:v>
      </x:c>
      <x:c r="E81" s="2"/>
      <x:c r="F81" s="10"/>
      <x:c r="G81" s="10"/>
      <x:c r="H81" s="10"/>
      <x:c r="I81" s="10"/>
      <x:c r="J81" s="10"/>
      <x:c r="K81" s="2"/>
      <x:c r="L81" s="2"/>
      <x:c r="M81" s="2"/>
      <x:c r="N81" s="2"/>
      <x:c r="O81" s="2"/>
      <x:c r="P81" s="2"/>
      <x:c r="Q81" s="2"/>
    </x:row>
    <x:row r="82" ht="21" customHeight="1">
      <x:c r="A82" s="2"/>
      <x:c r="B82" s="2"/>
      <x:c r="C82" s="2" t="str">
        <x:v>Base</x:v>
      </x:c>
      <x:c r="D82" s="18" t="n">
        <x:v>130000</x:v>
      </x:c>
      <x:c r="E82" s="2"/>
      <x:c r="F82" s="10"/>
      <x:c r="G82" s="10"/>
      <x:c r="H82" s="10"/>
      <x:c r="I82" s="10"/>
      <x:c r="J82" s="10"/>
      <x:c r="K82" s="2"/>
      <x:c r="L82" s="2"/>
      <x:c r="M82" s="2"/>
      <x:c r="N82" s="2"/>
      <x:c r="O82" s="2"/>
      <x:c r="P82" s="2"/>
      <x:c r="Q82" s="2"/>
    </x:row>
    <x:row r="83" ht="21" customHeight="1">
      <x:c r="A83" s="2"/>
      <x:c r="B83" s="2"/>
      <x:c r="C83" s="2" t="str">
        <x:v>Bull</x:v>
      </x:c>
      <x:c r="D83" s="18" t="n">
        <x:v>100000</x:v>
      </x:c>
      <x:c r="E83" s="2"/>
      <x:c r="F83" s="10"/>
      <x:c r="G83" s="10"/>
      <x:c r="H83" s="10"/>
      <x:c r="I83" s="10"/>
      <x:c r="J83" s="10"/>
      <x:c r="K83" s="2"/>
      <x:c r="L83" s="2"/>
      <x:c r="M83" s="2"/>
      <x:c r="N83" s="2"/>
      <x:c r="O83" s="2"/>
      <x:c r="P83" s="2"/>
      <x:c r="Q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1" customHeight="1">
      <x:c r="A85" s="2"/>
      <x:c r="B85" s="2"/>
      <x:c r="C85" s="13" t="str">
        <x:v>Net scrap proxy</x:v>
      </x:c>
      <x:c r="D85" s="17" t="n">
        <x:f>IF(ISNUMBER(CHOOSE($D$5,D86,D87,D88)),CHOOSE($D$5,D86,D87,D88),NA())</x:f>
        <x:v>70</x:v>
      </x:c>
      <x:c r="E85" s="13" t="str">
        <x:v>USD/dwt</x:v>
      </x:c>
      <x:c r="F85" s="10" t="str">
        <x:v>Explicit DWT-based proxy, not lightweight tonnage times steel price; sensitivity only.</x:v>
      </x:c>
      <x:c r="G85" s="10"/>
      <x:c r="H85" s="10"/>
      <x:c r="I85" s="10"/>
      <x:c r="J85" s="10"/>
      <x:c r="K85" s="2"/>
      <x:c r="L85" s="2"/>
      <x:c r="M85" s="2"/>
      <x:c r="N85" s="2"/>
      <x:c r="O85" s="2"/>
      <x:c r="P85" s="2"/>
      <x:c r="Q85" s="2"/>
    </x:row>
    <x:row r="86" ht="21" customHeight="1">
      <x:c r="A86" s="2"/>
      <x:c r="B86" s="2"/>
      <x:c r="C86" s="2" t="str">
        <x:v>Bear</x:v>
      </x:c>
      <x:c r="D86" s="18" t="n">
        <x:v>55</x:v>
      </x:c>
      <x:c r="E86" s="2"/>
      <x:c r="F86" s="10"/>
      <x:c r="G86" s="10"/>
      <x:c r="H86" s="10"/>
      <x:c r="I86" s="10"/>
      <x:c r="J86" s="10"/>
      <x:c r="K86" s="2"/>
      <x:c r="L86" s="2"/>
      <x:c r="M86" s="2"/>
      <x:c r="N86" s="2"/>
      <x:c r="O86" s="2"/>
      <x:c r="P86" s="2"/>
      <x:c r="Q86" s="2"/>
    </x:row>
    <x:row r="87" ht="21" customHeight="1">
      <x:c r="A87" s="2"/>
      <x:c r="B87" s="2"/>
      <x:c r="C87" s="2" t="str">
        <x:v>Base</x:v>
      </x:c>
      <x:c r="D87" s="18" t="n">
        <x:v>70</x:v>
      </x:c>
      <x:c r="E87" s="2"/>
      <x:c r="F87" s="10"/>
      <x:c r="G87" s="10"/>
      <x:c r="H87" s="10"/>
      <x:c r="I87" s="10"/>
      <x:c r="J87" s="10"/>
      <x:c r="K87" s="2"/>
      <x:c r="L87" s="2"/>
      <x:c r="M87" s="2"/>
      <x:c r="N87" s="2"/>
      <x:c r="O87" s="2"/>
      <x:c r="P87" s="2"/>
      <x:c r="Q87" s="2"/>
    </x:row>
    <x:row r="88" ht="21" customHeight="1">
      <x:c r="A88" s="2"/>
      <x:c r="B88" s="2"/>
      <x:c r="C88" s="2" t="str">
        <x:v>Bull</x:v>
      </x:c>
      <x:c r="D88" s="18" t="n">
        <x:v>85</x:v>
      </x:c>
      <x:c r="E88" s="2"/>
      <x:c r="F88" s="10"/>
      <x:c r="G88" s="10"/>
      <x:c r="H88" s="10"/>
      <x:c r="I88" s="10"/>
      <x:c r="J88" s="10"/>
      <x:c r="K88" s="2"/>
      <x:c r="L88" s="2"/>
      <x:c r="M88" s="2"/>
      <x:c r="N88" s="2"/>
      <x:c r="O88" s="2"/>
      <x:c r="P88" s="2"/>
      <x:c r="Q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1" customHeight="1">
      <x:c r="A90" s="2"/>
      <x:c r="B90" s="2"/>
      <x:c r="C90" s="13" t="str">
        <x:v>Annual cost and rate growth</x:v>
      </x:c>
      <x:c r="D90" s="19" t="n">
        <x:f>IF(ISNUMBER(CHOOSE($D$5,D91,D92,D93)),CHOOSE($D$5,D91,D92,D93),NA())</x:f>
        <x:v>0.02</x:v>
      </x:c>
      <x:c r="E90" s="13" t="str">
        <x:v>fraction</x:v>
      </x:c>
      <x:c r="F90" s="10" t="str">
        <x:v>Same nominal escalation on TCE, opex and recurring cash budgets; no perpetual terminal value.</x:v>
      </x:c>
      <x:c r="G90" s="10"/>
      <x:c r="H90" s="10"/>
      <x:c r="I90" s="10"/>
      <x:c r="J90" s="10"/>
      <x:c r="K90" s="2"/>
      <x:c r="L90" s="2"/>
      <x:c r="M90" s="2"/>
      <x:c r="N90" s="2"/>
      <x:c r="O90" s="2"/>
      <x:c r="P90" s="2"/>
      <x:c r="Q90" s="2"/>
    </x:row>
    <x:row r="91" ht="21" customHeight="1">
      <x:c r="A91" s="2"/>
      <x:c r="B91" s="2"/>
      <x:c r="C91" s="2" t="str">
        <x:v>Bear</x:v>
      </x:c>
      <x:c r="D91" s="20" t="n">
        <x:v>0.02</x:v>
      </x:c>
      <x:c r="E91" s="2"/>
      <x:c r="F91" s="10"/>
      <x:c r="G91" s="10"/>
      <x:c r="H91" s="10"/>
      <x:c r="I91" s="10"/>
      <x:c r="J91" s="10"/>
      <x:c r="K91" s="2"/>
      <x:c r="L91" s="2"/>
      <x:c r="M91" s="2"/>
      <x:c r="N91" s="2"/>
      <x:c r="O91" s="2"/>
      <x:c r="P91" s="2"/>
      <x:c r="Q91" s="2"/>
    </x:row>
    <x:row r="92" ht="21" customHeight="1">
      <x:c r="A92" s="2"/>
      <x:c r="B92" s="2"/>
      <x:c r="C92" s="2" t="str">
        <x:v>Base</x:v>
      </x:c>
      <x:c r="D92" s="20" t="n">
        <x:v>0.02</x:v>
      </x:c>
      <x:c r="E92" s="2"/>
      <x:c r="F92" s="10"/>
      <x:c r="G92" s="10"/>
      <x:c r="H92" s="10"/>
      <x:c r="I92" s="10"/>
      <x:c r="J92" s="10"/>
      <x:c r="K92" s="2"/>
      <x:c r="L92" s="2"/>
      <x:c r="M92" s="2"/>
      <x:c r="N92" s="2"/>
      <x:c r="O92" s="2"/>
      <x:c r="P92" s="2"/>
      <x:c r="Q92" s="2"/>
    </x:row>
    <x:row r="93" ht="21" customHeight="1">
      <x:c r="A93" s="2"/>
      <x:c r="B93" s="2"/>
      <x:c r="C93" s="2" t="str">
        <x:v>Bull</x:v>
      </x:c>
      <x:c r="D93" s="20" t="n">
        <x:v>0.02</x:v>
      </x:c>
      <x:c r="E93" s="2"/>
      <x:c r="F93" s="10"/>
      <x:c r="G93" s="10"/>
      <x:c r="H93" s="10"/>
      <x:c r="I93" s="10"/>
      <x:c r="J93" s="10"/>
      <x:c r="K93" s="2"/>
      <x:c r="L93" s="2"/>
      <x:c r="M93" s="2"/>
      <x:c r="N93" s="2"/>
      <x:c r="O93" s="2"/>
      <x:c r="P93" s="2"/>
      <x:c r="Q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 ht="21" customHeight="1">
      <x:c r="A95" s="2"/>
      <x:c r="B95" s="2"/>
      <x:c r="C95" s="13" t="str">
        <x:v>Cash taxes / TCE revenue</x:v>
      </x:c>
      <x:c r="D95" s="19" t="n">
        <x:f>IF(ISNUMBER(CHOOSE($D$5,D96,D97,D98)),CHOOSE($D$5,D96,D97,D98),NA())</x:f>
        <x:v>0.005</x:v>
      </x:c>
      <x:c r="E95" s="13" t="str">
        <x:v>fraction</x:v>
      </x:c>
      <x:c r="F95" s="10" t="str">
        <x:v>Simplified cash-tax proxy; no jurisdictional tax model or interest tax shield.</x:v>
      </x:c>
      <x:c r="G95" s="10"/>
      <x:c r="H95" s="10"/>
      <x:c r="I95" s="10"/>
      <x:c r="J95" s="10"/>
      <x:c r="K95" s="2"/>
      <x:c r="L95" s="2"/>
      <x:c r="M95" s="2"/>
      <x:c r="N95" s="2"/>
      <x:c r="O95" s="2"/>
      <x:c r="P95" s="2"/>
      <x:c r="Q95" s="2"/>
    </x:row>
    <x:row r="96" ht="21" customHeight="1">
      <x:c r="A96" s="2"/>
      <x:c r="B96" s="2"/>
      <x:c r="C96" s="2" t="str">
        <x:v>Bear</x:v>
      </x:c>
      <x:c r="D96" s="20" t="n">
        <x:v>0.01</x:v>
      </x:c>
      <x:c r="E96" s="2"/>
      <x:c r="F96" s="10"/>
      <x:c r="G96" s="10"/>
      <x:c r="H96" s="10"/>
      <x:c r="I96" s="10"/>
      <x:c r="J96" s="10"/>
      <x:c r="K96" s="2"/>
      <x:c r="L96" s="2"/>
      <x:c r="M96" s="2"/>
      <x:c r="N96" s="2"/>
      <x:c r="O96" s="2"/>
      <x:c r="P96" s="2"/>
      <x:c r="Q96" s="2"/>
    </x:row>
    <x:row r="97" ht="21" customHeight="1">
      <x:c r="A97" s="2"/>
      <x:c r="B97" s="2"/>
      <x:c r="C97" s="2" t="str">
        <x:v>Base</x:v>
      </x:c>
      <x:c r="D97" s="20" t="n">
        <x:v>0.005</x:v>
      </x:c>
      <x:c r="E97" s="2"/>
      <x:c r="F97" s="10"/>
      <x:c r="G97" s="10"/>
      <x:c r="H97" s="10"/>
      <x:c r="I97" s="10"/>
      <x:c r="J97" s="10"/>
      <x:c r="K97" s="2"/>
      <x:c r="L97" s="2"/>
      <x:c r="M97" s="2"/>
      <x:c r="N97" s="2"/>
      <x:c r="O97" s="2"/>
      <x:c r="P97" s="2"/>
      <x:c r="Q97" s="2"/>
    </x:row>
    <x:row r="98" ht="21" customHeight="1">
      <x:c r="A98" s="2"/>
      <x:c r="B98" s="2"/>
      <x:c r="C98" s="2" t="str">
        <x:v>Bull</x:v>
      </x:c>
      <x:c r="D98" s="20" t="n">
        <x:v>0</x:v>
      </x:c>
      <x:c r="E98" s="2"/>
      <x:c r="F98" s="10"/>
      <x:c r="G98" s="10"/>
      <x:c r="H98" s="10"/>
      <x:c r="I98" s="10"/>
      <x:c r="J98" s="10"/>
      <x:c r="K98" s="2"/>
      <x:c r="L98" s="2"/>
      <x:c r="M98" s="2"/>
      <x:c r="N98" s="2"/>
      <x:c r="O98" s="2"/>
      <x:c r="P98" s="2"/>
      <x:c r="Q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 ht="21" customHeight="1">
      <x:c r="A100" s="2"/>
      <x:c r="B100" s="2"/>
      <x:c r="C100" s="13" t="str">
        <x:v>Debt interest rate</x:v>
      </x:c>
      <x:c r="D100" s="19" t="n">
        <x:f>IF(ISNUMBER(CHOOSE($D$5,D101,D102,D103)),CHOOSE($D$5,D101,D102,D103),NA())</x:f>
        <x:v>0.06</x:v>
      </x:c>
      <x:c r="E100" s="13" t="str">
        <x:v>fraction</x:v>
      </x:c>
      <x:c r="F100" s="10" t="str">
        <x:v>Cash interest scenarios; H1 disclosed weighted rate was 5.3%.</x:v>
      </x:c>
      <x:c r="G100" s="10"/>
      <x:c r="H100" s="10"/>
      <x:c r="I100" s="10"/>
      <x:c r="J100" s="10"/>
      <x:c r="K100" s="2"/>
      <x:c r="L100" s="2"/>
      <x:c r="M100" s="2"/>
      <x:c r="N100" s="2"/>
      <x:c r="O100" s="2"/>
      <x:c r="P100" s="2"/>
      <x:c r="Q100" s="2"/>
    </x:row>
    <x:row r="101" ht="21" customHeight="1">
      <x:c r="A101" s="2"/>
      <x:c r="B101" s="2"/>
      <x:c r="C101" s="2" t="str">
        <x:v>Bear</x:v>
      </x:c>
      <x:c r="D101" s="20" t="n">
        <x:v>0.075</x:v>
      </x:c>
      <x:c r="E101" s="2"/>
      <x:c r="F101" s="10"/>
      <x:c r="G101" s="10"/>
      <x:c r="H101" s="10"/>
      <x:c r="I101" s="10"/>
      <x:c r="J101" s="10"/>
      <x:c r="K101" s="2"/>
      <x:c r="L101" s="2"/>
      <x:c r="M101" s="2"/>
      <x:c r="N101" s="2"/>
      <x:c r="O101" s="2"/>
      <x:c r="P101" s="2"/>
      <x:c r="Q101" s="2"/>
    </x:row>
    <x:row r="102" ht="21" customHeight="1">
      <x:c r="A102" s="2"/>
      <x:c r="B102" s="2"/>
      <x:c r="C102" s="2" t="str">
        <x:v>Base</x:v>
      </x:c>
      <x:c r="D102" s="20" t="n">
        <x:v>0.06</x:v>
      </x:c>
      <x:c r="E102" s="2"/>
      <x:c r="F102" s="10"/>
      <x:c r="G102" s="10"/>
      <x:c r="H102" s="10"/>
      <x:c r="I102" s="10"/>
      <x:c r="J102" s="10"/>
      <x:c r="K102" s="2"/>
      <x:c r="L102" s="2"/>
      <x:c r="M102" s="2"/>
      <x:c r="N102" s="2"/>
      <x:c r="O102" s="2"/>
      <x:c r="P102" s="2"/>
      <x:c r="Q102" s="2"/>
    </x:row>
    <x:row r="103" ht="21" customHeight="1">
      <x:c r="A103" s="2"/>
      <x:c r="B103" s="2"/>
      <x:c r="C103" s="2" t="str">
        <x:v>Bull</x:v>
      </x:c>
      <x:c r="D103" s="20" t="n">
        <x:v>0.05</x:v>
      </x:c>
      <x:c r="E103" s="2"/>
      <x:c r="F103" s="10"/>
      <x:c r="G103" s="10"/>
      <x:c r="H103" s="10"/>
      <x:c r="I103" s="10"/>
      <x:c r="J103" s="10"/>
      <x:c r="K103" s="2"/>
      <x:c r="L103" s="2"/>
      <x:c r="M103" s="2"/>
      <x:c r="N103" s="2"/>
      <x:c r="O103" s="2"/>
      <x:c r="P103" s="2"/>
      <x:c r="Q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 ht="21" customHeight="1">
      <x:c r="A105" s="2"/>
      <x:c r="B105" s="2"/>
      <x:c r="C105" s="13" t="str">
        <x:v>Unreported net cash change</x:v>
      </x:c>
      <x:c r="D105" s="17" t="n">
        <x:f>IF(ISNUMBER(CHOOSE($D$5,D106,D107,D108)),CHOOSE($D$5,D106,D107,D108),NA())</x:f>
        <x:v>100000000</x:v>
      </x:c>
      <x:c r="E105" s="13" t="str">
        <x:v>USD</x:v>
      </x:c>
      <x:c r="F105" s="10" t="str">
        <x:v>Net July 1–Oct 9 cash change excluding disclosed equity proceeds, dividends and debt repayment. Includes operating cash, vessel sales, delivery payments and restricted-cash release. Estimated, not a reported balance.</x:v>
      </x:c>
      <x:c r="G105" s="10"/>
      <x:c r="H105" s="10"/>
      <x:c r="I105" s="10"/>
      <x:c r="J105" s="10"/>
      <x:c r="K105" s="2"/>
      <x:c r="L105" s="2"/>
      <x:c r="M105" s="2"/>
      <x:c r="N105" s="2"/>
      <x:c r="O105" s="2"/>
      <x:c r="P105" s="2"/>
      <x:c r="Q105" s="2"/>
    </x:row>
    <x:row r="106" ht="21" customHeight="1">
      <x:c r="A106" s="2"/>
      <x:c r="B106" s="2"/>
      <x:c r="C106" s="2" t="str">
        <x:v>Bear</x:v>
      </x:c>
      <x:c r="D106" s="18" t="n">
        <x:v>50000000</x:v>
      </x:c>
      <x:c r="E106" s="2"/>
      <x:c r="F106" s="10"/>
      <x:c r="G106" s="10"/>
      <x:c r="H106" s="10"/>
      <x:c r="I106" s="10"/>
      <x:c r="J106" s="10"/>
      <x:c r="K106" s="2"/>
      <x:c r="L106" s="2"/>
      <x:c r="M106" s="2"/>
      <x:c r="N106" s="2"/>
      <x:c r="O106" s="2"/>
      <x:c r="P106" s="2"/>
      <x:c r="Q106" s="2"/>
    </x:row>
    <x:row r="107" ht="21" customHeight="1">
      <x:c r="A107" s="2"/>
      <x:c r="B107" s="2"/>
      <x:c r="C107" s="2" t="str">
        <x:v>Base</x:v>
      </x:c>
      <x:c r="D107" s="18" t="n">
        <x:v>100000000</x:v>
      </x:c>
      <x:c r="E107" s="2"/>
      <x:c r="F107" s="10"/>
      <x:c r="G107" s="10"/>
      <x:c r="H107" s="10"/>
      <x:c r="I107" s="10"/>
      <x:c r="J107" s="10"/>
      <x:c r="K107" s="2"/>
      <x:c r="L107" s="2"/>
      <x:c r="M107" s="2"/>
      <x:c r="N107" s="2"/>
      <x:c r="O107" s="2"/>
      <x:c r="P107" s="2"/>
      <x:c r="Q107" s="2"/>
    </x:row>
    <x:row r="108" ht="21" customHeight="1">
      <x:c r="A108" s="2"/>
      <x:c r="B108" s="2"/>
      <x:c r="C108" s="2" t="str">
        <x:v>Bull</x:v>
      </x:c>
      <x:c r="D108" s="18" t="n">
        <x:v>150000000</x:v>
      </x:c>
      <x:c r="E108" s="2"/>
      <x:c r="F108" s="10"/>
      <x:c r="G108" s="10"/>
      <x:c r="H108" s="10"/>
      <x:c r="I108" s="10"/>
      <x:c r="J108" s="10"/>
      <x:c r="K108" s="2"/>
      <x:c r="L108" s="2"/>
      <x:c r="M108" s="2"/>
      <x:c r="N108" s="2"/>
      <x:c r="O108" s="2"/>
      <x:c r="P108" s="2"/>
      <x:c r="Q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 ht="21" customHeight="1">
      <x:c r="A110" s="2"/>
      <x:c r="B110" s="2"/>
      <x:c r="C110" s="13" t="str">
        <x:v>Remaining newbuild payment multiplier</x:v>
      </x:c>
      <x:c r="D110" s="21" t="n">
        <x:f>IF(ISNUMBER(CHOOSE($D$5,D111,D112,D113)),CHOOSE($D$5,D111,D112,D113),NA())</x:f>
        <x:v>1</x:v>
      </x:c>
      <x:c r="E110" s="13" t="str">
        <x:v>multiple</x:v>
      </x:c>
      <x:c r="F110" s="10" t="str">
        <x:v>Base allocation of June remaining commitments evenly across five hulls; three future hulls remain.</x:v>
      </x:c>
      <x:c r="G110" s="10"/>
      <x:c r="H110" s="10"/>
      <x:c r="I110" s="10"/>
      <x:c r="J110" s="10"/>
      <x:c r="K110" s="2"/>
      <x:c r="L110" s="2"/>
      <x:c r="M110" s="2"/>
      <x:c r="N110" s="2"/>
      <x:c r="O110" s="2"/>
      <x:c r="P110" s="2"/>
      <x:c r="Q110" s="2"/>
    </x:row>
    <x:row r="111" ht="21" customHeight="1">
      <x:c r="A111" s="2"/>
      <x:c r="B111" s="2"/>
      <x:c r="C111" s="2" t="str">
        <x:v>Bear</x:v>
      </x:c>
      <x:c r="D111" s="22" t="n">
        <x:v>1.2</x:v>
      </x:c>
      <x:c r="E111" s="2"/>
      <x:c r="F111" s="10"/>
      <x:c r="G111" s="10"/>
      <x:c r="H111" s="10"/>
      <x:c r="I111" s="10"/>
      <x:c r="J111" s="10"/>
      <x:c r="K111" s="2"/>
      <x:c r="L111" s="2"/>
      <x:c r="M111" s="2"/>
      <x:c r="N111" s="2"/>
      <x:c r="O111" s="2"/>
      <x:c r="P111" s="2"/>
      <x:c r="Q111" s="2"/>
    </x:row>
    <x:row r="112" ht="21" customHeight="1">
      <x:c r="A112" s="2"/>
      <x:c r="B112" s="2"/>
      <x:c r="C112" s="2" t="str">
        <x:v>Base</x:v>
      </x:c>
      <x:c r="D112" s="22" t="n">
        <x:v>1</x:v>
      </x:c>
      <x:c r="E112" s="2"/>
      <x:c r="F112" s="10"/>
      <x:c r="G112" s="10"/>
      <x:c r="H112" s="10"/>
      <x:c r="I112" s="10"/>
      <x:c r="J112" s="10"/>
      <x:c r="K112" s="2"/>
      <x:c r="L112" s="2"/>
      <x:c r="M112" s="2"/>
      <x:c r="N112" s="2"/>
      <x:c r="O112" s="2"/>
      <x:c r="P112" s="2"/>
      <x:c r="Q112" s="2"/>
    </x:row>
    <x:row r="113" ht="21" customHeight="1">
      <x:c r="A113" s="2"/>
      <x:c r="B113" s="2"/>
      <x:c r="C113" s="2" t="str">
        <x:v>Bull</x:v>
      </x:c>
      <x:c r="D113" s="22" t="n">
        <x:v>0.8</x:v>
      </x:c>
      <x:c r="E113" s="2"/>
      <x:c r="F113" s="10"/>
      <x:c r="G113" s="10"/>
      <x:c r="H113" s="10"/>
      <x:c r="I113" s="10"/>
      <x:c r="J113" s="10"/>
      <x:c r="K113" s="2"/>
      <x:c r="L113" s="2"/>
      <x:c r="M113" s="2"/>
      <x:c r="N113" s="2"/>
      <x:c r="O113" s="2"/>
      <x:c r="P113" s="2"/>
      <x:c r="Q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1" customHeight="1">
      <x:c r="A115" s="2"/>
      <x:c r="B115" s="2"/>
      <x:c r="C115" s="13" t="str">
        <x:v>Other net claims</x:v>
      </x:c>
      <x:c r="D115" s="17" t="n">
        <x:f>IF(ISNUMBER(CHOOSE($D$5,D116,D117,D118)),CHOOSE($D$5,D116,D117,D118),NA())</x:f>
        <x:v>0</x:v>
      </x:c>
      <x:c r="E115" s="13" t="str">
        <x:v>USD</x:v>
      </x:c>
      <x:c r="F115" s="10" t="str">
        <x:v>Net operating lease/other-claim valuation adjustment. Base charter-in activity assumed zero net value; book lease liability is not subtracted alone.</x:v>
      </x:c>
      <x:c r="G115" s="10"/>
      <x:c r="H115" s="10"/>
      <x:c r="I115" s="10"/>
      <x:c r="J115" s="10"/>
      <x:c r="K115" s="2"/>
      <x:c r="L115" s="2"/>
      <x:c r="M115" s="2"/>
      <x:c r="N115" s="2"/>
      <x:c r="O115" s="2"/>
      <x:c r="P115" s="2"/>
      <x:c r="Q115" s="2"/>
    </x:row>
    <x:row r="116" ht="21" customHeight="1">
      <x:c r="A116" s="2"/>
      <x:c r="B116" s="2"/>
      <x:c r="C116" s="2" t="str">
        <x:v>Bear</x:v>
      </x:c>
      <x:c r="D116" s="18" t="n">
        <x:v>25000000</x:v>
      </x:c>
      <x:c r="E116" s="2"/>
      <x:c r="F116" s="10"/>
      <x:c r="G116" s="10"/>
      <x:c r="H116" s="10"/>
      <x:c r="I116" s="10"/>
      <x:c r="J116" s="10"/>
      <x:c r="K116" s="2"/>
      <x:c r="L116" s="2"/>
      <x:c r="M116" s="2"/>
      <x:c r="N116" s="2"/>
      <x:c r="O116" s="2"/>
      <x:c r="P116" s="2"/>
      <x:c r="Q116" s="2"/>
    </x:row>
    <x:row r="117" ht="21" customHeight="1">
      <x:c r="A117" s="2"/>
      <x:c r="B117" s="2"/>
      <x:c r="C117" s="2" t="str">
        <x:v>Base</x:v>
      </x:c>
      <x:c r="D117" s="18" t="n">
        <x:v>0</x:v>
      </x:c>
      <x:c r="E117" s="2"/>
      <x:c r="F117" s="10"/>
      <x:c r="G117" s="10"/>
      <x:c r="H117" s="10"/>
      <x:c r="I117" s="10"/>
      <x:c r="J117" s="10"/>
      <x:c r="K117" s="2"/>
      <x:c r="L117" s="2"/>
      <x:c r="M117" s="2"/>
      <x:c r="N117" s="2"/>
      <x:c r="O117" s="2"/>
      <x:c r="P117" s="2"/>
      <x:c r="Q117" s="2"/>
    </x:row>
    <x:row r="118" ht="21" customHeight="1">
      <x:c r="A118" s="2"/>
      <x:c r="B118" s="2"/>
      <x:c r="C118" s="2" t="str">
        <x:v>Bull</x:v>
      </x:c>
      <x:c r="D118" s="18" t="n">
        <x:v>0</x:v>
      </x:c>
      <x:c r="E118" s="2"/>
      <x:c r="F118" s="10"/>
      <x:c r="G118" s="10"/>
      <x:c r="H118" s="10"/>
      <x:c r="I118" s="10"/>
      <x:c r="J118" s="10"/>
      <x:c r="K118" s="2"/>
      <x:c r="L118" s="2"/>
      <x:c r="M118" s="2"/>
      <x:c r="N118" s="2"/>
      <x:c r="O118" s="2"/>
      <x:c r="P118" s="2"/>
      <x:c r="Q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1" customHeight="1">
      <x:c r="A120" s="2"/>
      <x:c r="B120" s="2"/>
      <x:c r="C120" s="13" t="str">
        <x:v>Overhead retained until last retirement</x:v>
      </x:c>
      <x:c r="D120" s="19" t="n">
        <x:f>IF(ISNUMBER(CHOOSE($D$5,D121,D122,D123)),CHOOSE($D$5,D121,D122,D123),NA())</x:f>
        <x:v>0.25</x:v>
      </x:c>
      <x:c r="E120" s="13" t="str">
        <x:v>fraction</x:v>
      </x:c>
      <x:c r="F120" s="10" t="str">
        <x:v>Fraction of overhead remains fixed while any fleet operates; rest declines with owned days.</x:v>
      </x:c>
      <x:c r="G120" s="10"/>
      <x:c r="H120" s="10"/>
      <x:c r="I120" s="10"/>
      <x:c r="J120" s="10"/>
      <x:c r="K120" s="2"/>
      <x:c r="L120" s="2"/>
      <x:c r="M120" s="2"/>
      <x:c r="N120" s="2"/>
      <x:c r="O120" s="2"/>
      <x:c r="P120" s="2"/>
      <x:c r="Q120" s="2"/>
    </x:row>
    <x:row r="121" ht="21" customHeight="1">
      <x:c r="A121" s="2"/>
      <x:c r="B121" s="2"/>
      <x:c r="C121" s="2" t="str">
        <x:v>Bear</x:v>
      </x:c>
      <x:c r="D121" s="20" t="n">
        <x:v>0.5</x:v>
      </x:c>
      <x:c r="E121" s="2"/>
      <x:c r="F121" s="10"/>
      <x:c r="G121" s="10"/>
      <x:c r="H121" s="10"/>
      <x:c r="I121" s="10"/>
      <x:c r="J121" s="10"/>
      <x:c r="K121" s="2"/>
      <x:c r="L121" s="2"/>
      <x:c r="M121" s="2"/>
      <x:c r="N121" s="2"/>
      <x:c r="O121" s="2"/>
      <x:c r="P121" s="2"/>
      <x:c r="Q121" s="2"/>
    </x:row>
    <x:row r="122" ht="21" customHeight="1">
      <x:c r="A122" s="2"/>
      <x:c r="B122" s="2"/>
      <x:c r="C122" s="2" t="str">
        <x:v>Base</x:v>
      </x:c>
      <x:c r="D122" s="20" t="n">
        <x:v>0.25</x:v>
      </x:c>
      <x:c r="E122" s="2"/>
      <x:c r="F122" s="10"/>
      <x:c r="G122" s="10"/>
      <x:c r="H122" s="10"/>
      <x:c r="I122" s="10"/>
      <x:c r="J122" s="10"/>
      <x:c r="K122" s="2"/>
      <x:c r="L122" s="2"/>
      <x:c r="M122" s="2"/>
      <x:c r="N122" s="2"/>
      <x:c r="O122" s="2"/>
      <x:c r="P122" s="2"/>
      <x:c r="Q122" s="2"/>
    </x:row>
    <x:row r="123" ht="21" customHeight="1">
      <x:c r="A123" s="2"/>
      <x:c r="B123" s="2"/>
      <x:c r="C123" s="2" t="str">
        <x:v>Bull</x:v>
      </x:c>
      <x:c r="D123" s="20" t="n">
        <x:v>0.1</x:v>
      </x:c>
      <x:c r="E123" s="2"/>
      <x:c r="F123" s="10"/>
      <x:c r="G123" s="10"/>
      <x:c r="H123" s="10"/>
      <x:c r="I123" s="10"/>
      <x:c r="J123" s="10"/>
      <x:c r="K123" s="2"/>
      <x:c r="L123" s="2"/>
      <x:c r="M123" s="2"/>
      <x:c r="N123" s="2"/>
      <x:c r="O123" s="2"/>
      <x:c r="P123" s="2"/>
      <x:c r="Q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 ht="21" customHeight="1">
      <x:c r="A125" s="2"/>
      <x:c r="B125" s="2"/>
      <x:c r="C125" s="13" t="str">
        <x:v>Additional share dilution</x:v>
      </x:c>
      <x:c r="D125" s="17" t="n">
        <x:f>IF(ISNUMBER(CHOOSE($D$5,D126,D127,D128)),CHOOSE($D$5,D126,D127,D128),NA())</x:f>
        <x:v>0</x:v>
      </x:c>
      <x:c r="E125" s="13" t="str">
        <x:v>shares</x:v>
      </x:c>
      <x:c r="F125" s="10" t="str">
        <x:v>Separate from completed September issuance; not weighted-average EPS shares.</x:v>
      </x:c>
      <x:c r="G125" s="10"/>
      <x:c r="H125" s="10"/>
      <x:c r="I125" s="10"/>
      <x:c r="J125" s="10"/>
      <x:c r="K125" s="2"/>
      <x:c r="L125" s="2"/>
      <x:c r="M125" s="2"/>
      <x:c r="N125" s="2"/>
      <x:c r="O125" s="2"/>
      <x:c r="P125" s="2"/>
      <x:c r="Q125" s="2"/>
    </x:row>
    <x:row r="126" ht="21" customHeight="1">
      <x:c r="A126" s="2"/>
      <x:c r="B126" s="2"/>
      <x:c r="C126" s="2" t="str">
        <x:v>Bear</x:v>
      </x:c>
      <x:c r="D126" s="18" t="n">
        <x:v>1000000</x:v>
      </x:c>
      <x:c r="E126" s="2"/>
      <x:c r="F126" s="10"/>
      <x:c r="G126" s="10"/>
      <x:c r="H126" s="10"/>
      <x:c r="I126" s="10"/>
      <x:c r="J126" s="10"/>
      <x:c r="K126" s="2"/>
      <x:c r="L126" s="2"/>
      <x:c r="M126" s="2"/>
      <x:c r="N126" s="2"/>
      <x:c r="O126" s="2"/>
      <x:c r="P126" s="2"/>
      <x:c r="Q126" s="2"/>
    </x:row>
    <x:row r="127" ht="21" customHeight="1">
      <x:c r="A127" s="2"/>
      <x:c r="B127" s="2"/>
      <x:c r="C127" s="2" t="str">
        <x:v>Base</x:v>
      </x:c>
      <x:c r="D127" s="18" t="n">
        <x:v>0</x:v>
      </x:c>
      <x:c r="E127" s="2"/>
      <x:c r="F127" s="10"/>
      <x:c r="G127" s="10"/>
      <x:c r="H127" s="10"/>
      <x:c r="I127" s="10"/>
      <x:c r="J127" s="10"/>
      <x:c r="K127" s="2"/>
      <x:c r="L127" s="2"/>
      <x:c r="M127" s="2"/>
      <x:c r="N127" s="2"/>
      <x:c r="O127" s="2"/>
      <x:c r="P127" s="2"/>
      <x:c r="Q127" s="2"/>
    </x:row>
    <x:row r="128" ht="21" customHeight="1">
      <x:c r="A128" s="2"/>
      <x:c r="B128" s="2"/>
      <x:c r="C128" s="2" t="str">
        <x:v>Bull</x:v>
      </x:c>
      <x:c r="D128" s="18" t="n">
        <x:v>0</x:v>
      </x:c>
      <x:c r="E128" s="2"/>
      <x:c r="F128" s="10"/>
      <x:c r="G128" s="10"/>
      <x:c r="H128" s="10"/>
      <x:c r="I128" s="10"/>
      <x:c r="J128" s="10"/>
      <x:c r="K128" s="2"/>
      <x:c r="L128" s="2"/>
      <x:c r="M128" s="2"/>
      <x:c r="N128" s="2"/>
      <x:c r="O128" s="2"/>
      <x:c r="P128" s="2"/>
      <x:c r="Q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 ht="21" customHeight="1">
      <x:c r="A130" s="2"/>
      <x:c r="B130" s="2"/>
      <x:c r="C130" s="13" t="str">
        <x:v>Hypothetical additional ATM gross proceeds</x:v>
      </x:c>
      <x:c r="D130" s="17" t="n">
        <x:f>IF(ISNUMBER(CHOOSE($D$5,D131,D132,D133)),CHOOSE($D$5,D131,D132,D133),NA())</x:f>
        <x:v>0</x:v>
      </x:c>
      <x:c r="E130" s="13" t="str">
        <x:v>USD</x:v>
      </x:c>
      <x:c r="F130" s="10" t="str">
        <x:v>Default undrawn. Both disclosed programs total $116.37111m; issuance adds cash net fees and shares at market price.</x:v>
      </x:c>
      <x:c r="G130" s="10"/>
      <x:c r="H130" s="10"/>
      <x:c r="I130" s="10"/>
      <x:c r="J130" s="10"/>
      <x:c r="K130" s="2"/>
      <x:c r="L130" s="2"/>
      <x:c r="M130" s="2"/>
      <x:c r="N130" s="2"/>
      <x:c r="O130" s="2"/>
      <x:c r="P130" s="2"/>
      <x:c r="Q130" s="2"/>
    </x:row>
    <x:row r="131" ht="21" customHeight="1">
      <x:c r="A131" s="2"/>
      <x:c r="B131" s="2"/>
      <x:c r="C131" s="2" t="str">
        <x:v>Bear</x:v>
      </x:c>
      <x:c r="D131" s="18" t="n">
        <x:v>0</x:v>
      </x:c>
      <x:c r="E131" s="2"/>
      <x:c r="F131" s="10"/>
      <x:c r="G131" s="10"/>
      <x:c r="H131" s="10"/>
      <x:c r="I131" s="10"/>
      <x:c r="J131" s="10"/>
      <x:c r="K131" s="2"/>
      <x:c r="L131" s="2"/>
      <x:c r="M131" s="2"/>
      <x:c r="N131" s="2"/>
      <x:c r="O131" s="2"/>
      <x:c r="P131" s="2"/>
      <x:c r="Q131" s="2"/>
    </x:row>
    <x:row r="132" ht="21" customHeight="1">
      <x:c r="A132" s="2"/>
      <x:c r="B132" s="2"/>
      <x:c r="C132" s="2" t="str">
        <x:v>Base</x:v>
      </x:c>
      <x:c r="D132" s="18" t="n">
        <x:v>0</x:v>
      </x:c>
      <x:c r="E132" s="2"/>
      <x:c r="F132" s="10"/>
      <x:c r="G132" s="10"/>
      <x:c r="H132" s="10"/>
      <x:c r="I132" s="10"/>
      <x:c r="J132" s="10"/>
      <x:c r="K132" s="2"/>
      <x:c r="L132" s="2"/>
      <x:c r="M132" s="2"/>
      <x:c r="N132" s="2"/>
      <x:c r="O132" s="2"/>
      <x:c r="P132" s="2"/>
      <x:c r="Q132" s="2"/>
    </x:row>
    <x:row r="133" ht="21" customHeight="1">
      <x:c r="A133" s="2"/>
      <x:c r="B133" s="2"/>
      <x:c r="C133" s="2" t="str">
        <x:v>Bull</x:v>
      </x:c>
      <x:c r="D133" s="18" t="n">
        <x:v>0</x:v>
      </x:c>
      <x:c r="E133" s="2"/>
      <x:c r="F133" s="10"/>
      <x:c r="G133" s="10"/>
      <x:c r="H133" s="10"/>
      <x:c r="I133" s="10"/>
      <x:c r="J133" s="10"/>
      <x:c r="K133" s="2"/>
      <x:c r="L133" s="2"/>
      <x:c r="M133" s="2"/>
      <x:c r="N133" s="2"/>
      <x:c r="O133" s="2"/>
      <x:c r="P133" s="2"/>
      <x:c r="Q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 ht="21" customHeight="1">
      <x:c r="A135" s="2"/>
      <x:c r="B135" s="2"/>
      <x:c r="C135" s="13" t="str">
        <x:v>ATM fee assumption</x:v>
      </x:c>
      <x:c r="D135" s="19" t="n">
        <x:f>IF(ISNUMBER(CHOOSE($D$5,D136,D137,D138)),CHOOSE($D$5,D136,D137,D138),NA())</x:f>
        <x:v>0.02</x:v>
      </x:c>
      <x:c r="E135" s="13" t="str">
        <x:v>fraction</x:v>
      </x:c>
      <x:c r="F135" s="10" t="str">
        <x:v>Illustrative all-in issuance cost, not an observed completed transaction.</x:v>
      </x:c>
      <x:c r="G135" s="10"/>
      <x:c r="H135" s="10"/>
      <x:c r="I135" s="10"/>
      <x:c r="J135" s="10"/>
      <x:c r="K135" s="2"/>
      <x:c r="L135" s="2"/>
      <x:c r="M135" s="2"/>
      <x:c r="N135" s="2"/>
      <x:c r="O135" s="2"/>
      <x:c r="P135" s="2"/>
      <x:c r="Q135" s="2"/>
    </x:row>
    <x:row r="136" ht="21" customHeight="1">
      <x:c r="A136" s="2"/>
      <x:c r="B136" s="2"/>
      <x:c r="C136" s="2" t="str">
        <x:v>Bear</x:v>
      </x:c>
      <x:c r="D136" s="20" t="n">
        <x:v>0.02</x:v>
      </x:c>
      <x:c r="E136" s="2"/>
      <x:c r="F136" s="10"/>
      <x:c r="G136" s="10"/>
      <x:c r="H136" s="10"/>
      <x:c r="I136" s="10"/>
      <x:c r="J136" s="10"/>
      <x:c r="K136" s="2"/>
      <x:c r="L136" s="2"/>
      <x:c r="M136" s="2"/>
      <x:c r="N136" s="2"/>
      <x:c r="O136" s="2"/>
      <x:c r="P136" s="2"/>
      <x:c r="Q136" s="2"/>
    </x:row>
    <x:row r="137" ht="21" customHeight="1">
      <x:c r="A137" s="2"/>
      <x:c r="B137" s="2"/>
      <x:c r="C137" s="2" t="str">
        <x:v>Base</x:v>
      </x:c>
      <x:c r="D137" s="20" t="n">
        <x:v>0.02</x:v>
      </x:c>
      <x:c r="E137" s="2"/>
      <x:c r="F137" s="10"/>
      <x:c r="G137" s="10"/>
      <x:c r="H137" s="10"/>
      <x:c r="I137" s="10"/>
      <x:c r="J137" s="10"/>
      <x:c r="K137" s="2"/>
      <x:c r="L137" s="2"/>
      <x:c r="M137" s="2"/>
      <x:c r="N137" s="2"/>
      <x:c r="O137" s="2"/>
      <x:c r="P137" s="2"/>
      <x:c r="Q137" s="2"/>
    </x:row>
    <x:row r="138" ht="21" customHeight="1">
      <x:c r="A138" s="2"/>
      <x:c r="B138" s="2"/>
      <x:c r="C138" s="2" t="str">
        <x:v>Bull</x:v>
      </x:c>
      <x:c r="D138" s="20" t="n">
        <x:v>0.02</x:v>
      </x:c>
      <x:c r="E138" s="2"/>
      <x:c r="F138" s="10"/>
      <x:c r="G138" s="10"/>
      <x:c r="H138" s="10"/>
      <x:c r="I138" s="10"/>
      <x:c r="J138" s="10"/>
      <x:c r="K138" s="2"/>
      <x:c r="L138" s="2"/>
      <x:c r="M138" s="2"/>
      <x:c r="N138" s="2"/>
      <x:c r="O138" s="2"/>
      <x:c r="P138" s="2"/>
      <x:c r="Q138" s="2"/>
    </x:row>
    <x:row r="139" ht="21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 ht="21" customHeight="1">
      <x:c r="A140" s="2"/>
      <x:c r="B140" s="2"/>
      <x:c r="C140" s="13" t="str">
        <x:v>Fixed-charter share</x:v>
      </x:c>
      <x:c r="D140" s="19" t="n">
        <x:f>IF(ISNUMBER(CHOOSE($D$5,D141,D142,D143)),CHOOSE($D$5,D141,D142,D143),NA())</x:f>
        <x:v>0</x:v>
      </x:c>
      <x:c r="E140" s="13" t="str">
        <x:v>fraction</x:v>
      </x:c>
      <x:c r="F140" s="10" t="str">
        <x:v>Zero is an explicit open-fleet simplification, not a claim that actual fixed coverage is zero.</x:v>
      </x:c>
      <x:c r="G140" s="10"/>
      <x:c r="H140" s="10"/>
      <x:c r="I140" s="10"/>
      <x:c r="J140" s="10"/>
      <x:c r="K140" s="2"/>
      <x:c r="L140" s="2"/>
      <x:c r="M140" s="2"/>
      <x:c r="N140" s="2"/>
      <x:c r="O140" s="2"/>
      <x:c r="P140" s="2"/>
      <x:c r="Q140" s="2"/>
    </x:row>
    <x:row r="141" ht="21" customHeight="1">
      <x:c r="A141" s="2"/>
      <x:c r="B141" s="2"/>
      <x:c r="C141" s="2" t="str">
        <x:v>Bear</x:v>
      </x:c>
      <x:c r="D141" s="20" t="n">
        <x:v>0</x:v>
      </x:c>
      <x:c r="E141" s="2"/>
      <x:c r="F141" s="10"/>
      <x:c r="G141" s="10"/>
      <x:c r="H141" s="10"/>
      <x:c r="I141" s="10"/>
      <x:c r="J141" s="10"/>
      <x:c r="K141" s="2"/>
      <x:c r="L141" s="2"/>
      <x:c r="M141" s="2"/>
      <x:c r="N141" s="2"/>
      <x:c r="O141" s="2"/>
      <x:c r="P141" s="2"/>
      <x:c r="Q141" s="2"/>
    </x:row>
    <x:row r="142" ht="21" customHeight="1">
      <x:c r="A142" s="2"/>
      <x:c r="B142" s="2"/>
      <x:c r="C142" s="2" t="str">
        <x:v>Base</x:v>
      </x:c>
      <x:c r="D142" s="20" t="n">
        <x:v>0</x:v>
      </x:c>
      <x:c r="E142" s="2"/>
      <x:c r="F142" s="10"/>
      <x:c r="G142" s="10"/>
      <x:c r="H142" s="10"/>
      <x:c r="I142" s="10"/>
      <x:c r="J142" s="10"/>
      <x:c r="K142" s="2"/>
      <x:c r="L142" s="2"/>
      <x:c r="M142" s="2"/>
      <x:c r="N142" s="2"/>
      <x:c r="O142" s="2"/>
      <x:c r="P142" s="2"/>
      <x:c r="Q142" s="2"/>
    </x:row>
    <x:row r="143" ht="21" customHeight="1">
      <x:c r="A143" s="2"/>
      <x:c r="B143" s="2"/>
      <x:c r="C143" s="2" t="str">
        <x:v>Bull</x:v>
      </x:c>
      <x:c r="D143" s="20" t="n">
        <x:v>0</x:v>
      </x:c>
      <x:c r="E143" s="2"/>
      <x:c r="F143" s="10"/>
      <x:c r="G143" s="10"/>
      <x:c r="H143" s="10"/>
      <x:c r="I143" s="10"/>
      <x:c r="J143" s="10"/>
      <x:c r="K143" s="2"/>
      <x:c r="L143" s="2"/>
      <x:c r="M143" s="2"/>
      <x:c r="N143" s="2"/>
      <x:c r="O143" s="2"/>
      <x:c r="P143" s="2"/>
      <x:c r="Q143" s="2"/>
    </x:row>
    <x:row r="144" ht="21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 ht="21" customHeight="1">
      <x:c r="A145" s="2"/>
      <x:c r="B145" s="2"/>
      <x:c r="C145" s="13" t="str">
        <x:v>Fixed-charter TCE</x:v>
      </x:c>
      <x:c r="D145" s="17" t="n">
        <x:f>IF(ISNUMBER(CHOOSE($D$5,D146,D147,D148)),CHOOSE($D$5,D146,D147,D148),NA())</x:f>
        <x:v>18000</x:v>
      </x:c>
      <x:c r="E145" s="13" t="str">
        <x:v>USD/day</x:v>
      </x:c>
      <x:c r="F145" s="10" t="str">
        <x:v>Applied only to fixed-share assumption, which defaults to zero.</x:v>
      </x:c>
      <x:c r="G145" s="10"/>
      <x:c r="H145" s="10"/>
      <x:c r="I145" s="10"/>
      <x:c r="J145" s="10"/>
      <x:c r="K145" s="2"/>
      <x:c r="L145" s="2"/>
      <x:c r="M145" s="2"/>
      <x:c r="N145" s="2"/>
      <x:c r="O145" s="2"/>
      <x:c r="P145" s="2"/>
      <x:c r="Q145" s="2"/>
    </x:row>
    <x:row r="146" ht="21" customHeight="1">
      <x:c r="A146" s="2"/>
      <x:c r="B146" s="2"/>
      <x:c r="C146" s="2" t="str">
        <x:v>Bear</x:v>
      </x:c>
      <x:c r="D146" s="18" t="n">
        <x:v>18000</x:v>
      </x:c>
      <x:c r="E146" s="2"/>
      <x:c r="F146" s="10"/>
      <x:c r="G146" s="10"/>
      <x:c r="H146" s="10"/>
      <x:c r="I146" s="10"/>
      <x:c r="J146" s="10"/>
      <x:c r="K146" s="2"/>
      <x:c r="L146" s="2"/>
      <x:c r="M146" s="2"/>
      <x:c r="N146" s="2"/>
      <x:c r="O146" s="2"/>
      <x:c r="P146" s="2"/>
      <x:c r="Q146" s="2"/>
    </x:row>
    <x:row r="147" ht="21" customHeight="1">
      <x:c r="A147" s="2"/>
      <x:c r="B147" s="2"/>
      <x:c r="C147" s="2" t="str">
        <x:v>Base</x:v>
      </x:c>
      <x:c r="D147" s="18" t="n">
        <x:v>18000</x:v>
      </x:c>
      <x:c r="E147" s="2"/>
      <x:c r="F147" s="10"/>
      <x:c r="G147" s="10"/>
      <x:c r="H147" s="10"/>
      <x:c r="I147" s="10"/>
      <x:c r="J147" s="10"/>
      <x:c r="K147" s="2"/>
      <x:c r="L147" s="2"/>
      <x:c r="M147" s="2"/>
      <x:c r="N147" s="2"/>
      <x:c r="O147" s="2"/>
      <x:c r="P147" s="2"/>
      <x:c r="Q147" s="2"/>
    </x:row>
    <x:row r="148" ht="21" customHeight="1">
      <x:c r="A148" s="2"/>
      <x:c r="B148" s="2"/>
      <x:c r="C148" s="2" t="str">
        <x:v>Bull</x:v>
      </x:c>
      <x:c r="D148" s="18" t="n">
        <x:v>18000</x:v>
      </x:c>
      <x:c r="E148" s="2"/>
      <x:c r="F148" s="10"/>
      <x:c r="G148" s="10"/>
      <x:c r="H148" s="10"/>
      <x:c r="I148" s="10"/>
      <x:c r="J148" s="10"/>
      <x:c r="K148" s="2"/>
      <x:c r="L148" s="2"/>
      <x:c r="M148" s="2"/>
      <x:c r="N148" s="2"/>
      <x:c r="O148" s="2"/>
      <x:c r="P148" s="2"/>
      <x:c r="Q148" s="2"/>
    </x:row>
    <x:row r="149" ht="21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 ht="21" customHeight="1">
      <x:c r="A150" s="2"/>
      <x:c r="B150" s="2"/>
      <x:c r="C150" s="13" t="str">
        <x:v>Operating working capital / annual TCE</x:v>
      </x:c>
      <x:c r="D150" s="19" t="n">
        <x:f>IF(ISNUMBER(CHOOSE($D$5,D151,D152,D153)),CHOOSE($D$5,D151,D152,D153),NA())</x:f>
        <x:v>0.05</x:v>
      </x:c>
      <x:c r="E150" s="13" t="str">
        <x:v>fraction</x:v>
      </x:c>
      <x:c r="F150" s="10" t="str">
        <x:v>Annualized net revenue working-capital target. Opening balance uses selected June operating assets less liabilities; release at fleet runoff.</x:v>
      </x:c>
      <x:c r="G150" s="10"/>
      <x:c r="H150" s="10"/>
      <x:c r="I150" s="10"/>
      <x:c r="J150" s="10"/>
      <x:c r="K150" s="2"/>
      <x:c r="L150" s="2"/>
      <x:c r="M150" s="2"/>
      <x:c r="N150" s="2"/>
      <x:c r="O150" s="2"/>
      <x:c r="P150" s="2"/>
      <x:c r="Q150" s="2"/>
    </x:row>
    <x:row r="151" ht="21" customHeight="1">
      <x:c r="A151" s="2"/>
      <x:c r="B151" s="2"/>
      <x:c r="C151" s="2" t="str">
        <x:v>Bear</x:v>
      </x:c>
      <x:c r="D151" s="20" t="n">
        <x:v>0.075</x:v>
      </x:c>
      <x:c r="E151" s="2"/>
      <x:c r="F151" s="10"/>
      <x:c r="G151" s="10"/>
      <x:c r="H151" s="10"/>
      <x:c r="I151" s="10"/>
      <x:c r="J151" s="10"/>
      <x:c r="K151" s="2"/>
      <x:c r="L151" s="2"/>
      <x:c r="M151" s="2"/>
      <x:c r="N151" s="2"/>
      <x:c r="O151" s="2"/>
      <x:c r="P151" s="2"/>
      <x:c r="Q151" s="2"/>
    </x:row>
    <x:row r="152" ht="21" customHeight="1">
      <x:c r="A152" s="2"/>
      <x:c r="B152" s="2"/>
      <x:c r="C152" s="2" t="str">
        <x:v>Base</x:v>
      </x:c>
      <x:c r="D152" s="20" t="n">
        <x:v>0.05</x:v>
      </x:c>
      <x:c r="E152" s="2"/>
      <x:c r="F152" s="10"/>
      <x:c r="G152" s="10"/>
      <x:c r="H152" s="10"/>
      <x:c r="I152" s="10"/>
      <x:c r="J152" s="10"/>
      <x:c r="K152" s="2"/>
      <x:c r="L152" s="2"/>
      <x:c r="M152" s="2"/>
      <x:c r="N152" s="2"/>
      <x:c r="O152" s="2"/>
      <x:c r="P152" s="2"/>
      <x:c r="Q152" s="2"/>
    </x:row>
    <x:row r="153" ht="21" customHeight="1">
      <x:c r="A153" s="2"/>
      <x:c r="B153" s="2"/>
      <x:c r="C153" s="2" t="str">
        <x:v>Bull</x:v>
      </x:c>
      <x:c r="D153" s="20" t="n">
        <x:v>0.03</x:v>
      </x:c>
      <x:c r="E153" s="2"/>
      <x:c r="F153" s="10"/>
      <x:c r="G153" s="10"/>
      <x:c r="H153" s="10"/>
      <x:c r="I153" s="10"/>
      <x:c r="J153" s="10"/>
      <x:c r="K153" s="2"/>
      <x:c r="L153" s="2"/>
      <x:c r="M153" s="2"/>
      <x:c r="N153" s="2"/>
      <x:c r="O153" s="2"/>
      <x:c r="P153" s="2"/>
      <x:c r="Q153" s="2"/>
    </x:row>
    <x:row r="154" ht="21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 ht="21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 ht="21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 ht="21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 ht="21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 ht="21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21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 ht="21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 ht="21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 ht="21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 ht="21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 ht="21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 ht="21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 ht="21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 ht="21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</x:sheetData>
  <x:mergeCells>
    <x:mergeCell ref="F10:J13"/>
    <x:mergeCell ref="F15:J18"/>
    <x:mergeCell ref="F20:J23"/>
    <x:mergeCell ref="F25:J28"/>
    <x:mergeCell ref="F30:J33"/>
    <x:mergeCell ref="F35:J38"/>
    <x:mergeCell ref="F40:J43"/>
    <x:mergeCell ref="F45:J48"/>
    <x:mergeCell ref="F50:J53"/>
    <x:mergeCell ref="F55:J58"/>
    <x:mergeCell ref="F60:J63"/>
    <x:mergeCell ref="F65:J68"/>
    <x:mergeCell ref="F70:J73"/>
    <x:mergeCell ref="F75:J78"/>
    <x:mergeCell ref="F80:J83"/>
    <x:mergeCell ref="F85:J88"/>
    <x:mergeCell ref="F90:J93"/>
    <x:mergeCell ref="F95:J98"/>
    <x:mergeCell ref="F100:J103"/>
    <x:mergeCell ref="F105:J108"/>
    <x:mergeCell ref="F110:J113"/>
    <x:mergeCell ref="F115:J118"/>
    <x:mergeCell ref="F120:J123"/>
    <x:mergeCell ref="F125:J128"/>
    <x:mergeCell ref="F130:J133"/>
    <x:mergeCell ref="F135:J138"/>
    <x:mergeCell ref="F140:J143"/>
    <x:mergeCell ref="F145:J148"/>
    <x:mergeCell ref="F150:J153"/>
  </x:mergeCells>
  <x:dataValidations count="1">
    <x:dataValidation type="whole" operator="between" sqref="D5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1" customHeight="1">
      <x:c r="A2" s="2"/>
      <x:c r="B2" s="2"/>
      <x:c r="C2" s="3" t="str">
        <x:v>NAV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30" t="str">
        <x:v>Common-equity NAV (USD millions)</x:v>
      </x:c>
      <x:c r="D6" s="30"/>
      <x:c r="E6" s="30"/>
      <x:c r="F6" s="30"/>
      <x:c r="G6" s="30"/>
      <x:c r="H6" s="30"/>
      <x:c r="I6" s="2"/>
      <x:c r="J6" s="2"/>
      <x:c r="K6" s="2"/>
      <x:c r="L6" s="2"/>
      <x:c r="M6" s="2"/>
      <x:c r="N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1" customHeight="1">
      <x:c r="A8" s="2"/>
      <x:c r="B8" s="2"/>
      <x:c r="C8" s="2" t="str">
        <x:v>Fleet at selected appraisal mark</x:v>
      </x:c>
      <x:c r="D8" s="37" t="n">
        <x:f>SUM('Fleet'!P7:P144)</x:f>
        <x:v>4303500000</x:v>
      </x:c>
      <x:c r="E8" s="2"/>
      <x:c r="F8" s="8" t="str">
        <x:v>Appraisal multiplier affects vessel values, not cash or debt.</x:v>
      </x:c>
      <x:c r="G8" s="8"/>
      <x:c r="H8" s="8"/>
      <x:c r="I8" s="8"/>
      <x:c r="J8" s="8"/>
      <x:c r="K8" s="2"/>
      <x:c r="L8" s="2"/>
      <x:c r="M8" s="2"/>
      <x:c r="N8" s="2"/>
    </x:row>
    <x:row r="9" ht="21" customHeight="1">
      <x:c r="A9" s="2"/>
      <x:c r="B9" s="2"/>
      <x:c r="C9" s="2"/>
      <x:c r="D9" s="38"/>
      <x:c r="E9" s="2"/>
      <x:c r="F9" s="8"/>
      <x:c r="G9" s="8"/>
      <x:c r="H9" s="8"/>
      <x:c r="I9" s="8"/>
      <x:c r="J9" s="8"/>
      <x:c r="K9" s="2"/>
      <x:c r="L9" s="2"/>
      <x:c r="M9" s="2"/>
      <x:c r="N9" s="2"/>
    </x:row>
    <x:row r="10" ht="21" customHeight="1">
      <x:c r="A10" s="2"/>
      <x:c r="B10" s="2"/>
      <x:c r="C10" s="2"/>
      <x:c r="D10" s="38"/>
      <x:c r="E10" s="2"/>
      <x:c r="F10" s="8"/>
      <x:c r="G10" s="8"/>
      <x:c r="H10" s="8"/>
      <x:c r="I10" s="8"/>
      <x:c r="J10" s="8"/>
      <x:c r="K10" s="2"/>
      <x:c r="L10" s="2"/>
      <x:c r="M10" s="2"/>
      <x:c r="N10" s="2"/>
    </x:row>
    <x:row r="11" ht="21" customHeight="1">
      <x:c r="A11" s="2"/>
      <x:c r="B11" s="2"/>
      <x:c r="C11" s="2" t="str">
        <x:v>Reported unrestricted cash</x:v>
      </x:c>
      <x:c r="D11" s="37" t="n">
        <x:f>'Sources'!$D$7</x:f>
        <x:v>498165000</x:v>
      </x:c>
      <x:c r="E11" s="2"/>
      <x:c r="F11" s="8"/>
      <x:c r="G11" s="8"/>
      <x:c r="H11" s="8"/>
      <x:c r="I11" s="8"/>
      <x:c r="J11" s="8"/>
      <x:c r="K11" s="2"/>
      <x:c r="L11" s="2"/>
      <x:c r="M11" s="2"/>
      <x:c r="N11" s="2"/>
    </x:row>
    <x:row r="12" ht="21" customHeight="1">
      <x:c r="A12" s="2"/>
      <x:c r="B12" s="2"/>
      <x:c r="C12" s="2" t="str">
        <x:v>Completed equity proceeds</x:v>
      </x:c>
      <x:c r="D12" s="37" t="n">
        <x:f>'Sources'!$D$37</x:f>
        <x:v>116000000</x:v>
      </x:c>
      <x:c r="E12" s="2"/>
      <x:c r="F12" s="8"/>
      <x:c r="G12" s="8"/>
      <x:c r="H12" s="8"/>
      <x:c r="I12" s="8"/>
      <x:c r="J12" s="8"/>
      <x:c r="K12" s="2"/>
      <x:c r="L12" s="2"/>
      <x:c r="M12" s="2"/>
      <x:c r="N12" s="2"/>
    </x:row>
    <x:row r="13" ht="21" customHeight="1">
      <x:c r="A13" s="2"/>
      <x:c r="B13" s="2"/>
      <x:c r="C13" s="2" t="str">
        <x:v>Disclosed dividend paid</x:v>
      </x:c>
      <x:c r="D13" s="37" t="n">
        <x:f>-'Sources'!$D$38</x:f>
        <x:v>-100800000</x:v>
      </x:c>
      <x:c r="E13" s="2"/>
      <x:c r="F13" s="8"/>
      <x:c r="G13" s="8"/>
      <x:c r="H13" s="8"/>
      <x:c r="I13" s="8"/>
      <x:c r="J13" s="8"/>
      <x:c r="K13" s="2"/>
      <x:c r="L13" s="2"/>
      <x:c r="M13" s="2"/>
      <x:c r="N13" s="2"/>
    </x:row>
    <x:row r="14" ht="21" customHeight="1">
      <x:c r="A14" s="2"/>
      <x:c r="B14" s="2"/>
      <x:c r="C14" s="2" t="str">
        <x:v>Disclosed debt payments</x:v>
      </x:c>
      <x:c r="D14" s="37" t="n">
        <x:f>-'Sources'!$D$39</x:f>
        <x:v>-92223000</x:v>
      </x:c>
      <x:c r="E14" s="2"/>
      <x:c r="F14" s="8"/>
      <x:c r="G14" s="8"/>
      <x:c r="H14" s="8"/>
      <x:c r="I14" s="8"/>
      <x:c r="J14" s="8"/>
      <x:c r="K14" s="2"/>
      <x:c r="L14" s="2"/>
      <x:c r="M14" s="2"/>
      <x:c r="N14" s="2"/>
    </x:row>
    <x:row r="15" ht="21" customHeight="1">
      <x:c r="A15" s="2"/>
      <x:c r="B15" s="2"/>
      <x:c r="C15" s="2" t="str">
        <x:v>Estimated other net cash change</x:v>
      </x:c>
      <x:c r="D15" s="37" t="n">
        <x:f>'Assumptions'!$D$105</x:f>
        <x:v>100000000</x:v>
      </x:c>
      <x:c r="E15" s="2"/>
      <x:c r="F15" s="8" t="str">
        <x:v>Estimated residual includes operations, sales, delivery spending and restricted-cash release.</x:v>
      </x:c>
      <x:c r="G15" s="8"/>
      <x:c r="H15" s="8"/>
      <x:c r="I15" s="8"/>
      <x:c r="J15" s="8"/>
      <x:c r="K15" s="2"/>
      <x:c r="L15" s="2"/>
      <x:c r="M15" s="2"/>
      <x:c r="N15" s="2"/>
    </x:row>
    <x:row r="16" ht="21" customHeight="1">
      <x:c r="A16" s="2"/>
      <x:c r="B16" s="2"/>
      <x:c r="C16" s="2" t="str">
        <x:v>Hypothetical ATM net proceeds</x:v>
      </x:c>
      <x:c r="D16" s="37" t="n">
        <x:f>'Assumptions'!$D$130*(1-'Assumptions'!$D$135)</x:f>
        <x:v>0</x:v>
      </x:c>
      <x:c r="E16" s="2"/>
      <x:c r="F16" s="8"/>
      <x:c r="G16" s="8"/>
      <x:c r="H16" s="8"/>
      <x:c r="I16" s="8"/>
      <x:c r="J16" s="8"/>
      <x:c r="K16" s="2"/>
      <x:c r="L16" s="2"/>
      <x:c r="M16" s="2"/>
      <x:c r="N16" s="2"/>
    </x:row>
    <x:row r="17" ht="21" customHeight="1">
      <x:c r="A17" s="2"/>
      <x:c r="B17" s="2"/>
      <x:c r="C17" s="2" t="str">
        <x:v>Estimated valuation-date cash</x:v>
      </x:c>
      <x:c r="D17" s="39" t="n">
        <x:f>SUM(D11:D16)</x:f>
        <x:v>521142000</x:v>
      </x:c>
      <x:c r="E17" s="2"/>
      <x:c r="F17" s="8"/>
      <x:c r="G17" s="8"/>
      <x:c r="H17" s="8"/>
      <x:c r="I17" s="8"/>
      <x:c r="J17" s="8"/>
      <x:c r="K17" s="2"/>
      <x:c r="L17" s="2"/>
      <x:c r="M17" s="2"/>
      <x:c r="N17" s="2"/>
    </x:row>
    <x:row r="18" ht="21" customHeight="1">
      <x:c r="A18" s="2"/>
      <x:c r="B18" s="2"/>
      <x:c r="C18" s="2"/>
      <x:c r="D18" s="38"/>
      <x:c r="E18" s="2"/>
      <x:c r="F18" s="8"/>
      <x:c r="G18" s="8"/>
      <x:c r="H18" s="8"/>
      <x:c r="I18" s="8"/>
      <x:c r="J18" s="8"/>
      <x:c r="K18" s="2"/>
      <x:c r="L18" s="2"/>
      <x:c r="M18" s="2"/>
      <x:c r="N18" s="2"/>
    </x:row>
    <x:row r="19" ht="21" customHeight="1">
      <x:c r="A19" s="2"/>
      <x:c r="B19" s="2"/>
      <x:c r="C19" s="2"/>
      <x:c r="D19" s="38"/>
      <x:c r="E19" s="2"/>
      <x:c r="F19" s="8"/>
      <x:c r="G19" s="8"/>
      <x:c r="H19" s="8"/>
      <x:c r="I19" s="8"/>
      <x:c r="J19" s="8"/>
      <x:c r="K19" s="2"/>
      <x:c r="L19" s="2"/>
      <x:c r="M19" s="2"/>
      <x:c r="N19" s="2"/>
    </x:row>
    <x:row r="20" ht="21" customHeight="1">
      <x:c r="A20" s="2"/>
      <x:c r="B20" s="2"/>
      <x:c r="C20" s="2" t="str">
        <x:v>Gross financial debt</x:v>
      </x:c>
      <x:c r="D20" s="37" t="n">
        <x:f>'Sources'!$D$9+'Sources'!$D$10-'Sources'!$D$39</x:f>
        <x:v>949072000</x:v>
      </x:c>
      <x:c r="E20" s="2"/>
      <x:c r="F20" s="8" t="str">
        <x:v>Includes finance leases. Adds back June unamortized issuance costs before repayments.</x:v>
      </x:c>
      <x:c r="G20" s="8"/>
      <x:c r="H20" s="8"/>
      <x:c r="I20" s="8"/>
      <x:c r="J20" s="8"/>
      <x:c r="K20" s="2"/>
      <x:c r="L20" s="2"/>
      <x:c r="M20" s="2"/>
      <x:c r="N20" s="2"/>
    </x:row>
    <x:row r="21" ht="21" customHeight="1">
      <x:c r="A21" s="2"/>
      <x:c r="B21" s="2"/>
      <x:c r="C21" s="2" t="str">
        <x:v>Other net claims</x:v>
      </x:c>
      <x:c r="D21" s="37" t="n">
        <x:f>'Assumptions'!$D$115</x:f>
        <x:v>0</x:v>
      </x:c>
      <x:c r="E21" s="2"/>
      <x:c r="F21" s="8"/>
      <x:c r="G21" s="8"/>
      <x:c r="H21" s="8"/>
      <x:c r="I21" s="8"/>
      <x:c r="J21" s="8"/>
      <x:c r="K21" s="2"/>
      <x:c r="L21" s="2"/>
      <x:c r="M21" s="2"/>
      <x:c r="N21" s="2"/>
    </x:row>
    <x:row r="22" ht="21" customHeight="1">
      <x:c r="A22" s="2"/>
      <x:c r="B22" s="2"/>
      <x:c r="C22" s="2" t="str">
        <x:v>Remaining newbuild payments</x:v>
      </x:c>
      <x:c r="D22" s="37" t="n">
        <x:f>SUM('Fleet'!Q7:Q144)</x:f>
        <x:v>73221000</x:v>
      </x:c>
      <x:c r="E22" s="2"/>
      <x:c r="F22" s="8" t="str">
        <x:v>Full vessel value less remaining payments; deposits are not added a second time.</x:v>
      </x:c>
      <x:c r="G22" s="8"/>
      <x:c r="H22" s="8"/>
      <x:c r="I22" s="8"/>
      <x:c r="J22" s="8"/>
      <x:c r="K22" s="2"/>
      <x:c r="L22" s="2"/>
      <x:c r="M22" s="2"/>
      <x:c r="N22" s="2"/>
    </x:row>
    <x:row r="23" ht="21" customHeight="1">
      <x:c r="A23" s="2"/>
      <x:c r="B23" s="2"/>
      <x:c r="C23" s="2" t="str">
        <x:v>Operating working capital proxy</x:v>
      </x:c>
      <x:c r="D23" s="37" t="n">
        <x:f>'Sources'!$D$45</x:f>
        <x:v>26595000</x:v>
      </x:c>
      <x:c r="E23" s="2"/>
      <x:c r="F23" s="8"/>
      <x:c r="G23" s="8"/>
      <x:c r="H23" s="8"/>
      <x:c r="I23" s="8"/>
      <x:c r="J23" s="8"/>
      <x:c r="K23" s="2"/>
      <x:c r="L23" s="2"/>
      <x:c r="M23" s="2"/>
      <x:c r="N23" s="2"/>
    </x:row>
    <x:row r="24" ht="21" customHeight="1">
      <x:c r="A24" s="2"/>
      <x:c r="B24" s="2"/>
      <x:c r="C24" s="2"/>
      <x:c r="D24" s="38"/>
      <x:c r="E24" s="2"/>
      <x:c r="F24" s="8"/>
      <x:c r="G24" s="8"/>
      <x:c r="H24" s="8"/>
      <x:c r="I24" s="8"/>
      <x:c r="J24" s="8"/>
      <x:c r="K24" s="2"/>
      <x:c r="L24" s="2"/>
      <x:c r="M24" s="2"/>
      <x:c r="N24" s="2"/>
    </x:row>
    <x:row r="25" ht="21" customHeight="1">
      <x:c r="A25" s="2"/>
      <x:c r="B25" s="2"/>
      <x:c r="C25" s="2" t="str">
        <x:v>Common-equity asset NAV</x:v>
      </x:c>
      <x:c r="D25" s="39" t="n">
        <x:f>D8+D17-D20-D21-D22+D23</x:f>
        <x:v>3828944000</x:v>
      </x:c>
      <x:c r="E25" s="2"/>
      <x:c r="F25" s="8" t="str">
        <x:v>Asset NAV excludes future corporate overhead. DCF includes overhead.</x:v>
      </x:c>
      <x:c r="G25" s="8"/>
      <x:c r="H25" s="8"/>
      <x:c r="I25" s="8"/>
      <x:c r="J25" s="8"/>
      <x:c r="K25" s="2"/>
      <x:c r="L25" s="2"/>
      <x:c r="M25" s="2"/>
      <x:c r="N25" s="2"/>
    </x:row>
    <x:row r="26" ht="21" customHeight="1">
      <x:c r="A26" s="2"/>
      <x:c r="B26" s="2"/>
      <x:c r="C26" s="2"/>
      <x:c r="D26" s="38"/>
      <x:c r="E26" s="2"/>
      <x:c r="F26" s="8"/>
      <x:c r="G26" s="8"/>
      <x:c r="H26" s="8"/>
      <x:c r="I26" s="8"/>
      <x:c r="J26" s="8"/>
      <x:c r="K26" s="2"/>
      <x:c r="L26" s="2"/>
      <x:c r="M26" s="2"/>
      <x:c r="N26" s="2"/>
    </x:row>
    <x:row r="27" ht="21" customHeight="1">
      <x:c r="A27" s="2"/>
      <x:c r="B27" s="2"/>
      <x:c r="C27" s="2" t="str">
        <x:v>Valuation shares (millions)</x:v>
      </x:c>
      <x:c r="D27" s="37" t="n">
        <x:f>'Sources'!$D$12+'Sources'!$D$36+'Assumptions'!$D$125+'Assumptions'!$D$130/'Sources'!$D$44</x:f>
        <x:v>116071386</x:v>
      </x:c>
      <x:c r="E27" s="2"/>
      <x:c r="F27" s="8" t="str">
        <x:v>Outstanding shares, not weighted-average EPS shares.</x:v>
      </x:c>
      <x:c r="G27" s="8"/>
      <x:c r="H27" s="8"/>
      <x:c r="I27" s="8"/>
      <x:c r="J27" s="8"/>
      <x:c r="K27" s="2"/>
      <x:c r="L27" s="2"/>
      <x:c r="M27" s="2"/>
      <x:c r="N27" s="2"/>
    </x:row>
    <x:row r="28" ht="21" customHeight="1">
      <x:c r="A28" s="2"/>
      <x:c r="B28" s="2"/>
      <x:c r="C28" s="2" t="str">
        <x:v>Asset NAV per share</x:v>
      </x:c>
      <x:c r="D28" s="40" t="n">
        <x:f>D25/D27</x:f>
        <x:v>32.98783732969295</x:v>
      </x:c>
      <x:c r="E28" s="2"/>
      <x:c r="F28" s="8"/>
      <x:c r="G28" s="8"/>
      <x:c r="H28" s="8"/>
      <x:c r="I28" s="8"/>
      <x:c r="J28" s="8"/>
      <x:c r="K28" s="2"/>
      <x:c r="L28" s="2"/>
      <x:c r="M28" s="2"/>
      <x:c r="N28" s="2"/>
    </x:row>
    <x:row r="29" ht="21" customHeight="1">
      <x:c r="A29" s="2"/>
      <x:c r="B29" s="2"/>
      <x:c r="C29" s="2" t="str">
        <x:v>Market price</x:v>
      </x:c>
      <x:c r="D29" s="41" t="n">
        <x:f>'Sources'!$D$44</x:f>
        <x:v>29.7</x:v>
      </x:c>
      <x:c r="E29" s="2"/>
      <x:c r="F29" s="8"/>
      <x:c r="G29" s="8"/>
      <x:c r="H29" s="8"/>
      <x:c r="I29" s="8"/>
      <x:c r="J29" s="8"/>
      <x:c r="K29" s="2"/>
      <x:c r="L29" s="2"/>
      <x:c r="M29" s="2"/>
      <x:c r="N29" s="2"/>
    </x:row>
    <x:row r="30" ht="21" customHeight="1">
      <x:c r="A30" s="2"/>
      <x:c r="B30" s="2"/>
      <x:c r="C30" s="2" t="str">
        <x:v>Price / asset NAV</x:v>
      </x:c>
      <x:c r="D30" s="42" t="n">
        <x:f>D29/D28</x:f>
        <x:v>0.9003318314919205</x:v>
      </x:c>
      <x:c r="E30" s="2"/>
      <x:c r="F30" s="8"/>
      <x:c r="G30" s="8"/>
      <x:c r="H30" s="8"/>
      <x:c r="I30" s="8"/>
      <x:c r="J30" s="8"/>
      <x:c r="K30" s="2"/>
      <x:c r="L30" s="2"/>
      <x:c r="M30" s="2"/>
      <x:c r="N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</x:row>
    <x:row r="2" ht="21" customHeight="1">
      <x:c r="A2" s="2"/>
      <x:c r="B2" s="2"/>
      <x:c r="C2" s="3" t="str">
        <x:v>Cash Flow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</x:row>
    <x:row r="6" ht="28" customHeight="1">
      <x:c r="A6" s="2"/>
      <x:c r="B6" s="2"/>
      <x:c r="C6" s="2"/>
      <x:c r="D6" s="2"/>
      <x:c r="E6" s="25" t="str">
        <x:v>Q4:26 stub</x:v>
      </x:c>
      <x:c r="F6" s="25" t="str">
        <x:v>Q1:27</x:v>
      </x:c>
      <x:c r="G6" s="25" t="str">
        <x:v>Q2:27</x:v>
      </x:c>
      <x:c r="H6" s="25" t="str">
        <x:v>Q3:27</x:v>
      </x:c>
      <x:c r="I6" s="25" t="str">
        <x:v>Q4:27</x:v>
      </x:c>
      <x:c r="J6" s="25" t="str">
        <x:v>Q1:28</x:v>
      </x:c>
      <x:c r="K6" s="25" t="str">
        <x:v>Q2:28</x:v>
      </x:c>
      <x:c r="L6" s="25" t="str">
        <x:v>Q3:28</x:v>
      </x:c>
      <x:c r="M6" s="25" t="str">
        <x:v>Q4:28</x:v>
      </x:c>
      <x:c r="N6" s="25" t="str">
        <x:v>Q1:29</x:v>
      </x:c>
      <x:c r="O6" s="25" t="str">
        <x:v>Q2:29</x:v>
      </x:c>
      <x:c r="P6" s="25" t="str">
        <x:v>Q3:29</x:v>
      </x:c>
      <x:c r="Q6" s="25" t="str">
        <x:v>Sep-30</x:v>
      </x:c>
      <x:c r="R6" s="25" t="str">
        <x:v>Sep-31</x:v>
      </x:c>
      <x:c r="S6" s="25" t="str">
        <x:v>Sep-32</x:v>
      </x:c>
      <x:c r="T6" s="25" t="str">
        <x:v>Sep-33</x:v>
      </x:c>
      <x:c r="U6" s="25" t="str">
        <x:v>Sep-34</x:v>
      </x:c>
      <x:c r="V6" s="25" t="str">
        <x:v>Sep-35</x:v>
      </x:c>
      <x:c r="W6" s="25" t="str">
        <x:v>Sep-36</x:v>
      </x:c>
      <x:c r="X6" s="25" t="str">
        <x:v>Sep-37</x:v>
      </x:c>
      <x:c r="Y6" s="25" t="str">
        <x:v>Sep-38</x:v>
      </x:c>
      <x:c r="Z6" s="25" t="str">
        <x:v>Sep-39</x:v>
      </x:c>
      <x:c r="AA6" s="25" t="str">
        <x:v>Sep-40</x:v>
      </x:c>
      <x:c r="AB6" s="25" t="str">
        <x:v>Sep-41</x:v>
      </x:c>
      <x:c r="AC6" s="25" t="str">
        <x:v>Sep-42</x:v>
      </x:c>
      <x:c r="AD6" s="25" t="str">
        <x:v>Sep-43</x:v>
      </x:c>
      <x:c r="AE6" s="25" t="str">
        <x:v>Sep-44</x:v>
      </x:c>
      <x:c r="AF6" s="25" t="str">
        <x:v>Sep-45</x:v>
      </x:c>
      <x:c r="AG6" s="25" t="str">
        <x:v>Sep-46</x:v>
      </x:c>
      <x:c r="AH6" s="25" t="str">
        <x:v>Sep-47</x:v>
      </x:c>
      <x:c r="AI6" s="25" t="str">
        <x:v>Sep-48</x:v>
      </x:c>
      <x:c r="AJ6" s="25" t="str">
        <x:v>Sep-49</x:v>
      </x:c>
      <x:c r="AK6" s="25" t="str">
        <x:v>Sep-50</x:v>
      </x:c>
      <x:c r="AL6" s="25" t="str">
        <x:v>Sep-51</x:v>
      </x:c>
      <x:c r="AM6" s="25" t="str">
        <x:v>Sep-52</x:v>
      </x:c>
      <x:c r="AN6" s="25" t="str">
        <x:v>Sep-53</x:v>
      </x:c>
      <x:c r="AO6" s="25" t="str">
        <x:v>Sep-54</x:v>
      </x:c>
      <x:c r="AP6" s="25" t="str">
        <x:v>Sep-55</x:v>
      </x:c>
      <x:c r="AQ6" s="25" t="str">
        <x:v>Sep-56</x:v>
      </x:c>
    </x:row>
    <x:row r="7" ht="21" customHeight="1">
      <x:c r="A7" s="2"/>
      <x:c r="B7" s="2"/>
      <x:c r="C7" s="2" t="str">
        <x:v>Period starts</x:v>
      </x:c>
      <x:c r="D7" s="2"/>
      <x:c r="E7" s="28" t="n">
        <x:v>46305</x:v>
      </x:c>
      <x:c r="F7" s="28" t="n">
        <x:v>46388</x:v>
      </x:c>
      <x:c r="G7" s="28" t="n">
        <x:v>46478</x:v>
      </x:c>
      <x:c r="H7" s="28" t="n">
        <x:v>46569</x:v>
      </x:c>
      <x:c r="I7" s="28" t="n">
        <x:v>46661</x:v>
      </x:c>
      <x:c r="J7" s="28" t="n">
        <x:v>46753</x:v>
      </x:c>
      <x:c r="K7" s="28" t="n">
        <x:v>46844</x:v>
      </x:c>
      <x:c r="L7" s="28" t="n">
        <x:v>46935</x:v>
      </x:c>
      <x:c r="M7" s="28" t="n">
        <x:v>47027</x:v>
      </x:c>
      <x:c r="N7" s="28" t="n">
        <x:v>47119</x:v>
      </x:c>
      <x:c r="O7" s="28" t="n">
        <x:v>47209</x:v>
      </x:c>
      <x:c r="P7" s="28" t="n">
        <x:v>47300</x:v>
      </x:c>
      <x:c r="Q7" s="28" t="n">
        <x:v>47392</x:v>
      </x:c>
      <x:c r="R7" s="28" t="n">
        <x:v>47757</x:v>
      </x:c>
      <x:c r="S7" s="28" t="n">
        <x:v>48122</x:v>
      </x:c>
      <x:c r="T7" s="28" t="n">
        <x:v>48488</x:v>
      </x:c>
      <x:c r="U7" s="28" t="n">
        <x:v>48853</x:v>
      </x:c>
      <x:c r="V7" s="28" t="n">
        <x:v>49218</x:v>
      </x:c>
      <x:c r="W7" s="28" t="n">
        <x:v>49583</x:v>
      </x:c>
      <x:c r="X7" s="28" t="n">
        <x:v>49949</x:v>
      </x:c>
      <x:c r="Y7" s="28" t="n">
        <x:v>50314</x:v>
      </x:c>
      <x:c r="Z7" s="28" t="n">
        <x:v>50679</x:v>
      </x:c>
      <x:c r="AA7" s="28" t="n">
        <x:v>51044</x:v>
      </x:c>
      <x:c r="AB7" s="28" t="n">
        <x:v>51410</x:v>
      </x:c>
      <x:c r="AC7" s="28" t="n">
        <x:v>51775</x:v>
      </x:c>
      <x:c r="AD7" s="28" t="n">
        <x:v>52140</x:v>
      </x:c>
      <x:c r="AE7" s="28" t="n">
        <x:v>52505</x:v>
      </x:c>
      <x:c r="AF7" s="28" t="n">
        <x:v>52871</x:v>
      </x:c>
      <x:c r="AG7" s="28" t="n">
        <x:v>53236</x:v>
      </x:c>
      <x:c r="AH7" s="28" t="n">
        <x:v>53601</x:v>
      </x:c>
      <x:c r="AI7" s="28" t="n">
        <x:v>53966</x:v>
      </x:c>
      <x:c r="AJ7" s="28" t="n">
        <x:v>54332</x:v>
      </x:c>
      <x:c r="AK7" s="28" t="n">
        <x:v>54697</x:v>
      </x:c>
      <x:c r="AL7" s="28" t="n">
        <x:v>55062</x:v>
      </x:c>
      <x:c r="AM7" s="28" t="n">
        <x:v>55427</x:v>
      </x:c>
      <x:c r="AN7" s="28" t="n">
        <x:v>55793</x:v>
      </x:c>
      <x:c r="AO7" s="28" t="n">
        <x:v>56158</x:v>
      </x:c>
      <x:c r="AP7" s="28" t="n">
        <x:v>56523</x:v>
      </x:c>
      <x:c r="AQ7" s="28" t="n">
        <x:v>56888</x:v>
      </x:c>
    </x:row>
    <x:row r="8" ht="21" customHeight="1">
      <x:c r="A8" s="2"/>
      <x:c r="B8" s="2"/>
      <x:c r="C8" s="2" t="str">
        <x:v>Period ends</x:v>
      </x:c>
      <x:c r="D8" s="2"/>
      <x:c r="E8" s="28" t="n">
        <x:v>46387</x:v>
      </x:c>
      <x:c r="F8" s="28" t="n">
        <x:v>46477</x:v>
      </x:c>
      <x:c r="G8" s="28" t="n">
        <x:v>46568</x:v>
      </x:c>
      <x:c r="H8" s="28" t="n">
        <x:v>46660</x:v>
      </x:c>
      <x:c r="I8" s="28" t="n">
        <x:v>46752</x:v>
      </x:c>
      <x:c r="J8" s="28" t="n">
        <x:v>46843</x:v>
      </x:c>
      <x:c r="K8" s="28" t="n">
        <x:v>46934</x:v>
      </x:c>
      <x:c r="L8" s="28" t="n">
        <x:v>47026</x:v>
      </x:c>
      <x:c r="M8" s="28" t="n">
        <x:v>47118</x:v>
      </x:c>
      <x:c r="N8" s="28" t="n">
        <x:v>47208</x:v>
      </x:c>
      <x:c r="O8" s="28" t="n">
        <x:v>47299</x:v>
      </x:c>
      <x:c r="P8" s="28" t="n">
        <x:v>47391</x:v>
      </x:c>
      <x:c r="Q8" s="28" t="n">
        <x:v>47756</x:v>
      </x:c>
      <x:c r="R8" s="28" t="n">
        <x:v>48121</x:v>
      </x:c>
      <x:c r="S8" s="28" t="n">
        <x:v>48487</x:v>
      </x:c>
      <x:c r="T8" s="28" t="n">
        <x:v>48852</x:v>
      </x:c>
      <x:c r="U8" s="28" t="n">
        <x:v>49217</x:v>
      </x:c>
      <x:c r="V8" s="28" t="n">
        <x:v>49582</x:v>
      </x:c>
      <x:c r="W8" s="28" t="n">
        <x:v>49948</x:v>
      </x:c>
      <x:c r="X8" s="28" t="n">
        <x:v>50313</x:v>
      </x:c>
      <x:c r="Y8" s="28" t="n">
        <x:v>50678</x:v>
      </x:c>
      <x:c r="Z8" s="28" t="n">
        <x:v>51043</x:v>
      </x:c>
      <x:c r="AA8" s="28" t="n">
        <x:v>51409</x:v>
      </x:c>
      <x:c r="AB8" s="28" t="n">
        <x:v>51774</x:v>
      </x:c>
      <x:c r="AC8" s="28" t="n">
        <x:v>52139</x:v>
      </x:c>
      <x:c r="AD8" s="28" t="n">
        <x:v>52504</x:v>
      </x:c>
      <x:c r="AE8" s="28" t="n">
        <x:v>52870</x:v>
      </x:c>
      <x:c r="AF8" s="28" t="n">
        <x:v>53235</x:v>
      </x:c>
      <x:c r="AG8" s="28" t="n">
        <x:v>53600</x:v>
      </x:c>
      <x:c r="AH8" s="28" t="n">
        <x:v>53965</x:v>
      </x:c>
      <x:c r="AI8" s="28" t="n">
        <x:v>54331</x:v>
      </x:c>
      <x:c r="AJ8" s="28" t="n">
        <x:v>54696</x:v>
      </x:c>
      <x:c r="AK8" s="28" t="n">
        <x:v>55061</x:v>
      </x:c>
      <x:c r="AL8" s="28" t="n">
        <x:v>55426</x:v>
      </x:c>
      <x:c r="AM8" s="28" t="n">
        <x:v>55792</x:v>
      </x:c>
      <x:c r="AN8" s="28" t="n">
        <x:v>56157</x:v>
      </x:c>
      <x:c r="AO8" s="28" t="n">
        <x:v>56522</x:v>
      </x:c>
      <x:c r="AP8" s="28" t="n">
        <x:v>56887</x:v>
      </x:c>
      <x:c r="AQ8" s="28" t="n">
        <x:v>57253</x:v>
      </x:c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</x:row>
    <x:row r="10" ht="25" customHeight="1">
      <x:c r="A10" s="2"/>
      <x:c r="B10" s="2"/>
      <x:c r="C10" s="30" t="str">
        <x:v>Newcastlemax</x:v>
      </x:c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0"/>
      <x:c r="AO10" s="30"/>
      <x:c r="AP10" s="30"/>
      <x:c r="AQ10" s="30"/>
    </x:row>
    <x:row r="11" ht="21" customHeight="1">
      <x:c r="A11" s="2"/>
      <x:c r="B11" s="2"/>
      <x:c r="C11" s="2" t="str">
        <x:v>Owned days</x:v>
      </x:c>
      <x:c r="D11" s="2"/>
      <x:c r="E11" s="5" t="n">
        <x:f>SUMIFS('Days'!E$10:E$147,'Days'!$D$10:$D$147,$C10)</x:f>
        <x:v>1411</x:v>
      </x:c>
      <x:c r="F11" s="5" t="n">
        <x:f>SUMIFS('Days'!F$10:F$147,'Days'!$D$10:$D$147,$C10)</x:f>
        <x:v>1530</x:v>
      </x:c>
      <x:c r="G11" s="5" t="n">
        <x:f>SUMIFS('Days'!G$10:G$147,'Days'!$D$10:$D$147,$C10)</x:f>
        <x:v>1547</x:v>
      </x:c>
      <x:c r="H11" s="5" t="n">
        <x:f>SUMIFS('Days'!H$10:H$147,'Days'!$D$10:$D$147,$C10)</x:f>
        <x:v>1564</x:v>
      </x:c>
      <x:c r="I11" s="5" t="n">
        <x:f>SUMIFS('Days'!I$10:I$147,'Days'!$D$10:$D$147,$C10)</x:f>
        <x:v>1564</x:v>
      </x:c>
      <x:c r="J11" s="5" t="n">
        <x:f>SUMIFS('Days'!J$10:J$147,'Days'!$D$10:$D$147,$C10)</x:f>
        <x:v>1547</x:v>
      </x:c>
      <x:c r="K11" s="5" t="n">
        <x:f>SUMIFS('Days'!K$10:K$147,'Days'!$D$10:$D$147,$C10)</x:f>
        <x:v>1547</x:v>
      </x:c>
      <x:c r="L11" s="5" t="n">
        <x:f>SUMIFS('Days'!L$10:L$147,'Days'!$D$10:$D$147,$C10)</x:f>
        <x:v>1564</x:v>
      </x:c>
      <x:c r="M11" s="5" t="n">
        <x:f>SUMIFS('Days'!M$10:M$147,'Days'!$D$10:$D$147,$C10)</x:f>
        <x:v>1564</x:v>
      </x:c>
      <x:c r="N11" s="5" t="n">
        <x:f>SUMIFS('Days'!N$10:N$147,'Days'!$D$10:$D$147,$C10)</x:f>
        <x:v>1530</x:v>
      </x:c>
      <x:c r="O11" s="5" t="n">
        <x:f>SUMIFS('Days'!O$10:O$147,'Days'!$D$10:$D$147,$C10)</x:f>
        <x:v>1547</x:v>
      </x:c>
      <x:c r="P11" s="5" t="n">
        <x:f>SUMIFS('Days'!P$10:P$147,'Days'!$D$10:$D$147,$C10)</x:f>
        <x:v>1564</x:v>
      </x:c>
      <x:c r="Q11" s="5" t="n">
        <x:f>SUMIFS('Days'!Q$10:Q$147,'Days'!$D$10:$D$147,$C10)</x:f>
        <x:v>6205</x:v>
      </x:c>
      <x:c r="R11" s="5" t="n">
        <x:f>SUMIFS('Days'!R$10:R$147,'Days'!$D$10:$D$147,$C10)</x:f>
        <x:v>6205</x:v>
      </x:c>
      <x:c r="S11" s="5" t="n">
        <x:f>SUMIFS('Days'!S$10:S$147,'Days'!$D$10:$D$147,$C10)</x:f>
        <x:v>6222</x:v>
      </x:c>
      <x:c r="T11" s="5" t="n">
        <x:f>SUMIFS('Days'!T$10:T$147,'Days'!$D$10:$D$147,$C10)</x:f>
        <x:v>6205</x:v>
      </x:c>
      <x:c r="U11" s="5" t="n">
        <x:f>SUMIFS('Days'!U$10:U$147,'Days'!$D$10:$D$147,$C10)</x:f>
        <x:v>6205</x:v>
      </x:c>
      <x:c r="V11" s="5" t="n">
        <x:f>SUMIFS('Days'!V$10:V$147,'Days'!$D$10:$D$147,$C10)</x:f>
        <x:v>6205</x:v>
      </x:c>
      <x:c r="W11" s="5" t="n">
        <x:f>SUMIFS('Days'!W$10:W$147,'Days'!$D$10:$D$147,$C10)</x:f>
        <x:v>6222</x:v>
      </x:c>
      <x:c r="X11" s="5" t="n">
        <x:f>SUMIFS('Days'!X$10:X$147,'Days'!$D$10:$D$147,$C10)</x:f>
        <x:v>6205</x:v>
      </x:c>
      <x:c r="Y11" s="5" t="n">
        <x:f>SUMIFS('Days'!Y$10:Y$147,'Days'!$D$10:$D$147,$C10)</x:f>
        <x:v>6205</x:v>
      </x:c>
      <x:c r="Z11" s="5" t="n">
        <x:f>SUMIFS('Days'!Z$10:Z$147,'Days'!$D$10:$D$147,$C10)</x:f>
        <x:v>6205</x:v>
      </x:c>
      <x:c r="AA11" s="5" t="n">
        <x:f>SUMIFS('Days'!AA$10:AA$147,'Days'!$D$10:$D$147,$C10)</x:f>
        <x:v>5946</x:v>
      </x:c>
      <x:c r="AB11" s="5" t="n">
        <x:f>SUMIFS('Days'!AB$10:AB$147,'Days'!$D$10:$D$147,$C10)</x:f>
        <x:v>4742</x:v>
      </x:c>
      <x:c r="AC11" s="5" t="n">
        <x:f>SUMIFS('Days'!AC$10:AC$147,'Days'!$D$10:$D$147,$C10)</x:f>
        <x:v>3282</x:v>
      </x:c>
      <x:c r="AD11" s="5" t="n">
        <x:f>SUMIFS('Days'!AD$10:AD$147,'Days'!$D$10:$D$147,$C10)</x:f>
        <x:v>1914</x:v>
      </x:c>
      <x:c r="AE11" s="5" t="n">
        <x:f>SUMIFS('Days'!AE$10:AE$147,'Days'!$D$10:$D$147,$C10)</x:f>
        <x:v>822</x:v>
      </x:c>
      <x:c r="AF11" s="5" t="n">
        <x:f>SUMIFS('Days'!AF$10:AF$147,'Days'!$D$10:$D$147,$C10)</x:f>
        <x:v>0</x:v>
      </x:c>
      <x:c r="AG11" s="5" t="n">
        <x:f>SUMIFS('Days'!AG$10:AG$147,'Days'!$D$10:$D$147,$C10)</x:f>
        <x:v>0</x:v>
      </x:c>
      <x:c r="AH11" s="5" t="n">
        <x:f>SUMIFS('Days'!AH$10:AH$147,'Days'!$D$10:$D$147,$C10)</x:f>
        <x:v>0</x:v>
      </x:c>
      <x:c r="AI11" s="5" t="n">
        <x:f>SUMIFS('Days'!AI$10:AI$147,'Days'!$D$10:$D$147,$C10)</x:f>
        <x:v>0</x:v>
      </x:c>
      <x:c r="AJ11" s="5" t="n">
        <x:f>SUMIFS('Days'!AJ$10:AJ$147,'Days'!$D$10:$D$147,$C10)</x:f>
        <x:v>0</x:v>
      </x:c>
      <x:c r="AK11" s="5" t="n">
        <x:f>SUMIFS('Days'!AK$10:AK$147,'Days'!$D$10:$D$147,$C10)</x:f>
        <x:v>0</x:v>
      </x:c>
      <x:c r="AL11" s="5" t="n">
        <x:f>SUMIFS('Days'!AL$10:AL$147,'Days'!$D$10:$D$147,$C10)</x:f>
        <x:v>0</x:v>
      </x:c>
      <x:c r="AM11" s="5" t="n">
        <x:f>SUMIFS('Days'!AM$10:AM$147,'Days'!$D$10:$D$147,$C10)</x:f>
        <x:v>0</x:v>
      </x:c>
      <x:c r="AN11" s="5" t="n">
        <x:f>SUMIFS('Days'!AN$10:AN$147,'Days'!$D$10:$D$147,$C10)</x:f>
        <x:v>0</x:v>
      </x:c>
      <x:c r="AO11" s="5" t="n">
        <x:f>SUMIFS('Days'!AO$10:AO$147,'Days'!$D$10:$D$147,$C10)</x:f>
        <x:v>0</x:v>
      </x:c>
      <x:c r="AP11" s="5" t="n">
        <x:f>SUMIFS('Days'!AP$10:AP$147,'Days'!$D$10:$D$147,$C10)</x:f>
        <x:v>0</x:v>
      </x:c>
      <x:c r="AQ11" s="5" t="n">
        <x:f>SUMIFS('Days'!AQ$10:AQ$147,'Days'!$D$10:$D$147,$C10)</x:f>
        <x:v>0</x:v>
      </x:c>
    </x:row>
    <x:row r="12" ht="21" customHeight="1">
      <x:c r="A12" s="2"/>
      <x:c r="B12" s="2"/>
      <x:c r="C12" s="2" t="str">
        <x:v>Available days</x:v>
      </x:c>
      <x:c r="D12" s="2"/>
      <x:c r="E12" s="5" t="n">
        <x:f>E11*(1-'Assumptions'!$D$55)</x:f>
        <x:v>1340.45</x:v>
      </x:c>
      <x:c r="F12" s="5" t="n">
        <x:f>F11*(1-'Assumptions'!$D$55)</x:f>
        <x:v>1453.5</x:v>
      </x:c>
      <x:c r="G12" s="5" t="n">
        <x:f>G11*(1-'Assumptions'!$D$55)</x:f>
        <x:v>1469.6499999999999</x:v>
      </x:c>
      <x:c r="H12" s="5" t="n">
        <x:f>H11*(1-'Assumptions'!$D$55)</x:f>
        <x:v>1485.8</x:v>
      </x:c>
      <x:c r="I12" s="5" t="n">
        <x:f>I11*(1-'Assumptions'!$D$55)</x:f>
        <x:v>1485.8</x:v>
      </x:c>
      <x:c r="J12" s="5" t="n">
        <x:f>J11*(1-'Assumptions'!$D$55)</x:f>
        <x:v>1469.6499999999999</x:v>
      </x:c>
      <x:c r="K12" s="5" t="n">
        <x:f>K11*(1-'Assumptions'!$D$55)</x:f>
        <x:v>1469.6499999999999</x:v>
      </x:c>
      <x:c r="L12" s="5" t="n">
        <x:f>L11*(1-'Assumptions'!$D$55)</x:f>
        <x:v>1485.8</x:v>
      </x:c>
      <x:c r="M12" s="5" t="n">
        <x:f>M11*(1-'Assumptions'!$D$55)</x:f>
        <x:v>1485.8</x:v>
      </x:c>
      <x:c r="N12" s="5" t="n">
        <x:f>N11*(1-'Assumptions'!$D$55)</x:f>
        <x:v>1453.5</x:v>
      </x:c>
      <x:c r="O12" s="5" t="n">
        <x:f>O11*(1-'Assumptions'!$D$55)</x:f>
        <x:v>1469.6499999999999</x:v>
      </x:c>
      <x:c r="P12" s="5" t="n">
        <x:f>P11*(1-'Assumptions'!$D$55)</x:f>
        <x:v>1485.8</x:v>
      </x:c>
      <x:c r="Q12" s="5" t="n">
        <x:f>Q11*(1-'Assumptions'!$D$55)</x:f>
        <x:v>5894.75</x:v>
      </x:c>
      <x:c r="R12" s="5" t="n">
        <x:f>R11*(1-'Assumptions'!$D$55)</x:f>
        <x:v>5894.75</x:v>
      </x:c>
      <x:c r="S12" s="5" t="n">
        <x:f>S11*(1-'Assumptions'!$D$55)</x:f>
        <x:v>5910.9</x:v>
      </x:c>
      <x:c r="T12" s="5" t="n">
        <x:f>T11*(1-'Assumptions'!$D$55)</x:f>
        <x:v>5894.75</x:v>
      </x:c>
      <x:c r="U12" s="5" t="n">
        <x:f>U11*(1-'Assumptions'!$D$55)</x:f>
        <x:v>5894.75</x:v>
      </x:c>
      <x:c r="V12" s="5" t="n">
        <x:f>V11*(1-'Assumptions'!$D$55)</x:f>
        <x:v>5894.75</x:v>
      </x:c>
      <x:c r="W12" s="5" t="n">
        <x:f>W11*(1-'Assumptions'!$D$55)</x:f>
        <x:v>5910.9</x:v>
      </x:c>
      <x:c r="X12" s="5" t="n">
        <x:f>X11*(1-'Assumptions'!$D$55)</x:f>
        <x:v>5894.75</x:v>
      </x:c>
      <x:c r="Y12" s="5" t="n">
        <x:f>Y11*(1-'Assumptions'!$D$55)</x:f>
        <x:v>5894.75</x:v>
      </x:c>
      <x:c r="Z12" s="5" t="n">
        <x:f>Z11*(1-'Assumptions'!$D$55)</x:f>
        <x:v>5894.75</x:v>
      </x:c>
      <x:c r="AA12" s="5" t="n">
        <x:f>AA11*(1-'Assumptions'!$D$55)</x:f>
        <x:v>5648.7</x:v>
      </x:c>
      <x:c r="AB12" s="5" t="n">
        <x:f>AB11*(1-'Assumptions'!$D$55)</x:f>
        <x:v>4504.9</x:v>
      </x:c>
      <x:c r="AC12" s="5" t="n">
        <x:f>AC11*(1-'Assumptions'!$D$55)</x:f>
        <x:v>3117.8999999999996</x:v>
      </x:c>
      <x:c r="AD12" s="5" t="n">
        <x:f>AD11*(1-'Assumptions'!$D$55)</x:f>
        <x:v>1818.3</x:v>
      </x:c>
      <x:c r="AE12" s="5" t="n">
        <x:f>AE11*(1-'Assumptions'!$D$55)</x:f>
        <x:v>780.9</x:v>
      </x:c>
      <x:c r="AF12" s="5" t="n">
        <x:f>AF11*(1-'Assumptions'!$D$55)</x:f>
        <x:v>0</x:v>
      </x:c>
      <x:c r="AG12" s="5" t="n">
        <x:f>AG11*(1-'Assumptions'!$D$55)</x:f>
        <x:v>0</x:v>
      </x:c>
      <x:c r="AH12" s="5" t="n">
        <x:f>AH11*(1-'Assumptions'!$D$55)</x:f>
        <x:v>0</x:v>
      </x:c>
      <x:c r="AI12" s="5" t="n">
        <x:f>AI11*(1-'Assumptions'!$D$55)</x:f>
        <x:v>0</x:v>
      </x:c>
      <x:c r="AJ12" s="5" t="n">
        <x:f>AJ11*(1-'Assumptions'!$D$55)</x:f>
        <x:v>0</x:v>
      </x:c>
      <x:c r="AK12" s="5" t="n">
        <x:f>AK11*(1-'Assumptions'!$D$55)</x:f>
        <x:v>0</x:v>
      </x:c>
      <x:c r="AL12" s="5" t="n">
        <x:f>AL11*(1-'Assumptions'!$D$55)</x:f>
        <x:v>0</x:v>
      </x:c>
      <x:c r="AM12" s="5" t="n">
        <x:f>AM11*(1-'Assumptions'!$D$55)</x:f>
        <x:v>0</x:v>
      </x:c>
      <x:c r="AN12" s="5" t="n">
        <x:f>AN11*(1-'Assumptions'!$D$55)</x:f>
        <x:v>0</x:v>
      </x:c>
      <x:c r="AO12" s="5" t="n">
        <x:f>AO11*(1-'Assumptions'!$D$55)</x:f>
        <x:v>0</x:v>
      </x:c>
      <x:c r="AP12" s="5" t="n">
        <x:f>AP11*(1-'Assumptions'!$D$55)</x:f>
        <x:v>0</x:v>
      </x:c>
      <x:c r="AQ12" s="5" t="n">
        <x:f>AQ11*(1-'Assumptions'!$D$55)</x:f>
        <x:v>0</x:v>
      </x:c>
    </x:row>
    <x:row r="13" ht="21" customHeight="1">
      <x:c r="A13" s="2"/>
      <x:c r="B13" s="2"/>
      <x:c r="C13" s="2" t="str">
        <x:v>Open TCE (USD/day)</x:v>
      </x:c>
      <x:c r="D13" s="2"/>
      <x:c r="E13" s="34" t="n">
        <x:f>'Assumptions'!$D$10*'Assumptions'!$D$6*(1+'Assumptions'!$D$90)^(((E$7+E$8)/2-46304)/365)</x:f>
        <x:v>26059.312671565393</x:v>
      </x:c>
      <x:c r="F13" s="34" t="n">
        <x:f>'Assumptions'!$D$10*'Assumptions'!$D$6*(1+'Assumptions'!$D$90)^(((F$7+F$8)/2-46304)/365)</x:f>
        <x:v>26181.895171338423</x:v>
      </x:c>
      <x:c r="G13" s="34" t="n">
        <x:f>'Assumptions'!$D$10*'Assumptions'!$D$6*(1+'Assumptions'!$D$90)^(((G$7+G$8)/2-46304)/365)</x:f>
        <x:v>26310.763510097495</x:v>
      </x:c>
      <x:c r="H13" s="34" t="n">
        <x:f>'Assumptions'!$D$10*'Assumptions'!$D$6*(1+'Assumptions'!$D$90)^(((H$7+H$8)/2-46304)/365)</x:f>
        <x:v>26441.70066711384</x:v>
      </x:c>
      <x:c r="I13" s="34" t="n">
        <x:f>'Assumptions'!$D$10*'Assumptions'!$D$6*(1+'Assumptions'!$D$90)^(((I$7+I$8)/2-46304)/365)</x:f>
        <x:v>26574.010301455022</x:v>
      </x:c>
      <x:c r="J13" s="34" t="n">
        <x:f>'Assumptions'!$D$10*'Assumptions'!$D$6*(1+'Assumptions'!$D$90)^(((J$7+J$8)/2-46304)/365)</x:f>
        <x:v>26706.25752256133</x:v>
      </x:c>
      <x:c r="K13" s="34" t="n">
        <x:f>'Assumptions'!$D$10*'Assumptions'!$D$6*(1+'Assumptions'!$D$90)^(((K$7+K$8)/2-46304)/365)</x:f>
        <x:v>26838.434827162975</x:v>
      </x:c>
      <x:c r="L13" s="34" t="n">
        <x:f>'Assumptions'!$D$10*'Assumptions'!$D$6*(1+'Assumptions'!$D$90)^(((L$7+L$8)/2-46304)/365)</x:f>
        <x:v>26971.99797342775</x:v>
      </x:c>
      <x:c r="M13" s="34" t="n">
        <x:f>'Assumptions'!$D$10*'Assumptions'!$D$6*(1+'Assumptions'!$D$90)^(((M$7+M$8)/2-46304)/365)</x:f>
        <x:v>27106.961122517245</x:v>
      </x:c>
      <x:c r="N13" s="34" t="n">
        <x:f>'Assumptions'!$D$10*'Assumptions'!$D$6*(1+'Assumptions'!$D$90)^(((N$7+N$8)/2-46304)/365)</x:f>
        <x:v>27241.121629809935</x:v>
      </x:c>
      <x:c r="O13" s="34" t="n">
        <x:f>'Assumptions'!$D$10*'Assumptions'!$D$6*(1+'Assumptions'!$D$90)^(((O$7+O$8)/2-46304)/365)</x:f>
        <x:v>27375.203523706237</x:v>
      </x:c>
      <x:c r="P13" s="34" t="n">
        <x:f>'Assumptions'!$D$10*'Assumptions'!$D$6*(1+'Assumptions'!$D$90)^(((P$7+P$8)/2-46304)/365)</x:f>
        <x:v>27511.437932896304</x:v>
      </x:c>
      <x:c r="Q13" s="34" t="n">
        <x:f>'Assumptions'!$D$10*'Assumptions'!$D$6*(1+'Assumptions'!$D$90)^(((Q$7+Q$8)/2-46304)/365)</x:f>
        <x:v>27854.619692284756</x:v>
      </x:c>
      <x:c r="R13" s="34" t="n">
        <x:f>'Assumptions'!$D$10*'Assumptions'!$D$6*(1+'Assumptions'!$D$90)^(((R$7+R$8)/2-46304)/365)</x:f>
        <x:v>28411.712086130454</x:v>
      </x:c>
      <x:c r="S13" s="34" t="n">
        <x:f>'Assumptions'!$D$10*'Assumptions'!$D$6*(1+'Assumptions'!$D$90)^(((S$7+S$8)/2-46304)/365)</x:f>
        <x:v>28980.73247423668</x:v>
      </x:c>
      <x:c r="T13" s="34" t="n">
        <x:f>'Assumptions'!$D$10*'Assumptions'!$D$6*(1+'Assumptions'!$D$90)^(((T$7+T$8)/2-46304)/365)</x:f>
        <x:v>29561.149014785213</x:v>
      </x:c>
      <x:c r="U13" s="34" t="n">
        <x:f>'Assumptions'!$D$10*'Assumptions'!$D$6*(1+'Assumptions'!$D$90)^(((U$7+U$8)/2-46304)/365)</x:f>
        <x:v>30152.37199508092</x:v>
      </x:c>
      <x:c r="V13" s="34" t="n">
        <x:f>'Assumptions'!$D$10*'Assumptions'!$D$6*(1+'Assumptions'!$D$90)^(((V$7+V$8)/2-46304)/365)</x:f>
        <x:v>30755.41943498254</x:v>
      </x:c>
      <x:c r="W13" s="34" t="n">
        <x:f>'Assumptions'!$D$10*'Assumptions'!$D$6*(1+'Assumptions'!$D$90)^(((W$7+W$8)/2-46304)/365)</x:f>
        <x:v>31371.378819978796</x:v>
      </x:c>
      <x:c r="X13" s="34" t="n">
        <x:f>'Assumptions'!$D$10*'Assumptions'!$D$6*(1+'Assumptions'!$D$90)^(((X$7+X$8)/2-46304)/365)</x:f>
        <x:v>31999.6744361478</x:v>
      </x:c>
      <x:c r="Y13" s="34" t="n">
        <x:f>'Assumptions'!$D$10*'Assumptions'!$D$6*(1+'Assumptions'!$D$90)^(((Y$7+Y$8)/2-46304)/365)</x:f>
        <x:v>32639.66792487076</x:v>
      </x:c>
      <x:c r="Z13" s="34" t="n">
        <x:f>'Assumptions'!$D$10*'Assumptions'!$D$6*(1+'Assumptions'!$D$90)^(((Z$7+Z$8)/2-46304)/365)</x:f>
        <x:v>33292.461283368175</x:v>
      </x:c>
      <x:c r="AA13" s="34" t="n">
        <x:f>'Assumptions'!$D$10*'Assumptions'!$D$6*(1+'Assumptions'!$D$90)^(((AA$7+AA$8)/2-46304)/365)</x:f>
        <x:v>33959.231704772006</x:v>
      </x:c>
      <x:c r="AB13" s="34" t="n">
        <x:f>'Assumptions'!$D$10*'Assumptions'!$D$6*(1+'Assumptions'!$D$90)^(((AB$7+AB$8)/2-46304)/365)</x:f>
        <x:v>34639.355984007954</x:v>
      </x:c>
      <x:c r="AC13" s="34" t="n">
        <x:f>'Assumptions'!$D$10*'Assumptions'!$D$6*(1+'Assumptions'!$D$90)^(((AC$7+AC$8)/2-46304)/365)</x:f>
        <x:v>35332.14310368812</x:v>
      </x:c>
      <x:c r="AD13" s="34" t="n">
        <x:f>'Assumptions'!$D$10*'Assumptions'!$D$6*(1+'Assumptions'!$D$90)^(((AD$7+AD$8)/2-46304)/365)</x:f>
        <x:v>36038.785965761876</x:v>
      </x:c>
      <x:c r="AE13" s="34" t="n">
        <x:f>'Assumptions'!$D$10*'Assumptions'!$D$6*(1+'Assumptions'!$D$90)^(((AE$7+AE$8)/2-46304)/365)</x:f>
        <x:v>36760.558871067566</x:v>
      </x:c>
      <x:c r="AF13" s="34" t="n">
        <x:f>'Assumptions'!$D$10*'Assumptions'!$D$6*(1+'Assumptions'!$D$90)^(((AF$7+AF$8)/2-46304)/365)</x:f>
        <x:v>37496.787205791115</x:v>
      </x:c>
      <x:c r="AG13" s="34" t="n">
        <x:f>'Assumptions'!$D$10*'Assumptions'!$D$6*(1+'Assumptions'!$D$90)^(((AG$7+AG$8)/2-46304)/365)</x:f>
        <x:v>38246.72294990693</x:v>
      </x:c>
      <x:c r="AH13" s="34" t="n">
        <x:f>'Assumptions'!$D$10*'Assumptions'!$D$6*(1+'Assumptions'!$D$90)^(((AH$7+AH$8)/2-46304)/365)</x:f>
        <x:v>39011.65740890507</x:v>
      </x:c>
      <x:c r="AI13" s="34" t="n">
        <x:f>'Assumptions'!$D$10*'Assumptions'!$D$6*(1+'Assumptions'!$D$90)^(((AI$7+AI$8)/2-46304)/365)</x:f>
        <x:v>39792.9700018311</x:v>
      </x:c>
      <x:c r="AJ13" s="34" t="n">
        <x:f>'Assumptions'!$D$10*'Assumptions'!$D$6*(1+'Assumptions'!$D$90)^(((AJ$7+AJ$8)/2-46304)/365)</x:f>
        <x:v>40589.930465378624</x:v>
      </x:c>
      <x:c r="AK13" s="34" t="n">
        <x:f>'Assumptions'!$D$10*'Assumptions'!$D$6*(1+'Assumptions'!$D$90)^(((AK$7+AK$8)/2-46304)/365)</x:f>
        <x:v>41401.7290746862</x:v>
      </x:c>
      <x:c r="AL13" s="34" t="n">
        <x:f>'Assumptions'!$D$10*'Assumptions'!$D$6*(1+'Assumptions'!$D$90)^(((AL$7+AL$8)/2-46304)/365)</x:f>
        <x:v>42229.76365617992</x:v>
      </x:c>
      <x:c r="AM13" s="34" t="n">
        <x:f>'Assumptions'!$D$10*'Assumptions'!$D$6*(1+'Assumptions'!$D$90)^(((AM$7+AM$8)/2-46304)/365)</x:f>
        <x:v>43075.52741840684</x:v>
      </x:c>
      <x:c r="AN13" s="34" t="n">
        <x:f>'Assumptions'!$D$10*'Assumptions'!$D$6*(1+'Assumptions'!$D$90)^(((AN$7+AN$8)/2-46304)/365)</x:f>
        <x:v>43938.22985799222</x:v>
      </x:c>
      <x:c r="AO13" s="34" t="n">
        <x:f>'Assumptions'!$D$10*'Assumptions'!$D$6*(1+'Assumptions'!$D$90)^(((AO$7+AO$8)/2-46304)/365)</x:f>
        <x:v>44816.99445515207</x:v>
      </x:c>
      <x:c r="AP13" s="34" t="n">
        <x:f>'Assumptions'!$D$10*'Assumptions'!$D$6*(1+'Assumptions'!$D$90)^(((AP$7+AP$8)/2-46304)/365)</x:f>
        <x:v>45713.33434425511</x:v>
      </x:c>
      <x:c r="AQ13" s="34" t="n">
        <x:f>'Assumptions'!$D$10*'Assumptions'!$D$6*(1+'Assumptions'!$D$90)^(((AQ$7+AQ$8)/2-46304)/365)</x:f>
        <x:v>46628.86590994684</x:v>
      </x:c>
    </x:row>
    <x:row r="14" ht="21" customHeight="1">
      <x:c r="A14" s="2"/>
      <x:c r="B14" s="2"/>
      <x:c r="C14" s="2" t="str">
        <x:v>Fixed share</x:v>
      </x:c>
      <x:c r="D14" s="2"/>
      <x:c r="E14" s="43" t="n">
        <x:f>'Assumptions'!$D$140</x:f>
        <x:v>0</x:v>
      </x:c>
      <x:c r="F14" s="43" t="n">
        <x:f>'Assumptions'!$D$140</x:f>
        <x:v>0</x:v>
      </x:c>
      <x:c r="G14" s="43" t="n">
        <x:f>'Assumptions'!$D$140</x:f>
        <x:v>0</x:v>
      </x:c>
      <x:c r="H14" s="43" t="n">
        <x:f>'Assumptions'!$D$140</x:f>
        <x:v>0</x:v>
      </x:c>
      <x:c r="I14" s="43" t="n">
        <x:f>'Assumptions'!$D$140</x:f>
        <x:v>0</x:v>
      </x:c>
      <x:c r="J14" s="43" t="n">
        <x:f>'Assumptions'!$D$140</x:f>
        <x:v>0</x:v>
      </x:c>
      <x:c r="K14" s="43" t="n">
        <x:f>'Assumptions'!$D$140</x:f>
        <x:v>0</x:v>
      </x:c>
      <x:c r="L14" s="43" t="n">
        <x:f>'Assumptions'!$D$140</x:f>
        <x:v>0</x:v>
      </x:c>
      <x:c r="M14" s="43" t="n">
        <x:f>'Assumptions'!$D$140</x:f>
        <x:v>0</x:v>
      </x:c>
      <x:c r="N14" s="43" t="n">
        <x:f>'Assumptions'!$D$140</x:f>
        <x:v>0</x:v>
      </x:c>
      <x:c r="O14" s="43" t="n">
        <x:f>'Assumptions'!$D$140</x:f>
        <x:v>0</x:v>
      </x:c>
      <x:c r="P14" s="43" t="n">
        <x:f>'Assumptions'!$D$140</x:f>
        <x:v>0</x:v>
      </x:c>
      <x:c r="Q14" s="43" t="n">
        <x:f>'Assumptions'!$D$140</x:f>
        <x:v>0</x:v>
      </x:c>
      <x:c r="R14" s="43" t="n">
        <x:f>'Assumptions'!$D$140</x:f>
        <x:v>0</x:v>
      </x:c>
      <x:c r="S14" s="43" t="n">
        <x:f>'Assumptions'!$D$140</x:f>
        <x:v>0</x:v>
      </x:c>
      <x:c r="T14" s="43" t="n">
        <x:f>'Assumptions'!$D$140</x:f>
        <x:v>0</x:v>
      </x:c>
      <x:c r="U14" s="43" t="n">
        <x:f>'Assumptions'!$D$140</x:f>
        <x:v>0</x:v>
      </x:c>
      <x:c r="V14" s="43" t="n">
        <x:f>'Assumptions'!$D$140</x:f>
        <x:v>0</x:v>
      </x:c>
      <x:c r="W14" s="43" t="n">
        <x:f>'Assumptions'!$D$140</x:f>
        <x:v>0</x:v>
      </x:c>
      <x:c r="X14" s="43" t="n">
        <x:f>'Assumptions'!$D$140</x:f>
        <x:v>0</x:v>
      </x:c>
      <x:c r="Y14" s="43" t="n">
        <x:f>'Assumptions'!$D$140</x:f>
        <x:v>0</x:v>
      </x:c>
      <x:c r="Z14" s="43" t="n">
        <x:f>'Assumptions'!$D$140</x:f>
        <x:v>0</x:v>
      </x:c>
      <x:c r="AA14" s="43" t="n">
        <x:f>'Assumptions'!$D$140</x:f>
        <x:v>0</x:v>
      </x:c>
      <x:c r="AB14" s="43" t="n">
        <x:f>'Assumptions'!$D$140</x:f>
        <x:v>0</x:v>
      </x:c>
      <x:c r="AC14" s="43" t="n">
        <x:f>'Assumptions'!$D$140</x:f>
        <x:v>0</x:v>
      </x:c>
      <x:c r="AD14" s="43" t="n">
        <x:f>'Assumptions'!$D$140</x:f>
        <x:v>0</x:v>
      </x:c>
      <x:c r="AE14" s="43" t="n">
        <x:f>'Assumptions'!$D$140</x:f>
        <x:v>0</x:v>
      </x:c>
      <x:c r="AF14" s="43" t="n">
        <x:f>'Assumptions'!$D$140</x:f>
        <x:v>0</x:v>
      </x:c>
      <x:c r="AG14" s="43" t="n">
        <x:f>'Assumptions'!$D$140</x:f>
        <x:v>0</x:v>
      </x:c>
      <x:c r="AH14" s="43" t="n">
        <x:f>'Assumptions'!$D$140</x:f>
        <x:v>0</x:v>
      </x:c>
      <x:c r="AI14" s="43" t="n">
        <x:f>'Assumptions'!$D$140</x:f>
        <x:v>0</x:v>
      </x:c>
      <x:c r="AJ14" s="43" t="n">
        <x:f>'Assumptions'!$D$140</x:f>
        <x:v>0</x:v>
      </x:c>
      <x:c r="AK14" s="43" t="n">
        <x:f>'Assumptions'!$D$140</x:f>
        <x:v>0</x:v>
      </x:c>
      <x:c r="AL14" s="43" t="n">
        <x:f>'Assumptions'!$D$140</x:f>
        <x:v>0</x:v>
      </x:c>
      <x:c r="AM14" s="43" t="n">
        <x:f>'Assumptions'!$D$140</x:f>
        <x:v>0</x:v>
      </x:c>
      <x:c r="AN14" s="43" t="n">
        <x:f>'Assumptions'!$D$140</x:f>
        <x:v>0</x:v>
      </x:c>
      <x:c r="AO14" s="43" t="n">
        <x:f>'Assumptions'!$D$140</x:f>
        <x:v>0</x:v>
      </x:c>
      <x:c r="AP14" s="43" t="n">
        <x:f>'Assumptions'!$D$140</x:f>
        <x:v>0</x:v>
      </x:c>
      <x:c r="AQ14" s="43" t="n">
        <x:f>'Assumptions'!$D$140</x:f>
        <x:v>0</x:v>
      </x:c>
    </x:row>
    <x:row r="15" ht="21" customHeight="1">
      <x:c r="A15" s="2"/>
      <x:c r="B15" s="2"/>
      <x:c r="C15" s="2" t="str">
        <x:v>Fixed TCE (USD/day)</x:v>
      </x:c>
      <x:c r="D15" s="2"/>
      <x:c r="E15" s="34" t="n">
        <x:f>'Assumptions'!$D$145*(1+'Assumptions'!$D$90)^(((E$7+E$8)/2-46304)/365)</x:f>
        <x:v>18041.062618776043</x:v>
      </x:c>
      <x:c r="F15" s="34" t="n">
        <x:f>'Assumptions'!$D$145*(1+'Assumptions'!$D$90)^(((F$7+F$8)/2-46304)/365)</x:f>
        <x:v>18125.927426311217</x:v>
      </x:c>
      <x:c r="G15" s="34" t="n">
        <x:f>'Assumptions'!$D$145*(1+'Assumptions'!$D$90)^(((G$7+G$8)/2-46304)/365)</x:f>
        <x:v>18215.143968529035</x:v>
      </x:c>
      <x:c r="H15" s="34" t="n">
        <x:f>'Assumptions'!$D$145*(1+'Assumptions'!$D$90)^(((H$7+H$8)/2-46304)/365)</x:f>
        <x:v>18305.79276954035</x:v>
      </x:c>
      <x:c r="I15" s="34" t="n">
        <x:f>'Assumptions'!$D$145*(1+'Assumptions'!$D$90)^(((I$7+I$8)/2-46304)/365)</x:f>
        <x:v>18397.391747161168</x:v>
      </x:c>
      <x:c r="J15" s="34" t="n">
        <x:f>'Assumptions'!$D$145*(1+'Assumptions'!$D$90)^(((J$7+J$8)/2-46304)/365)</x:f>
        <x:v>18488.94751561938</x:v>
      </x:c>
      <x:c r="K15" s="34" t="n">
        <x:f>'Assumptions'!$D$145*(1+'Assumptions'!$D$90)^(((K$7+K$8)/2-46304)/365)</x:f>
        <x:v>18580.454880343597</x:v>
      </x:c>
      <x:c r="L15" s="34" t="n">
        <x:f>'Assumptions'!$D$145*(1+'Assumptions'!$D$90)^(((L$7+L$8)/2-46304)/365)</x:f>
        <x:v>18672.92167391152</x:v>
      </x:c>
      <x:c r="M15" s="34" t="n">
        <x:f>'Assumptions'!$D$145*(1+'Assumptions'!$D$90)^(((M$7+M$8)/2-46304)/365)</x:f>
        <x:v>18766.357700204248</x:v>
      </x:c>
      <x:c r="N15" s="34" t="n">
        <x:f>'Assumptions'!$D$145*(1+'Assumptions'!$D$90)^(((N$7+N$8)/2-46304)/365)</x:f>
        <x:v>18859.23805140688</x:v>
      </x:c>
      <x:c r="O15" s="34" t="n">
        <x:f>'Assumptions'!$D$145*(1+'Assumptions'!$D$90)^(((O$7+O$8)/2-46304)/365)</x:f>
        <x:v>18952.06397795047</x:v>
      </x:c>
      <x:c r="P15" s="34" t="n">
        <x:f>'Assumptions'!$D$145*(1+'Assumptions'!$D$90)^(((P$7+P$8)/2-46304)/365)</x:f>
        <x:v>19046.38010738975</x:v>
      </x:c>
      <x:c r="Q15" s="34" t="n">
        <x:f>'Assumptions'!$D$145*(1+'Assumptions'!$D$90)^(((Q$7+Q$8)/2-46304)/365)</x:f>
        <x:v>19283.967479274062</x:v>
      </x:c>
      <x:c r="R15" s="34" t="n">
        <x:f>'Assumptions'!$D$145*(1+'Assumptions'!$D$90)^(((R$7+R$8)/2-46304)/365)</x:f>
        <x:v>19669.646828859546</x:v>
      </x:c>
      <x:c r="S15" s="34" t="n">
        <x:f>'Assumptions'!$D$145*(1+'Assumptions'!$D$90)^(((S$7+S$8)/2-46304)/365)</x:f>
        <x:v>20063.584020625396</x:v>
      </x:c>
      <x:c r="T15" s="34" t="n">
        <x:f>'Assumptions'!$D$145*(1+'Assumptions'!$D$90)^(((T$7+T$8)/2-46304)/365)</x:f>
        <x:v>20465.410856389764</x:v>
      </x:c>
      <x:c r="U15" s="34" t="n">
        <x:f>'Assumptions'!$D$145*(1+'Assumptions'!$D$90)^(((U$7+U$8)/2-46304)/365)</x:f>
        <x:v>20874.71907351756</x:v>
      </x:c>
      <x:c r="V15" s="34" t="n">
        <x:f>'Assumptions'!$D$145*(1+'Assumptions'!$D$90)^(((V$7+V$8)/2-46304)/365)</x:f>
        <x:v>21292.213454987912</x:v>
      </x:c>
      <x:c r="W15" s="34" t="n">
        <x:f>'Assumptions'!$D$145*(1+'Assumptions'!$D$90)^(((W$7+W$8)/2-46304)/365)</x:f>
        <x:v>21718.646875369934</x:v>
      </x:c>
      <x:c r="X15" s="34" t="n">
        <x:f>'Assumptions'!$D$145*(1+'Assumptions'!$D$90)^(((X$7+X$8)/2-46304)/365)</x:f>
        <x:v>22153.62076348694</x:v>
      </x:c>
      <x:c r="Y15" s="34" t="n">
        <x:f>'Assumptions'!$D$145*(1+'Assumptions'!$D$90)^(((Y$7+Y$8)/2-46304)/365)</x:f>
        <x:v>22596.69317875668</x:v>
      </x:c>
      <x:c r="Z15" s="34" t="n">
        <x:f>'Assumptions'!$D$145*(1+'Assumptions'!$D$90)^(((Z$7+Z$8)/2-46304)/365)</x:f>
        <x:v>23048.627042331816</x:v>
      </x:c>
      <x:c r="AA15" s="34" t="n">
        <x:f>'Assumptions'!$D$145*(1+'Assumptions'!$D$90)^(((AA$7+AA$8)/2-46304)/365)</x:f>
        <x:v>23510.23733407293</x:v>
      </x:c>
      <x:c r="AB15" s="34" t="n">
        <x:f>'Assumptions'!$D$145*(1+'Assumptions'!$D$90)^(((AB$7+AB$8)/2-46304)/365)</x:f>
        <x:v>23981.0926043132</x:v>
      </x:c>
      <x:c r="AC15" s="34" t="n">
        <x:f>'Assumptions'!$D$145*(1+'Assumptions'!$D$90)^(((AC$7+AC$8)/2-46304)/365)</x:f>
        <x:v>24460.714456399466</x:v>
      </x:c>
      <x:c r="AD15" s="34" t="n">
        <x:f>'Assumptions'!$D$145*(1+'Assumptions'!$D$90)^(((AD$7+AD$8)/2-46304)/365)</x:f>
        <x:v>24949.928745527453</x:v>
      </x:c>
      <x:c r="AE15" s="34" t="n">
        <x:f>'Assumptions'!$D$145*(1+'Assumptions'!$D$90)^(((AE$7+AE$8)/2-46304)/365)</x:f>
        <x:v>25449.61767996985</x:v>
      </x:c>
      <x:c r="AF15" s="34" t="n">
        <x:f>'Assumptions'!$D$145*(1+'Assumptions'!$D$90)^(((AF$7+AF$8)/2-46304)/365)</x:f>
        <x:v>25959.314219393847</x:v>
      </x:c>
      <x:c r="AG15" s="34" t="n">
        <x:f>'Assumptions'!$D$145*(1+'Assumptions'!$D$90)^(((AG$7+AG$8)/2-46304)/365)</x:f>
        <x:v>26478.50050378172</x:v>
      </x:c>
      <x:c r="AH15" s="34" t="n">
        <x:f>'Assumptions'!$D$145*(1+'Assumptions'!$D$90)^(((AH$7+AH$8)/2-46304)/365)</x:f>
        <x:v>27008.070513857358</x:v>
      </x:c>
      <x:c r="AI15" s="34" t="n">
        <x:f>'Assumptions'!$D$145*(1+'Assumptions'!$D$90)^(((AI$7+AI$8)/2-46304)/365)</x:f>
        <x:v>27548.979232036912</x:v>
      </x:c>
      <x:c r="AJ15" s="34" t="n">
        <x:f>'Assumptions'!$D$145*(1+'Assumptions'!$D$90)^(((AJ$7+AJ$8)/2-46304)/365)</x:f>
        <x:v>28100.72109141597</x:v>
      </x:c>
      <x:c r="AK15" s="34" t="n">
        <x:f>'Assumptions'!$D$145*(1+'Assumptions'!$D$90)^(((AK$7+AK$8)/2-46304)/365)</x:f>
        <x:v>28662.73551324429</x:v>
      </x:c>
      <x:c r="AL15" s="34" t="n">
        <x:f>'Assumptions'!$D$145*(1+'Assumptions'!$D$90)^(((AL$7+AL$8)/2-46304)/365)</x:f>
        <x:v>29235.990223509176</x:v>
      </x:c>
      <x:c r="AM15" s="34" t="n">
        <x:f>'Assumptions'!$D$145*(1+'Assumptions'!$D$90)^(((AM$7+AM$8)/2-46304)/365)</x:f>
        <x:v>29821.518981973968</x:v>
      </x:c>
      <x:c r="AN15" s="34" t="n">
        <x:f>'Assumptions'!$D$145*(1+'Assumptions'!$D$90)^(((AN$7+AN$8)/2-46304)/365)</x:f>
        <x:v>30418.77451707154</x:v>
      </x:c>
      <x:c r="AO15" s="34" t="n">
        <x:f>'Assumptions'!$D$145*(1+'Assumptions'!$D$90)^(((AO$7+AO$8)/2-46304)/365)</x:f>
        <x:v>31027.15000741297</x:v>
      </x:c>
      <x:c r="AP15" s="34" t="n">
        <x:f>'Assumptions'!$D$145*(1+'Assumptions'!$D$90)^(((AP$7+AP$8)/2-46304)/365)</x:f>
        <x:v>31647.693007561233</x:v>
      </x:c>
      <x:c r="AQ15" s="34" t="n">
        <x:f>'Assumptions'!$D$145*(1+'Assumptions'!$D$90)^(((AQ$7+AQ$8)/2-46304)/365)</x:f>
        <x:v>32281.522553040122</x:v>
      </x:c>
    </x:row>
    <x:row r="16" ht="21" customHeight="1">
      <x:c r="A16" s="2"/>
      <x:c r="B16" s="2"/>
      <x:c r="C16" s="2" t="str">
        <x:v>TCE cash revenue</x:v>
      </x:c>
      <x:c r="D16" s="2"/>
      <x:c r="E16" s="39" t="n">
        <x:f>E12*((1-E14)*E13+E14*E15)</x:f>
        <x:v>34931205.67059983</x:v>
      </x:c>
      <x:c r="F16" s="39" t="n">
        <x:f>F12*((1-F14)*F13+F14*F15)</x:f>
        <x:v>38055384.631540395</x:v>
      </x:c>
      <x:c r="G16" s="39" t="n">
        <x:f>G12*((1-G14)*G13+G14*G15)</x:f>
        <x:v>38667613.59261478</x:v>
      </x:c>
      <x:c r="H16" s="39" t="n">
        <x:f>H12*((1-H14)*H13+H14*H15)</x:f>
        <x:v>39287078.85119774</x:v>
      </x:c>
      <x:c r="I16" s="39" t="n">
        <x:f>I12*((1-I14)*I13+I14*I15)</x:f>
        <x:v>39483664.50590187</x:v>
      </x:c>
      <x:c r="J16" s="39" t="n">
        <x:f>J12*((1-J14)*J13+J14*J15)</x:f>
        <x:v>39248851.368032254</x:v>
      </x:c>
      <x:c r="K16" s="39" t="n">
        <x:f>K12*((1-K14)*K13+K14*K15)</x:f>
        <x:v>39443105.74374006</x:v>
      </x:c>
      <x:c r="L16" s="39" t="n">
        <x:f>L12*((1-L14)*L13+L14*L15)</x:f>
        <x:v>40074994.588918954</x:v>
      </x:c>
      <x:c r="M16" s="39" t="n">
        <x:f>M12*((1-M14)*M13+M14*M15)</x:f>
        <x:v>40275522.83583612</x:v>
      </x:c>
      <x:c r="N16" s="39" t="n">
        <x:f>N12*((1-N14)*N13+N14*N15)</x:f>
        <x:v>39594970.28892874</x:v>
      </x:c>
      <x:c r="O16" s="39" t="n">
        <x:f>O12*((1-O14)*O13+O14*O15)</x:f>
        <x:v>40231967.85861487</x:v>
      </x:c>
      <x:c r="P16" s="39" t="n">
        <x:f>P12*((1-P14)*P13+P14*P15)</x:f>
        <x:v>40876494.48069733</x:v>
      </x:c>
      <x:c r="Q16" s="39" t="n">
        <x:f>Q12*((1-Q14)*Q13+Q14*Q15)</x:f>
        <x:v>164196019.43109557</x:v>
      </x:c>
      <x:c r="R16" s="39" t="n">
        <x:f>R12*((1-R14)*R13+R14*R15)</x:f>
        <x:v>167479939.8197175</x:v>
      </x:c>
      <x:c r="S16" s="39" t="n">
        <x:f>S12*((1-S14)*S13+S14*S15)</x:f>
        <x:v>171302211.5819656</x:v>
      </x:c>
      <x:c r="T16" s="39" t="n">
        <x:f>T12*((1-T14)*T13+T14*T15)</x:f>
        <x:v>174255583.15490514</x:v>
      </x:c>
      <x:c r="U16" s="39" t="n">
        <x:f>U12*((1-U14)*U13+U14*U15)</x:f>
        <x:v>177740694.81800327</x:v>
      </x:c>
      <x:c r="V16" s="39" t="n">
        <x:f>V12*((1-V14)*V13+V14*V15)</x:f>
        <x:v>181295508.71436334</x:v>
      </x:c>
      <x:c r="W16" s="39" t="n">
        <x:f>W12*((1-W14)*W13+W14*W15)</x:f>
        <x:v>185433083.06701267</x:v>
      </x:c>
      <x:c r="X16" s="39" t="n">
        <x:f>X12*((1-X14)*X13+X14*X15)</x:f>
        <x:v>188630080.88248226</x:v>
      </x:c>
      <x:c r="Y16" s="39" t="n">
        <x:f>Y12*((1-Y14)*Y13+Y14*Y15)</x:f>
        <x:v>192402682.5001319</x:v>
      </x:c>
      <x:c r="Z16" s="39" t="n">
        <x:f>Z12*((1-Z14)*Z13+Z14*Z15)</x:f>
        <x:v>196250736.15013456</x:v>
      </x:c>
      <x:c r="AA16" s="39" t="n">
        <x:f>AA12*((1-AA14)*AA13+AA14*AA15)</x:f>
        <x:v>191825512.13074562</x:v>
      </x:c>
      <x:c r="AB16" s="39" t="n">
        <x:f>AB12*((1-AB14)*AB13+AB14*AB15)</x:f>
        <x:v>156046834.77235743</x:v>
      </x:c>
      <x:c r="AC16" s="39" t="n">
        <x:f>AC12*((1-AC14)*AC13+AC14*AC15)</x:f>
        <x:v>110162088.98298918</x:v>
      </x:c>
      <x:c r="AD16" s="39" t="n">
        <x:f>AD12*((1-AD14)*AD13+AD14*AD15)</x:f>
        <x:v>65529324.521544814</x:v>
      </x:c>
      <x:c r="AE16" s="39" t="n">
        <x:f>AE12*((1-AE14)*AE13+AE14*AE15)</x:f>
        <x:v>28706320.42241666</x:v>
      </x:c>
      <x:c r="AF16" s="39" t="n">
        <x:f>AF12*((1-AF14)*AF13+AF14*AF15)</x:f>
        <x:v>0</x:v>
      </x:c>
      <x:c r="AG16" s="39" t="n">
        <x:f>AG12*((1-AG14)*AG13+AG14*AG15)</x:f>
        <x:v>0</x:v>
      </x:c>
      <x:c r="AH16" s="39" t="n">
        <x:f>AH12*((1-AH14)*AH13+AH14*AH15)</x:f>
        <x:v>0</x:v>
      </x:c>
      <x:c r="AI16" s="39" t="n">
        <x:f>AI12*((1-AI14)*AI13+AI14*AI15)</x:f>
        <x:v>0</x:v>
      </x:c>
      <x:c r="AJ16" s="39" t="n">
        <x:f>AJ12*((1-AJ14)*AJ13+AJ14*AJ15)</x:f>
        <x:v>0</x:v>
      </x:c>
      <x:c r="AK16" s="39" t="n">
        <x:f>AK12*((1-AK14)*AK13+AK14*AK15)</x:f>
        <x:v>0</x:v>
      </x:c>
      <x:c r="AL16" s="39" t="n">
        <x:f>AL12*((1-AL14)*AL13+AL14*AL15)</x:f>
        <x:v>0</x:v>
      </x:c>
      <x:c r="AM16" s="39" t="n">
        <x:f>AM12*((1-AM14)*AM13+AM14*AM15)</x:f>
        <x:v>0</x:v>
      </x:c>
      <x:c r="AN16" s="39" t="n">
        <x:f>AN12*((1-AN14)*AN13+AN14*AN15)</x:f>
        <x:v>0</x:v>
      </x:c>
      <x:c r="AO16" s="39" t="n">
        <x:f>AO12*((1-AO14)*AO13+AO14*AO15)</x:f>
        <x:v>0</x:v>
      </x:c>
      <x:c r="AP16" s="39" t="n">
        <x:f>AP12*((1-AP14)*AP13+AP14*AP15)</x:f>
        <x:v>0</x:v>
      </x:c>
      <x:c r="AQ16" s="39" t="n">
        <x:f>AQ12*((1-AQ14)*AQ13+AQ14*AQ15)</x:f>
        <x:v>0</x:v>
      </x:c>
    </x:row>
    <x:row r="17" ht="21" customHeight="1">
      <x:c r="A17" s="2"/>
      <x:c r="B17" s="2"/>
      <x:c r="C17" s="2" t="str">
        <x:v>Vessel operating cost</x:v>
      </x:c>
      <x:c r="D17" s="2"/>
      <x:c r="E17" s="37" t="n">
        <x:f>E11*'Assumptions'!$D$60*(1+'Assumptions'!$D$90)^(((E$7+E$8)/2-46304)/365)</x:f>
        <x:v>7495359.921221826</x:v>
      </x:c>
      <x:c r="F17" s="37" t="n">
        <x:f>F11*'Assumptions'!$D$60*(1+'Assumptions'!$D$90)^(((F$7+F$8)/2-46304)/365)</x:f>
        <x:v>8165730.3055532025</x:v>
      </x:c>
      <x:c r="G17" s="37" t="n">
        <x:f>G11*'Assumptions'!$D$60*(1+'Assumptions'!$D$90)^(((G$7+G$8)/2-46304)/365)</x:f>
        <x:v>8297099.272909245</x:v>
      </x:c>
      <x:c r="H17" s="37" t="n">
        <x:f>H11*'Assumptions'!$D$60*(1+'Assumptions'!$D$90)^(((H$7+H$8)/2-46304)/365)</x:f>
        <x:v>8430020.96807077</x:v>
      </x:c>
      <x:c r="I17" s="37" t="n">
        <x:f>I11*'Assumptions'!$D$60*(1+'Assumptions'!$D$90)^(((I$7+I$8)/2-46304)/365)</x:f>
        <x:v>8472203.315031575</x:v>
      </x:c>
      <x:c r="J17" s="37" t="n">
        <x:f>J11*'Assumptions'!$D$60*(1+'Assumptions'!$D$90)^(((J$7+J$8)/2-46304)/365)</x:f>
        <x:v>8421818.309739714</x:v>
      </x:c>
      <x:c r="K17" s="37" t="n">
        <x:f>K11*'Assumptions'!$D$60*(1+'Assumptions'!$D$90)^(((K$7+K$8)/2-46304)/365)</x:f>
        <x:v>8463500.422745844</x:v>
      </x:c>
      <x:c r="L17" s="37" t="n">
        <x:f>L11*'Assumptions'!$D$60*(1+'Assumptions'!$D$90)^(((L$7+L$8)/2-46304)/365)</x:f>
        <x:v>8599087.907743743</x:v>
      </x:c>
      <x:c r="M17" s="37" t="n">
        <x:f>M11*'Assumptions'!$D$60*(1+'Assumptions'!$D$90)^(((M$7+M$8)/2-46304)/365)</x:f>
        <x:v>8642116.236029614</x:v>
      </x:c>
      <x:c r="N17" s="37" t="n">
        <x:f>N11*'Assumptions'!$D$60*(1+'Assumptions'!$D$90)^(((N$7+N$8)/2-46304)/365)</x:f>
        <x:v>8496086.742158799</x:v>
      </x:c>
      <x:c r="O17" s="37" t="n">
        <x:f>O11*'Assumptions'!$D$60*(1+'Assumptions'!$D$90)^(((O$7+O$8)/2-46304)/365)</x:f>
        <x:v>8632770.431200761</x:v>
      </x:c>
      <x:c r="P17" s="37" t="n">
        <x:f>P11*'Assumptions'!$D$60*(1+'Assumptions'!$D$90)^(((P$7+P$8)/2-46304)/365)</x:f>
        <x:v>8771069.665898617</x:v>
      </x:c>
      <x:c r="Q17" s="37" t="n">
        <x:f>Q11*'Assumptions'!$D$60*(1+'Assumptions'!$D$90)^(((Q$7+Q$8)/2-46304)/365)</x:f>
        <x:v>35232344.25039703</x:v>
      </x:c>
      <x:c r="R17" s="37" t="n">
        <x:f>R11*'Assumptions'!$D$60*(1+'Assumptions'!$D$90)^(((R$7+R$8)/2-46304)/365)</x:f>
        <x:v>35936991.13540497</x:v>
      </x:c>
      <x:c r="S17" s="37" t="n">
        <x:f>S11*'Assumptions'!$D$60*(1+'Assumptions'!$D$90)^(((S$7+S$8)/2-46304)/365)</x:f>
        <x:v>36757154.71191974</x:v>
      </x:c>
      <x:c r="T17" s="37" t="n">
        <x:f>T11*'Assumptions'!$D$60*(1+'Assumptions'!$D$90)^(((T$7+T$8)/2-46304)/365)</x:f>
        <x:v>37390874.118259</x:v>
      </x:c>
      <x:c r="U17" s="37" t="n">
        <x:f>U11*'Assumptions'!$D$60*(1+'Assumptions'!$D$90)^(((U$7+U$8)/2-46304)/365)</x:f>
        <x:v>38138691.60062418</x:v>
      </x:c>
      <x:c r="V17" s="37" t="n">
        <x:f>V11*'Assumptions'!$D$60*(1+'Assumptions'!$D$90)^(((V$7+V$8)/2-46304)/365)</x:f>
        <x:v>38901465.43263666</x:v>
      </x:c>
      <x:c r="W17" s="37" t="n">
        <x:f>W11*'Assumptions'!$D$60*(1+'Assumptions'!$D$90)^(((W$7+W$8)/2-46304)/365)</x:f>
        <x:v>39789285.03057357</x:v>
      </x:c>
      <x:c r="X17" s="37" t="n">
        <x:f>X11*'Assumptions'!$D$60*(1+'Assumptions'!$D$90)^(((X$7+X$8)/2-46304)/365)</x:f>
        <x:v>40475280.51324518</x:v>
      </x:c>
      <x:c r="Y17" s="37" t="n">
        <x:f>Y11*'Assumptions'!$D$60*(1+'Assumptions'!$D$90)^(((Y$7+Y$8)/2-46304)/365)</x:f>
        <x:v>41284786.123510085</x:v>
      </x:c>
      <x:c r="Z17" s="37" t="n">
        <x:f>Z11*'Assumptions'!$D$60*(1+'Assumptions'!$D$90)^(((Z$7+Z$8)/2-46304)/365)</x:f>
        <x:v>42110481.84598029</x:v>
      </x:c>
      <x:c r="AA17" s="37" t="n">
        <x:f>AA11*'Assumptions'!$D$60*(1+'Assumptions'!$D$90)^(((AA$7+AA$8)/2-46304)/365)</x:f>
        <x:v>41160939.849917084</x:v>
      </x:c>
      <x:c r="AB17" s="37" t="n">
        <x:f>AB11*'Assumptions'!$D$60*(1+'Assumptions'!$D$90)^(((AB$7+AB$8)/2-46304)/365)</x:f>
        <x:v>33483733.77706455</x:v>
      </x:c>
      <x:c r="AC17" s="37" t="n">
        <x:f>AC11*'Assumptions'!$D$60*(1+'Assumptions'!$D$90)^(((AC$7+AC$8)/2-46304)/365)</x:f>
        <x:v>23638019.093515895</x:v>
      </x:c>
      <x:c r="AD17" s="37" t="n">
        <x:f>AD11*'Assumptions'!$D$60*(1+'Assumptions'!$D$90)^(((AD$7+AD$8)/2-46304)/365)</x:f>
        <x:v>14060948.176687755</x:v>
      </x:c>
      <x:c r="AE17" s="37" t="n">
        <x:f>AE11*'Assumptions'!$D$60*(1+'Assumptions'!$D$90)^(((AE$7+AE$8)/2-46304)/365)</x:f>
        <x:v>6159655.799142037</x:v>
      </x:c>
      <x:c r="AF17" s="37" t="n">
        <x:f>AF11*'Assumptions'!$D$60*(1+'Assumptions'!$D$90)^(((AF$7+AF$8)/2-46304)/365)</x:f>
        <x:v>0</x:v>
      </x:c>
      <x:c r="AG17" s="37" t="n">
        <x:f>AG11*'Assumptions'!$D$60*(1+'Assumptions'!$D$90)^(((AG$7+AG$8)/2-46304)/365)</x:f>
        <x:v>0</x:v>
      </x:c>
      <x:c r="AH17" s="37" t="n">
        <x:f>AH11*'Assumptions'!$D$60*(1+'Assumptions'!$D$90)^(((AH$7+AH$8)/2-46304)/365)</x:f>
        <x:v>0</x:v>
      </x:c>
      <x:c r="AI17" s="37" t="n">
        <x:f>AI11*'Assumptions'!$D$60*(1+'Assumptions'!$D$90)^(((AI$7+AI$8)/2-46304)/365)</x:f>
        <x:v>0</x:v>
      </x:c>
      <x:c r="AJ17" s="37" t="n">
        <x:f>AJ11*'Assumptions'!$D$60*(1+'Assumptions'!$D$90)^(((AJ$7+AJ$8)/2-46304)/365)</x:f>
        <x:v>0</x:v>
      </x:c>
      <x:c r="AK17" s="37" t="n">
        <x:f>AK11*'Assumptions'!$D$60*(1+'Assumptions'!$D$90)^(((AK$7+AK$8)/2-46304)/365)</x:f>
        <x:v>0</x:v>
      </x:c>
      <x:c r="AL17" s="37" t="n">
        <x:f>AL11*'Assumptions'!$D$60*(1+'Assumptions'!$D$90)^(((AL$7+AL$8)/2-46304)/365)</x:f>
        <x:v>0</x:v>
      </x:c>
      <x:c r="AM17" s="37" t="n">
        <x:f>AM11*'Assumptions'!$D$60*(1+'Assumptions'!$D$90)^(((AM$7+AM$8)/2-46304)/365)</x:f>
        <x:v>0</x:v>
      </x:c>
      <x:c r="AN17" s="37" t="n">
        <x:f>AN11*'Assumptions'!$D$60*(1+'Assumptions'!$D$90)^(((AN$7+AN$8)/2-46304)/365)</x:f>
        <x:v>0</x:v>
      </x:c>
      <x:c r="AO17" s="37" t="n">
        <x:f>AO11*'Assumptions'!$D$60*(1+'Assumptions'!$D$90)^(((AO$7+AO$8)/2-46304)/365)</x:f>
        <x:v>0</x:v>
      </x:c>
      <x:c r="AP17" s="37" t="n">
        <x:f>AP11*'Assumptions'!$D$60*(1+'Assumptions'!$D$90)^(((AP$7+AP$8)/2-46304)/365)</x:f>
        <x:v>0</x:v>
      </x:c>
      <x:c r="AQ17" s="37" t="n">
        <x:f>AQ11*'Assumptions'!$D$60*(1+'Assumptions'!$D$90)^(((AQ$7+AQ$8)/2-46304)/365)</x:f>
        <x:v>0</x:v>
      </x:c>
    </x:row>
    <x:row r="18" ht="21" customHeight="1">
      <x:c r="A18" s="2"/>
      <x:c r="B18" s="2"/>
      <x:c r="C18" s="2" t="str">
        <x:v>Management fees</x:v>
      </x:c>
      <x:c r="D18" s="2"/>
      <x:c r="E18" s="37" t="n">
        <x:f>E11*'Assumptions'!$D$65*(1+'Assumptions'!$D$90)^(((E$7+E$8)/2-46304)/365)</x:f>
        <x:v>650540.6724079321</x:v>
      </x:c>
      <x:c r="F18" s="37" t="n">
        <x:f>F11*'Assumptions'!$D$65*(1+'Assumptions'!$D$90)^(((F$7+F$8)/2-46304)/365)</x:f>
        <x:v>708723.7623687686</x:v>
      </x:c>
      <x:c r="G18" s="37" t="n">
        <x:f>G11*'Assumptions'!$D$65*(1+'Assumptions'!$D$90)^(((G$7+G$8)/2-46304)/365)</x:f>
        <x:v>720125.5972713685</x:v>
      </x:c>
      <x:c r="H18" s="37" t="n">
        <x:f>H11*'Assumptions'!$D$65*(1+'Assumptions'!$D$90)^(((H$7+H$8)/2-46304)/365)</x:f>
        <x:v>731662.1972287839</x:v>
      </x:c>
      <x:c r="I18" s="37" t="n">
        <x:f>I11*'Assumptions'!$D$65*(1+'Assumptions'!$D$90)^(((I$7+I$8)/2-46304)/365)</x:f>
        <x:v>735323.3065876462</x:v>
      </x:c>
      <x:c r="J18" s="37" t="n">
        <x:f>J11*'Assumptions'!$D$65*(1+'Assumptions'!$D$90)^(((J$7+J$8)/2-46304)/365)</x:f>
        <x:v>730950.2683925035</x:v>
      </x:c>
      <x:c r="K18" s="37" t="n">
        <x:f>K11*'Assumptions'!$D$65*(1+'Assumptions'!$D$90)^(((K$7+K$8)/2-46304)/365)</x:f>
        <x:v>734567.9612194507</x:v>
      </x:c>
      <x:c r="L18" s="37" t="n">
        <x:f>L11*'Assumptions'!$D$65*(1+'Assumptions'!$D$90)^(((L$7+L$8)/2-46304)/365)</x:f>
        <x:v>746335.9316154948</x:v>
      </x:c>
      <x:c r="M18" s="37" t="n">
        <x:f>M11*'Assumptions'!$D$65*(1+'Assumptions'!$D$90)^(((M$7+M$8)/2-46304)/365)</x:f>
        <x:v>750070.4657686079</x:v>
      </x:c>
      <x:c r="N18" s="37" t="n">
        <x:f>N11*'Assumptions'!$D$65*(1+'Assumptions'!$D$90)^(((N$7+N$8)/2-46304)/365)</x:f>
        <x:v>737396.207810009</x:v>
      </x:c>
      <x:c r="O18" s="37" t="n">
        <x:f>O11*'Assumptions'!$D$65*(1+'Assumptions'!$D$90)^(((O$7+O$8)/2-46304)/365)</x:f>
        <x:v>749259.3204438396</x:v>
      </x:c>
      <x:c r="P18" s="37" t="n">
        <x:f>P11*'Assumptions'!$D$65*(1+'Assumptions'!$D$90)^(((P$7+P$8)/2-46304)/365)</x:f>
        <x:v>761262.6502478045</x:v>
      </x:c>
      <x:c r="Q18" s="37" t="n">
        <x:f>Q11*'Assumptions'!$D$65*(1+'Assumptions'!$D$90)^(((Q$7+Q$8)/2-46304)/365)</x:f>
        <x:v>3057901.576449553</x:v>
      </x:c>
      <x:c r="R18" s="37" t="n">
        <x:f>R11*'Assumptions'!$D$65*(1+'Assumptions'!$D$90)^(((R$7+R$8)/2-46304)/365)</x:f>
        <x:v>3119059.607978544</x:v>
      </x:c>
      <x:c r="S18" s="37" t="n">
        <x:f>S11*'Assumptions'!$D$65*(1+'Assumptions'!$D$90)^(((S$7+S$8)/2-46304)/365)</x:f>
        <x:v>3190243.6165062417</x:v>
      </x:c>
      <x:c r="T18" s="37" t="n">
        <x:f>T11*'Assumptions'!$D$65*(1+'Assumptions'!$D$90)^(((T$7+T$8)/2-46304)/365)</x:f>
        <x:v>3245245.6781885168</x:v>
      </x:c>
      <x:c r="U18" s="37" t="n">
        <x:f>U11*'Assumptions'!$D$65*(1+'Assumptions'!$D$90)^(((U$7+U$8)/2-46304)/365)</x:f>
        <x:v>3310150.5917522875</x:v>
      </x:c>
      <x:c r="V18" s="37" t="n">
        <x:f>V11*'Assumptions'!$D$65*(1+'Assumptions'!$D$90)^(((V$7+V$8)/2-46304)/365)</x:f>
        <x:v>3376353.603587333</x:v>
      </x:c>
      <x:c r="W18" s="37" t="n">
        <x:f>W11*'Assumptions'!$D$65*(1+'Assumptions'!$D$90)^(((W$7+W$8)/2-46304)/365)</x:f>
        <x:v>3453409.6441629888</x:v>
      </x:c>
      <x:c r="X18" s="37" t="n">
        <x:f>X11*'Assumptions'!$D$65*(1+'Assumptions'!$D$90)^(((X$7+X$8)/2-46304)/365)</x:f>
        <x:v>3512948.8747344874</x:v>
      </x:c>
      <x:c r="Y18" s="37" t="n">
        <x:f>Y11*'Assumptions'!$D$65*(1+'Assumptions'!$D$90)^(((Y$7+Y$8)/2-46304)/365)</x:f>
        <x:v>3583207.8522291775</x:v>
      </x:c>
      <x:c r="Z18" s="37" t="n">
        <x:f>Z11*'Assumptions'!$D$65*(1+'Assumptions'!$D$90)^(((Z$7+Z$8)/2-46304)/365)</x:f>
        <x:v>3654872.009273761</x:v>
      </x:c>
      <x:c r="AA18" s="37" t="n">
        <x:f>AA11*'Assumptions'!$D$65*(1+'Assumptions'!$D$90)^(((AA$7+AA$8)/2-46304)/365)</x:f>
        <x:v>3572458.930370162</x:v>
      </x:c>
      <x:c r="AB18" s="37" t="n">
        <x:f>AB11*'Assumptions'!$D$65*(1+'Assumptions'!$D$90)^(((AB$7+AB$8)/2-46304)/365)</x:f>
        <x:v>2906135.3844244704</x:v>
      </x:c>
      <x:c r="AC18" s="37" t="n">
        <x:f>AC11*'Assumptions'!$D$65*(1+'Assumptions'!$D$90)^(((AC$7+AC$8)/2-46304)/365)</x:f>
        <x:v>2051601.6571730778</x:v>
      </x:c>
      <x:c r="AD18" s="37" t="n">
        <x:f>AD11*'Assumptions'!$D$65*(1+'Assumptions'!$D$90)^(((AD$7+AD$8)/2-46304)/365)</x:f>
        <x:v>1220384.1813728996</x:v>
      </x:c>
      <x:c r="AE18" s="37" t="n">
        <x:f>AE11*'Assumptions'!$D$65*(1+'Assumptions'!$D$90)^(((AE$7+AE$8)/2-46304)/365)</x:f>
        <x:v>534611.6353972333</x:v>
      </x:c>
      <x:c r="AF18" s="37" t="n">
        <x:f>AF11*'Assumptions'!$D$65*(1+'Assumptions'!$D$90)^(((AF$7+AF$8)/2-46304)/365)</x:f>
        <x:v>0</x:v>
      </x:c>
      <x:c r="AG18" s="37" t="n">
        <x:f>AG11*'Assumptions'!$D$65*(1+'Assumptions'!$D$90)^(((AG$7+AG$8)/2-46304)/365)</x:f>
        <x:v>0</x:v>
      </x:c>
      <x:c r="AH18" s="37" t="n">
        <x:f>AH11*'Assumptions'!$D$65*(1+'Assumptions'!$D$90)^(((AH$7+AH$8)/2-46304)/365)</x:f>
        <x:v>0</x:v>
      </x:c>
      <x:c r="AI18" s="37" t="n">
        <x:f>AI11*'Assumptions'!$D$65*(1+'Assumptions'!$D$90)^(((AI$7+AI$8)/2-46304)/365)</x:f>
        <x:v>0</x:v>
      </x:c>
      <x:c r="AJ18" s="37" t="n">
        <x:f>AJ11*'Assumptions'!$D$65*(1+'Assumptions'!$D$90)^(((AJ$7+AJ$8)/2-46304)/365)</x:f>
        <x:v>0</x:v>
      </x:c>
      <x:c r="AK18" s="37" t="n">
        <x:f>AK11*'Assumptions'!$D$65*(1+'Assumptions'!$D$90)^(((AK$7+AK$8)/2-46304)/365)</x:f>
        <x:v>0</x:v>
      </x:c>
      <x:c r="AL18" s="37" t="n">
        <x:f>AL11*'Assumptions'!$D$65*(1+'Assumptions'!$D$90)^(((AL$7+AL$8)/2-46304)/365)</x:f>
        <x:v>0</x:v>
      </x:c>
      <x:c r="AM18" s="37" t="n">
        <x:f>AM11*'Assumptions'!$D$65*(1+'Assumptions'!$D$90)^(((AM$7+AM$8)/2-46304)/365)</x:f>
        <x:v>0</x:v>
      </x:c>
      <x:c r="AN18" s="37" t="n">
        <x:f>AN11*'Assumptions'!$D$65*(1+'Assumptions'!$D$90)^(((AN$7+AN$8)/2-46304)/365)</x:f>
        <x:v>0</x:v>
      </x:c>
      <x:c r="AO18" s="37" t="n">
        <x:f>AO11*'Assumptions'!$D$65*(1+'Assumptions'!$D$90)^(((AO$7+AO$8)/2-46304)/365)</x:f>
        <x:v>0</x:v>
      </x:c>
      <x:c r="AP18" s="37" t="n">
        <x:f>AP11*'Assumptions'!$D$65*(1+'Assumptions'!$D$90)^(((AP$7+AP$8)/2-46304)/365)</x:f>
        <x:v>0</x:v>
      </x:c>
      <x:c r="AQ18" s="37" t="n">
        <x:f>AQ11*'Assumptions'!$D$65*(1+'Assumptions'!$D$90)^(((AQ$7+AQ$8)/2-46304)/365)</x:f>
        <x:v>0</x:v>
      </x:c>
    </x:row>
    <x:row r="19" ht="21" customHeight="1">
      <x:c r="A19" s="2"/>
      <x:c r="B19" s="2"/>
      <x:c r="C19" s="2" t="str">
        <x:v>Drydock cash budget</x:v>
      </x:c>
      <x:c r="D19" s="2"/>
      <x:c r="E19" s="37" t="n">
        <x:f>E11/365*'Assumptions'!$D$75*(1+'Assumptions'!$D$90)^(((E$7+E$8)/2-46304)/365)</x:f>
        <x:v>2247251.87609649</x:v>
      </x:c>
      <x:c r="F19" s="37" t="n">
        <x:f>F11/365*'Assumptions'!$D$75*(1+'Assumptions'!$D$90)^(((F$7+F$8)/2-46304)/365)</x:f>
        <x:v>2448241.7044305285</x:v>
      </x:c>
      <x:c r="G19" s="37" t="n">
        <x:f>G11/365*'Assumptions'!$D$75*(1+'Assumptions'!$D$90)^(((G$7+G$8)/2-46304)/365)</x:f>
        <x:v>2487628.6266670264</x:v>
      </x:c>
      <x:c r="H19" s="37" t="n">
        <x:f>H11/365*'Assumptions'!$D$75*(1+'Assumptions'!$D$90)^(((H$7+H$8)/2-46304)/365)</x:f>
        <x:v>2527481.0863174186</x:v>
      </x:c>
      <x:c r="I19" s="37" t="n">
        <x:f>I11/365*'Assumptions'!$D$75*(1+'Assumptions'!$D$90)^(((I$7+I$8)/2-46304)/365)</x:f>
        <x:v>2540128.158551726</x:v>
      </x:c>
      <x:c r="J19" s="37" t="n">
        <x:f>J11/365*'Assumptions'!$D$75*(1+'Assumptions'!$D$90)^(((J$7+J$8)/2-46304)/365)</x:f>
        <x:v>2525021.772886552</x:v>
      </x:c>
      <x:c r="K19" s="37" t="n">
        <x:f>K11/365*'Assumptions'!$D$75*(1+'Assumptions'!$D$90)^(((K$7+K$8)/2-46304)/365)</x:f>
        <x:v>2537518.8654394364</x:v>
      </x:c>
      <x:c r="L19" s="37" t="n">
        <x:f>L11/365*'Assumptions'!$D$75*(1+'Assumptions'!$D$90)^(((L$7+L$8)/2-46304)/365)</x:f>
        <x:v>2578170.5797319054</x:v>
      </x:c>
      <x:c r="M19" s="37" t="n">
        <x:f>M11/365*'Assumptions'!$D$75*(1+'Assumptions'!$D$90)^(((M$7+M$8)/2-46304)/365)</x:f>
        <x:v>2591071.2933043037</x:v>
      </x:c>
      <x:c r="N19" s="37" t="n">
        <x:f>N11/365*'Assumptions'!$D$75*(1+'Assumptions'!$D$90)^(((N$7+N$8)/2-46304)/365)</x:f>
        <x:v>2547288.8655735864</x:v>
      </x:c>
      <x:c r="O19" s="37" t="n">
        <x:f>O11/365*'Assumptions'!$D$75*(1+'Assumptions'!$D$90)^(((O$7+O$8)/2-46304)/365)</x:f>
        <x:v>2588269.242748225</x:v>
      </x:c>
      <x:c r="P19" s="37" t="n">
        <x:f>P11/365*'Assumptions'!$D$75*(1+'Assumptions'!$D$90)^(((P$7+P$8)/2-46304)/365)</x:f>
        <x:v>2629733.991326543</x:v>
      </x:c>
      <x:c r="Q19" s="37" t="n">
        <x:f>Q11/365*'Assumptions'!$D$75*(1+'Assumptions'!$D$90)^(((Q$7+Q$8)/2-46304)/365)</x:f>
        <x:v>10563328.85253568</x:v>
      </x:c>
      <x:c r="R19" s="37" t="n">
        <x:f>R11/365*'Assumptions'!$D$75*(1+'Assumptions'!$D$90)^(((R$7+R$8)/2-46304)/365)</x:f>
        <x:v>10774595.429586396</x:v>
      </x:c>
      <x:c r="S19" s="37" t="n">
        <x:f>S11/365*'Assumptions'!$D$75*(1+'Assumptions'!$D$90)^(((S$7+S$8)/2-46304)/365)</x:f>
        <x:v>11020496.114196667</x:v>
      </x:c>
      <x:c r="T19" s="37" t="n">
        <x:f>T11/365*'Assumptions'!$D$75*(1+'Assumptions'!$D$90)^(((T$7+T$8)/2-46304)/365)</x:f>
        <x:v>11210497.280222392</x:v>
      </x:c>
      <x:c r="U19" s="37" t="n">
        <x:f>U11/365*'Assumptions'!$D$75*(1+'Assumptions'!$D$90)^(((U$7+U$8)/2-46304)/365)</x:f>
        <x:v>11434707.225826843</x:v>
      </x:c>
      <x:c r="V19" s="37" t="n">
        <x:f>V11/365*'Assumptions'!$D$75*(1+'Assumptions'!$D$90)^(((V$7+V$8)/2-46304)/365)</x:f>
        <x:v>11663401.37034338</x:v>
      </x:c>
      <x:c r="W19" s="37" t="n">
        <x:f>W11/365*'Assumptions'!$D$75*(1+'Assumptions'!$D$90)^(((W$7+W$8)/2-46304)/365)</x:f>
        <x:v>11929586.620694065</x:v>
      </x:c>
      <x:c r="X19" s="37" t="n">
        <x:f>X11/365*'Assumptions'!$D$75*(1+'Assumptions'!$D$90)^(((X$7+X$8)/2-46304)/365)</x:f>
        <x:v>12135261.151554512</x:v>
      </x:c>
      <x:c r="Y19" s="37" t="n">
        <x:f>Y11/365*'Assumptions'!$D$75*(1+'Assumptions'!$D$90)^(((Y$7+Y$8)/2-46304)/365)</x:f>
        <x:v>12377966.374585604</x:v>
      </x:c>
      <x:c r="Z19" s="37" t="n">
        <x:f>Z11/365*'Assumptions'!$D$75*(1+'Assumptions'!$D$90)^(((Z$7+Z$8)/2-46304)/365)</x:f>
        <x:v>12625525.702077316</x:v>
      </x:c>
      <x:c r="AA19" s="37" t="n">
        <x:f>AA11/365*'Assumptions'!$D$75*(1+'Assumptions'!$D$90)^(((AA$7+AA$8)/2-46304)/365)</x:f>
        <x:v>12340834.899432365</x:v>
      </x:c>
      <x:c r="AB19" s="37" t="n">
        <x:f>AB11/365*'Assumptions'!$D$75*(1+'Assumptions'!$D$90)^(((AB$7+AB$8)/2-46304)/365)</x:f>
        <x:v>10039062.078416873</x:v>
      </x:c>
      <x:c r="AC19" s="37" t="n">
        <x:f>AC11/365*'Assumptions'!$D$75*(1+'Assumptions'!$D$90)^(((AC$7+AC$8)/2-46304)/365)</x:f>
        <x:v>7087129.012271501</x:v>
      </x:c>
      <x:c r="AD19" s="37" t="n">
        <x:f>AD11/365*'Assumptions'!$D$75*(1+'Assumptions'!$D$90)^(((AD$7+AD$8)/2-46304)/365)</x:f>
        <x:v>4215740.471687205</x:v>
      </x:c>
      <x:c r="AE19" s="37" t="n">
        <x:f>AE11/365*'Assumptions'!$D$75*(1+'Assumptions'!$D$90)^(((AE$7+AE$8)/2-46304)/365)</x:f>
        <x:v>1846782.302146488</x:v>
      </x:c>
      <x:c r="AF19" s="37" t="n">
        <x:f>AF11/365*'Assumptions'!$D$75*(1+'Assumptions'!$D$90)^(((AF$7+AF$8)/2-46304)/365)</x:f>
        <x:v>0</x:v>
      </x:c>
      <x:c r="AG19" s="37" t="n">
        <x:f>AG11/365*'Assumptions'!$D$75*(1+'Assumptions'!$D$90)^(((AG$7+AG$8)/2-46304)/365)</x:f>
        <x:v>0</x:v>
      </x:c>
      <x:c r="AH19" s="37" t="n">
        <x:f>AH11/365*'Assumptions'!$D$75*(1+'Assumptions'!$D$90)^(((AH$7+AH$8)/2-46304)/365)</x:f>
        <x:v>0</x:v>
      </x:c>
      <x:c r="AI19" s="37" t="n">
        <x:f>AI11/365*'Assumptions'!$D$75*(1+'Assumptions'!$D$90)^(((AI$7+AI$8)/2-46304)/365)</x:f>
        <x:v>0</x:v>
      </x:c>
      <x:c r="AJ19" s="37" t="n">
        <x:f>AJ11/365*'Assumptions'!$D$75*(1+'Assumptions'!$D$90)^(((AJ$7+AJ$8)/2-46304)/365)</x:f>
        <x:v>0</x:v>
      </x:c>
      <x:c r="AK19" s="37" t="n">
        <x:f>AK11/365*'Assumptions'!$D$75*(1+'Assumptions'!$D$90)^(((AK$7+AK$8)/2-46304)/365)</x:f>
        <x:v>0</x:v>
      </x:c>
      <x:c r="AL19" s="37" t="n">
        <x:f>AL11/365*'Assumptions'!$D$75*(1+'Assumptions'!$D$90)^(((AL$7+AL$8)/2-46304)/365)</x:f>
        <x:v>0</x:v>
      </x:c>
      <x:c r="AM19" s="37" t="n">
        <x:f>AM11/365*'Assumptions'!$D$75*(1+'Assumptions'!$D$90)^(((AM$7+AM$8)/2-46304)/365)</x:f>
        <x:v>0</x:v>
      </x:c>
      <x:c r="AN19" s="37" t="n">
        <x:f>AN11/365*'Assumptions'!$D$75*(1+'Assumptions'!$D$90)^(((AN$7+AN$8)/2-46304)/365)</x:f>
        <x:v>0</x:v>
      </x:c>
      <x:c r="AO19" s="37" t="n">
        <x:f>AO11/365*'Assumptions'!$D$75*(1+'Assumptions'!$D$90)^(((AO$7+AO$8)/2-46304)/365)</x:f>
        <x:v>0</x:v>
      </x:c>
      <x:c r="AP19" s="37" t="n">
        <x:f>AP11/365*'Assumptions'!$D$75*(1+'Assumptions'!$D$90)^(((AP$7+AP$8)/2-46304)/365)</x:f>
        <x:v>0</x:v>
      </x:c>
      <x:c r="AQ19" s="37" t="n">
        <x:f>AQ11/365*'Assumptions'!$D$75*(1+'Assumptions'!$D$90)^(((AQ$7+AQ$8)/2-46304)/365)</x:f>
        <x:v>0</x:v>
      </x:c>
    </x:row>
    <x:row r="20" ht="21" customHeight="1">
      <x:c r="A20" s="2"/>
      <x:c r="B20" s="2"/>
      <x:c r="C20" s="2" t="str">
        <x:v>Other maintenance capex</x:v>
      </x:c>
      <x:c r="D20" s="2"/>
      <x:c r="E20" s="37" t="n">
        <x:f>E11/365*'Assumptions'!$D$80*(1+'Assumptions'!$D$90)^(((E$7+E$8)/2-46304)/365)</x:f>
        <x:v>503694.386021627</x:v>
      </x:c>
      <x:c r="F20" s="37" t="n">
        <x:f>F11/365*'Assumptions'!$D$80*(1+'Assumptions'!$D$90)^(((F$7+F$8)/2-46304)/365)</x:f>
        <x:v>548743.8303033942</x:v>
      </x:c>
      <x:c r="G20" s="37" t="n">
        <x:f>G11/365*'Assumptions'!$D$80*(1+'Assumptions'!$D$90)^(((G$7+G$8)/2-46304)/365)</x:f>
        <x:v>557571.933563299</x:v>
      </x:c>
      <x:c r="H20" s="37" t="n">
        <x:f>H11/365*'Assumptions'!$D$80*(1+'Assumptions'!$D$90)^(((H$7+H$8)/2-46304)/365)</x:f>
        <x:v>566504.3814159732</x:v>
      </x:c>
      <x:c r="I20" s="37" t="n">
        <x:f>I11/365*'Assumptions'!$D$80*(1+'Assumptions'!$D$90)^(((I$7+I$8)/2-46304)/365)</x:f>
        <x:v>569339.0700202144</x:v>
      </x:c>
      <x:c r="J20" s="37" t="n">
        <x:f>J11/365*'Assumptions'!$D$80*(1+'Assumptions'!$D$90)^(((J$7+J$8)/2-46304)/365)</x:f>
        <x:v>565953.1559918133</x:v>
      </x:c>
      <x:c r="K20" s="37" t="n">
        <x:f>K11/365*'Assumptions'!$D$80*(1+'Assumptions'!$D$90)^(((K$7+K$8)/2-46304)/365)</x:f>
        <x:v>568754.2284605633</x:v>
      </x:c>
      <x:c r="L20" s="37" t="n">
        <x:f>L11/365*'Assumptions'!$D$80*(1+'Assumptions'!$D$90)^(((L$7+L$8)/2-46304)/365)</x:f>
        <x:v>577865.8195950822</x:v>
      </x:c>
      <x:c r="M20" s="37" t="n">
        <x:f>M11/365*'Assumptions'!$D$80*(1+'Assumptions'!$D$90)^(((M$7+M$8)/2-46304)/365)</x:f>
        <x:v>580757.3588440681</x:v>
      </x:c>
      <x:c r="N20" s="37" t="n">
        <x:f>N11/365*'Assumptions'!$D$80*(1+'Assumptions'!$D$90)^(((N$7+N$8)/2-46304)/365)</x:f>
        <x:v>570944.0560768383</x:v>
      </x:c>
      <x:c r="O20" s="37" t="n">
        <x:f>O11/365*'Assumptions'!$D$80*(1+'Assumptions'!$D$90)^(((O$7+O$8)/2-46304)/365)</x:f>
        <x:v>580129.3130297746</x:v>
      </x:c>
      <x:c r="P20" s="37" t="n">
        <x:f>P11/365*'Assumptions'!$D$80*(1+'Assumptions'!$D$90)^(((P$7+P$8)/2-46304)/365)</x:f>
        <x:v>589423.1359869838</x:v>
      </x:c>
      <x:c r="Q20" s="37" t="n">
        <x:f>Q11/365*'Assumptions'!$D$80*(1+'Assumptions'!$D$90)^(((Q$7+Q$8)/2-46304)/365)</x:f>
        <x:v>2367642.6738442043</x:v>
      </x:c>
      <x:c r="R20" s="37" t="n">
        <x:f>R11/365*'Assumptions'!$D$80*(1+'Assumptions'!$D$90)^(((R$7+R$8)/2-46304)/365)</x:f>
        <x:v>2414995.5273210886</x:v>
      </x:c>
      <x:c r="S20" s="37" t="n">
        <x:f>S11/365*'Assumptions'!$D$80*(1+'Assumptions'!$D$90)^(((S$7+S$8)/2-46304)/365)</x:f>
        <x:v>2470111.1980095976</x:v>
      </x:c>
      <x:c r="T20" s="37" t="n">
        <x:f>T11/365*'Assumptions'!$D$80*(1+'Assumptions'!$D$90)^(((T$7+T$8)/2-46304)/365)</x:f>
        <x:v>2512697.666256743</x:v>
      </x:c>
      <x:c r="U20" s="37" t="n">
        <x:f>U11/365*'Assumptions'!$D$80*(1+'Assumptions'!$D$90)^(((U$7+U$8)/2-46304)/365)</x:f>
        <x:v>2562951.619581878</x:v>
      </x:c>
      <x:c r="V20" s="37" t="n">
        <x:f>V11/365*'Assumptions'!$D$80*(1+'Assumptions'!$D$90)^(((V$7+V$8)/2-46304)/365)</x:f>
        <x:v>2614210.6519735157</x:v>
      </x:c>
      <x:c r="W20" s="37" t="n">
        <x:f>W11/365*'Assumptions'!$D$80*(1+'Assumptions'!$D$90)^(((W$7+W$8)/2-46304)/365)</x:f>
        <x:v>2673872.8632590147</x:v>
      </x:c>
      <x:c r="X20" s="37" t="n">
        <x:f>X11/365*'Assumptions'!$D$80*(1+'Assumptions'!$D$90)^(((X$7+X$8)/2-46304)/365)</x:f>
        <x:v>2719972.327072563</x:v>
      </x:c>
      <x:c r="Y20" s="37" t="n">
        <x:f>Y11/365*'Assumptions'!$D$80*(1+'Assumptions'!$D$90)^(((Y$7+Y$8)/2-46304)/365)</x:f>
        <x:v>2774371.7736140145</x:v>
      </x:c>
      <x:c r="Z20" s="37" t="n">
        <x:f>Z11/365*'Assumptions'!$D$80*(1+'Assumptions'!$D$90)^(((Z$7+Z$8)/2-46304)/365)</x:f>
        <x:v>2829859.209086295</x:v>
      </x:c>
      <x:c r="AA20" s="37" t="n">
        <x:f>AA11/365*'Assumptions'!$D$80*(1+'Assumptions'!$D$90)^(((AA$7+AA$8)/2-46304)/365)</x:f>
        <x:v>2766049.201596909</x:v>
      </x:c>
      <x:c r="AB20" s="37" t="n">
        <x:f>AB11/365*'Assumptions'!$D$80*(1+'Assumptions'!$D$90)^(((AB$7+AB$8)/2-46304)/365)</x:f>
        <x:v>2250134.6037830925</x:v>
      </x:c>
      <x:c r="AC20" s="37" t="n">
        <x:f>AC11/365*'Assumptions'!$D$80*(1+'Assumptions'!$D$90)^(((AC$7+AC$8)/2-46304)/365)</x:f>
        <x:v>1588494.433784992</x:v>
      </x:c>
      <x:c r="AD20" s="37" t="n">
        <x:f>AD11/365*'Assumptions'!$D$80*(1+'Assumptions'!$D$90)^(((AD$7+AD$8)/2-46304)/365)</x:f>
        <x:v>944907.3471023045</x:v>
      </x:c>
      <x:c r="AE20" s="37" t="n">
        <x:f>AE11/365*'Assumptions'!$D$80*(1+'Assumptions'!$D$90)^(((AE$7+AE$8)/2-46304)/365)</x:f>
        <x:v>413933.9642742128</x:v>
      </x:c>
      <x:c r="AF20" s="37" t="n">
        <x:f>AF11/365*'Assumptions'!$D$80*(1+'Assumptions'!$D$90)^(((AF$7+AF$8)/2-46304)/365)</x:f>
        <x:v>0</x:v>
      </x:c>
      <x:c r="AG20" s="37" t="n">
        <x:f>AG11/365*'Assumptions'!$D$80*(1+'Assumptions'!$D$90)^(((AG$7+AG$8)/2-46304)/365)</x:f>
        <x:v>0</x:v>
      </x:c>
      <x:c r="AH20" s="37" t="n">
        <x:f>AH11/365*'Assumptions'!$D$80*(1+'Assumptions'!$D$90)^(((AH$7+AH$8)/2-46304)/365)</x:f>
        <x:v>0</x:v>
      </x:c>
      <x:c r="AI20" s="37" t="n">
        <x:f>AI11/365*'Assumptions'!$D$80*(1+'Assumptions'!$D$90)^(((AI$7+AI$8)/2-46304)/365)</x:f>
        <x:v>0</x:v>
      </x:c>
      <x:c r="AJ20" s="37" t="n">
        <x:f>AJ11/365*'Assumptions'!$D$80*(1+'Assumptions'!$D$90)^(((AJ$7+AJ$8)/2-46304)/365)</x:f>
        <x:v>0</x:v>
      </x:c>
      <x:c r="AK20" s="37" t="n">
        <x:f>AK11/365*'Assumptions'!$D$80*(1+'Assumptions'!$D$90)^(((AK$7+AK$8)/2-46304)/365)</x:f>
        <x:v>0</x:v>
      </x:c>
      <x:c r="AL20" s="37" t="n">
        <x:f>AL11/365*'Assumptions'!$D$80*(1+'Assumptions'!$D$90)^(((AL$7+AL$8)/2-46304)/365)</x:f>
        <x:v>0</x:v>
      </x:c>
      <x:c r="AM20" s="37" t="n">
        <x:f>AM11/365*'Assumptions'!$D$80*(1+'Assumptions'!$D$90)^(((AM$7+AM$8)/2-46304)/365)</x:f>
        <x:v>0</x:v>
      </x:c>
      <x:c r="AN20" s="37" t="n">
        <x:f>AN11/365*'Assumptions'!$D$80*(1+'Assumptions'!$D$90)^(((AN$7+AN$8)/2-46304)/365)</x:f>
        <x:v>0</x:v>
      </x:c>
      <x:c r="AO20" s="37" t="n">
        <x:f>AO11/365*'Assumptions'!$D$80*(1+'Assumptions'!$D$90)^(((AO$7+AO$8)/2-46304)/365)</x:f>
        <x:v>0</x:v>
      </x:c>
      <x:c r="AP20" s="37" t="n">
        <x:f>AP11/365*'Assumptions'!$D$80*(1+'Assumptions'!$D$90)^(((AP$7+AP$8)/2-46304)/365)</x:f>
        <x:v>0</x:v>
      </x:c>
      <x:c r="AQ20" s="37" t="n">
        <x:f>AQ11/365*'Assumptions'!$D$80*(1+'Assumptions'!$D$90)^(((AQ$7+AQ$8)/2-46304)/365)</x:f>
        <x:v>0</x:v>
      </x:c>
    </x:row>
    <x:row r="21" ht="25" customHeight="1">
      <x:c r="A21" s="2"/>
      <x:c r="B21" s="2"/>
      <x:c r="C21" s="30" t="str">
        <x:v>Capesize</x:v>
      </x:c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30"/>
      <x:c r="AI21" s="30"/>
      <x:c r="AJ21" s="30"/>
      <x:c r="AK21" s="30"/>
      <x:c r="AL21" s="30"/>
      <x:c r="AM21" s="30"/>
      <x:c r="AN21" s="30"/>
      <x:c r="AO21" s="30"/>
      <x:c r="AP21" s="30"/>
      <x:c r="AQ21" s="30"/>
    </x:row>
    <x:row r="22" ht="21" customHeight="1">
      <x:c r="A22" s="2"/>
      <x:c r="B22" s="2"/>
      <x:c r="C22" s="2" t="str">
        <x:v>Owned days</x:v>
      </x:c>
      <x:c r="D22" s="2"/>
      <x:c r="E22" s="5" t="n">
        <x:f>SUMIFS('Days'!E$10:E$147,'Days'!$D$10:$D$147,$C21)</x:f>
        <x:v>1162</x:v>
      </x:c>
      <x:c r="F22" s="5" t="n">
        <x:f>SUMIFS('Days'!F$10:F$147,'Days'!$D$10:$D$147,$C21)</x:f>
        <x:v>1260</x:v>
      </x:c>
      <x:c r="G22" s="5" t="n">
        <x:f>SUMIFS('Days'!G$10:G$147,'Days'!$D$10:$D$147,$C21)</x:f>
        <x:v>1274</x:v>
      </x:c>
      <x:c r="H22" s="5" t="n">
        <x:f>SUMIFS('Days'!H$10:H$147,'Days'!$D$10:$D$147,$C21)</x:f>
        <x:v>1288</x:v>
      </x:c>
      <x:c r="I22" s="5" t="n">
        <x:f>SUMIFS('Days'!I$10:I$147,'Days'!$D$10:$D$147,$C21)</x:f>
        <x:v>1288</x:v>
      </x:c>
      <x:c r="J22" s="5" t="n">
        <x:f>SUMIFS('Days'!J$10:J$147,'Days'!$D$10:$D$147,$C21)</x:f>
        <x:v>1274</x:v>
      </x:c>
      <x:c r="K22" s="5" t="n">
        <x:f>SUMIFS('Days'!K$10:K$147,'Days'!$D$10:$D$147,$C21)</x:f>
        <x:v>1274</x:v>
      </x:c>
      <x:c r="L22" s="5" t="n">
        <x:f>SUMIFS('Days'!L$10:L$147,'Days'!$D$10:$D$147,$C21)</x:f>
        <x:v>1288</x:v>
      </x:c>
      <x:c r="M22" s="5" t="n">
        <x:f>SUMIFS('Days'!M$10:M$147,'Days'!$D$10:$D$147,$C21)</x:f>
        <x:v>1288</x:v>
      </x:c>
      <x:c r="N22" s="5" t="n">
        <x:f>SUMIFS('Days'!N$10:N$147,'Days'!$D$10:$D$147,$C21)</x:f>
        <x:v>1260</x:v>
      </x:c>
      <x:c r="O22" s="5" t="n">
        <x:f>SUMIFS('Days'!O$10:O$147,'Days'!$D$10:$D$147,$C21)</x:f>
        <x:v>1274</x:v>
      </x:c>
      <x:c r="P22" s="5" t="n">
        <x:f>SUMIFS('Days'!P$10:P$147,'Days'!$D$10:$D$147,$C21)</x:f>
        <x:v>1288</x:v>
      </x:c>
      <x:c r="Q22" s="5" t="n">
        <x:f>SUMIFS('Days'!Q$10:Q$147,'Days'!$D$10:$D$147,$C21)</x:f>
        <x:v>5110</x:v>
      </x:c>
      <x:c r="R22" s="5" t="n">
        <x:f>SUMIFS('Days'!R$10:R$147,'Days'!$D$10:$D$147,$C21)</x:f>
        <x:v>5018</x:v>
      </x:c>
      <x:c r="S22" s="5" t="n">
        <x:f>SUMIFS('Days'!S$10:S$147,'Days'!$D$10:$D$147,$C21)</x:f>
        <x:v>4666</x:v>
      </x:c>
      <x:c r="T22" s="5" t="n">
        <x:f>SUMIFS('Days'!T$10:T$147,'Days'!$D$10:$D$147,$C21)</x:f>
        <x:v>4288</x:v>
      </x:c>
      <x:c r="U22" s="5" t="n">
        <x:f>SUMIFS('Days'!U$10:U$147,'Days'!$D$10:$D$147,$C21)</x:f>
        <x:v>3923</x:v>
      </x:c>
      <x:c r="V22" s="5" t="n">
        <x:f>SUMIFS('Days'!V$10:V$147,'Days'!$D$10:$D$147,$C21)</x:f>
        <x:v>3006</x:v>
      </x:c>
      <x:c r="W22" s="5" t="n">
        <x:f>SUMIFS('Days'!W$10:W$147,'Days'!$D$10:$D$147,$C21)</x:f>
        <x:v>1006</x:v>
      </x:c>
      <x:c r="X22" s="5" t="n">
        <x:f>SUMIFS('Days'!X$10:X$147,'Days'!$D$10:$D$147,$C21)</x:f>
        <x:v>730</x:v>
      </x:c>
      <x:c r="Y22" s="5" t="n">
        <x:f>SUMIFS('Days'!Y$10:Y$147,'Days'!$D$10:$D$147,$C21)</x:f>
        <x:v>730</x:v>
      </x:c>
      <x:c r="Z22" s="5" t="n">
        <x:f>SUMIFS('Days'!Z$10:Z$147,'Days'!$D$10:$D$147,$C21)</x:f>
        <x:v>546</x:v>
      </x:c>
      <x:c r="AA22" s="5" t="n">
        <x:f>SUMIFS('Days'!AA$10:AA$147,'Days'!$D$10:$D$147,$C21)</x:f>
        <x:v>0</x:v>
      </x:c>
      <x:c r="AB22" s="5" t="n">
        <x:f>SUMIFS('Days'!AB$10:AB$147,'Days'!$D$10:$D$147,$C21)</x:f>
        <x:v>0</x:v>
      </x:c>
      <x:c r="AC22" s="5" t="n">
        <x:f>SUMIFS('Days'!AC$10:AC$147,'Days'!$D$10:$D$147,$C21)</x:f>
        <x:v>0</x:v>
      </x:c>
      <x:c r="AD22" s="5" t="n">
        <x:f>SUMIFS('Days'!AD$10:AD$147,'Days'!$D$10:$D$147,$C21)</x:f>
        <x:v>0</x:v>
      </x:c>
      <x:c r="AE22" s="5" t="n">
        <x:f>SUMIFS('Days'!AE$10:AE$147,'Days'!$D$10:$D$147,$C21)</x:f>
        <x:v>0</x:v>
      </x:c>
      <x:c r="AF22" s="5" t="n">
        <x:f>SUMIFS('Days'!AF$10:AF$147,'Days'!$D$10:$D$147,$C21)</x:f>
        <x:v>0</x:v>
      </x:c>
      <x:c r="AG22" s="5" t="n">
        <x:f>SUMIFS('Days'!AG$10:AG$147,'Days'!$D$10:$D$147,$C21)</x:f>
        <x:v>0</x:v>
      </x:c>
      <x:c r="AH22" s="5" t="n">
        <x:f>SUMIFS('Days'!AH$10:AH$147,'Days'!$D$10:$D$147,$C21)</x:f>
        <x:v>0</x:v>
      </x:c>
      <x:c r="AI22" s="5" t="n">
        <x:f>SUMIFS('Days'!AI$10:AI$147,'Days'!$D$10:$D$147,$C21)</x:f>
        <x:v>0</x:v>
      </x:c>
      <x:c r="AJ22" s="5" t="n">
        <x:f>SUMIFS('Days'!AJ$10:AJ$147,'Days'!$D$10:$D$147,$C21)</x:f>
        <x:v>0</x:v>
      </x:c>
      <x:c r="AK22" s="5" t="n">
        <x:f>SUMIFS('Days'!AK$10:AK$147,'Days'!$D$10:$D$147,$C21)</x:f>
        <x:v>0</x:v>
      </x:c>
      <x:c r="AL22" s="5" t="n">
        <x:f>SUMIFS('Days'!AL$10:AL$147,'Days'!$D$10:$D$147,$C21)</x:f>
        <x:v>0</x:v>
      </x:c>
      <x:c r="AM22" s="5" t="n">
        <x:f>SUMIFS('Days'!AM$10:AM$147,'Days'!$D$10:$D$147,$C21)</x:f>
        <x:v>0</x:v>
      </x:c>
      <x:c r="AN22" s="5" t="n">
        <x:f>SUMIFS('Days'!AN$10:AN$147,'Days'!$D$10:$D$147,$C21)</x:f>
        <x:v>0</x:v>
      </x:c>
      <x:c r="AO22" s="5" t="n">
        <x:f>SUMIFS('Days'!AO$10:AO$147,'Days'!$D$10:$D$147,$C21)</x:f>
        <x:v>0</x:v>
      </x:c>
      <x:c r="AP22" s="5" t="n">
        <x:f>SUMIFS('Days'!AP$10:AP$147,'Days'!$D$10:$D$147,$C21)</x:f>
        <x:v>0</x:v>
      </x:c>
      <x:c r="AQ22" s="5" t="n">
        <x:f>SUMIFS('Days'!AQ$10:AQ$147,'Days'!$D$10:$D$147,$C21)</x:f>
        <x:v>0</x:v>
      </x:c>
    </x:row>
    <x:row r="23" ht="21" customHeight="1">
      <x:c r="A23" s="2"/>
      <x:c r="B23" s="2"/>
      <x:c r="C23" s="2" t="str">
        <x:v>Available days</x:v>
      </x:c>
      <x:c r="D23" s="2"/>
      <x:c r="E23" s="5" t="n">
        <x:f>E22*(1-'Assumptions'!$D$55)</x:f>
        <x:v>1103.8999999999999</x:v>
      </x:c>
      <x:c r="F23" s="5" t="n">
        <x:f>F22*(1-'Assumptions'!$D$55)</x:f>
        <x:v>1197</x:v>
      </x:c>
      <x:c r="G23" s="5" t="n">
        <x:f>G22*(1-'Assumptions'!$D$55)</x:f>
        <x:v>1210.3</x:v>
      </x:c>
      <x:c r="H23" s="5" t="n">
        <x:f>H22*(1-'Assumptions'!$D$55)</x:f>
        <x:v>1223.6</x:v>
      </x:c>
      <x:c r="I23" s="5" t="n">
        <x:f>I22*(1-'Assumptions'!$D$55)</x:f>
        <x:v>1223.6</x:v>
      </x:c>
      <x:c r="J23" s="5" t="n">
        <x:f>J22*(1-'Assumptions'!$D$55)</x:f>
        <x:v>1210.3</x:v>
      </x:c>
      <x:c r="K23" s="5" t="n">
        <x:f>K22*(1-'Assumptions'!$D$55)</x:f>
        <x:v>1210.3</x:v>
      </x:c>
      <x:c r="L23" s="5" t="n">
        <x:f>L22*(1-'Assumptions'!$D$55)</x:f>
        <x:v>1223.6</x:v>
      </x:c>
      <x:c r="M23" s="5" t="n">
        <x:f>M22*(1-'Assumptions'!$D$55)</x:f>
        <x:v>1223.6</x:v>
      </x:c>
      <x:c r="N23" s="5" t="n">
        <x:f>N22*(1-'Assumptions'!$D$55)</x:f>
        <x:v>1197</x:v>
      </x:c>
      <x:c r="O23" s="5" t="n">
        <x:f>O22*(1-'Assumptions'!$D$55)</x:f>
        <x:v>1210.3</x:v>
      </x:c>
      <x:c r="P23" s="5" t="n">
        <x:f>P22*(1-'Assumptions'!$D$55)</x:f>
        <x:v>1223.6</x:v>
      </x:c>
      <x:c r="Q23" s="5" t="n">
        <x:f>Q22*(1-'Assumptions'!$D$55)</x:f>
        <x:v>4854.5</x:v>
      </x:c>
      <x:c r="R23" s="5" t="n">
        <x:f>R22*(1-'Assumptions'!$D$55)</x:f>
        <x:v>4767.099999999999</x:v>
      </x:c>
      <x:c r="S23" s="5" t="n">
        <x:f>S22*(1-'Assumptions'!$D$55)</x:f>
        <x:v>4432.7</x:v>
      </x:c>
      <x:c r="T23" s="5" t="n">
        <x:f>T22*(1-'Assumptions'!$D$55)</x:f>
        <x:v>4073.6</x:v>
      </x:c>
      <x:c r="U23" s="5" t="n">
        <x:f>U22*(1-'Assumptions'!$D$55)</x:f>
        <x:v>3726.85</x:v>
      </x:c>
      <x:c r="V23" s="5" t="n">
        <x:f>V22*(1-'Assumptions'!$D$55)</x:f>
        <x:v>2855.7</x:v>
      </x:c>
      <x:c r="W23" s="5" t="n">
        <x:f>W22*(1-'Assumptions'!$D$55)</x:f>
        <x:v>955.6999999999999</x:v>
      </x:c>
      <x:c r="X23" s="5" t="n">
        <x:f>X22*(1-'Assumptions'!$D$55)</x:f>
        <x:v>693.5</x:v>
      </x:c>
      <x:c r="Y23" s="5" t="n">
        <x:f>Y22*(1-'Assumptions'!$D$55)</x:f>
        <x:v>693.5</x:v>
      </x:c>
      <x:c r="Z23" s="5" t="n">
        <x:f>Z22*(1-'Assumptions'!$D$55)</x:f>
        <x:v>518.6999999999999</x:v>
      </x:c>
      <x:c r="AA23" s="5" t="n">
        <x:f>AA22*(1-'Assumptions'!$D$55)</x:f>
        <x:v>0</x:v>
      </x:c>
      <x:c r="AB23" s="5" t="n">
        <x:f>AB22*(1-'Assumptions'!$D$55)</x:f>
        <x:v>0</x:v>
      </x:c>
      <x:c r="AC23" s="5" t="n">
        <x:f>AC22*(1-'Assumptions'!$D$55)</x:f>
        <x:v>0</x:v>
      </x:c>
      <x:c r="AD23" s="5" t="n">
        <x:f>AD22*(1-'Assumptions'!$D$55)</x:f>
        <x:v>0</x:v>
      </x:c>
      <x:c r="AE23" s="5" t="n">
        <x:f>AE22*(1-'Assumptions'!$D$55)</x:f>
        <x:v>0</x:v>
      </x:c>
      <x:c r="AF23" s="5" t="n">
        <x:f>AF22*(1-'Assumptions'!$D$55)</x:f>
        <x:v>0</x:v>
      </x:c>
      <x:c r="AG23" s="5" t="n">
        <x:f>AG22*(1-'Assumptions'!$D$55)</x:f>
        <x:v>0</x:v>
      </x:c>
      <x:c r="AH23" s="5" t="n">
        <x:f>AH22*(1-'Assumptions'!$D$55)</x:f>
        <x:v>0</x:v>
      </x:c>
      <x:c r="AI23" s="5" t="n">
        <x:f>AI22*(1-'Assumptions'!$D$55)</x:f>
        <x:v>0</x:v>
      </x:c>
      <x:c r="AJ23" s="5" t="n">
        <x:f>AJ22*(1-'Assumptions'!$D$55)</x:f>
        <x:v>0</x:v>
      </x:c>
      <x:c r="AK23" s="5" t="n">
        <x:f>AK22*(1-'Assumptions'!$D$55)</x:f>
        <x:v>0</x:v>
      </x:c>
      <x:c r="AL23" s="5" t="n">
        <x:f>AL22*(1-'Assumptions'!$D$55)</x:f>
        <x:v>0</x:v>
      </x:c>
      <x:c r="AM23" s="5" t="n">
        <x:f>AM22*(1-'Assumptions'!$D$55)</x:f>
        <x:v>0</x:v>
      </x:c>
      <x:c r="AN23" s="5" t="n">
        <x:f>AN22*(1-'Assumptions'!$D$55)</x:f>
        <x:v>0</x:v>
      </x:c>
      <x:c r="AO23" s="5" t="n">
        <x:f>AO22*(1-'Assumptions'!$D$55)</x:f>
        <x:v>0</x:v>
      </x:c>
      <x:c r="AP23" s="5" t="n">
        <x:f>AP22*(1-'Assumptions'!$D$55)</x:f>
        <x:v>0</x:v>
      </x:c>
      <x:c r="AQ23" s="5" t="n">
        <x:f>AQ22*(1-'Assumptions'!$D$55)</x:f>
        <x:v>0</x:v>
      </x:c>
    </x:row>
    <x:row r="24" ht="21" customHeight="1">
      <x:c r="A24" s="2"/>
      <x:c r="B24" s="2"/>
      <x:c r="C24" s="2" t="str">
        <x:v>Open TCE (USD/day)</x:v>
      </x:c>
      <x:c r="D24" s="2"/>
      <x:c r="E24" s="34" t="n">
        <x:f>'Assumptions'!$D$15*'Assumptions'!$D$6*(1+'Assumptions'!$D$90)^(((E$7+E$8)/2-46304)/365)</x:f>
        <x:v>24054.750158368053</x:v>
      </x:c>
      <x:c r="F24" s="34" t="n">
        <x:f>'Assumptions'!$D$15*'Assumptions'!$D$6*(1+'Assumptions'!$D$90)^(((F$7+F$8)/2-46304)/365)</x:f>
        <x:v>24167.90323508162</x:v>
      </x:c>
      <x:c r="G24" s="34" t="n">
        <x:f>'Assumptions'!$D$15*'Assumptions'!$D$6*(1+'Assumptions'!$D$90)^(((G$7+G$8)/2-46304)/365)</x:f>
        <x:v>24286.858624705383</x:v>
      </x:c>
      <x:c r="H24" s="34" t="n">
        <x:f>'Assumptions'!$D$15*'Assumptions'!$D$6*(1+'Assumptions'!$D$90)^(((H$7+H$8)/2-46304)/365)</x:f>
        <x:v>24407.723692720465</x:v>
      </x:c>
      <x:c r="I24" s="34" t="n">
        <x:f>'Assumptions'!$D$15*'Assumptions'!$D$6*(1+'Assumptions'!$D$90)^(((I$7+I$8)/2-46304)/365)</x:f>
        <x:v>24529.85566288156</x:v>
      </x:c>
      <x:c r="J24" s="34" t="n">
        <x:f>'Assumptions'!$D$15*'Assumptions'!$D$6*(1+'Assumptions'!$D$90)^(((J$7+J$8)/2-46304)/365)</x:f>
        <x:v>24651.93002082584</x:v>
      </x:c>
      <x:c r="K24" s="34" t="n">
        <x:f>'Assumptions'!$D$15*'Assumptions'!$D$6*(1+'Assumptions'!$D$90)^(((K$7+K$8)/2-46304)/365)</x:f>
        <x:v>24773.939840458133</x:v>
      </x:c>
      <x:c r="L24" s="34" t="n">
        <x:f>'Assumptions'!$D$15*'Assumptions'!$D$6*(1+'Assumptions'!$D$90)^(((L$7+L$8)/2-46304)/365)</x:f>
        <x:v>24897.228898548696</x:v>
      </x:c>
      <x:c r="M24" s="34" t="n">
        <x:f>'Assumptions'!$D$15*'Assumptions'!$D$6*(1+'Assumptions'!$D$90)^(((M$7+M$8)/2-46304)/365)</x:f>
        <x:v>25021.810266938995</x:v>
      </x:c>
      <x:c r="N24" s="34" t="n">
        <x:f>'Assumptions'!$D$15*'Assumptions'!$D$6*(1+'Assumptions'!$D$90)^(((N$7+N$8)/2-46304)/365)</x:f>
        <x:v>25145.650735209172</x:v>
      </x:c>
      <x:c r="O24" s="34" t="n">
        <x:f>'Assumptions'!$D$15*'Assumptions'!$D$6*(1+'Assumptions'!$D$90)^(((O$7+O$8)/2-46304)/365)</x:f>
        <x:v>25269.418637267296</x:v>
      </x:c>
      <x:c r="P24" s="34" t="n">
        <x:f>'Assumptions'!$D$15*'Assumptions'!$D$6*(1+'Assumptions'!$D$90)^(((P$7+P$8)/2-46304)/365)</x:f>
        <x:v>25395.173476519667</x:v>
      </x:c>
      <x:c r="Q24" s="34" t="n">
        <x:f>'Assumptions'!$D$15*'Assumptions'!$D$6*(1+'Assumptions'!$D$90)^(((Q$7+Q$8)/2-46304)/365)</x:f>
        <x:v>25711.956639032083</x:v>
      </x:c>
      <x:c r="R24" s="34" t="n">
        <x:f>'Assumptions'!$D$15*'Assumptions'!$D$6*(1+'Assumptions'!$D$90)^(((R$7+R$8)/2-46304)/365)</x:f>
        <x:v>26226.195771812727</x:v>
      </x:c>
      <x:c r="S24" s="34" t="n">
        <x:f>'Assumptions'!$D$15*'Assumptions'!$D$6*(1+'Assumptions'!$D$90)^(((S$7+S$8)/2-46304)/365)</x:f>
        <x:v>26751.44536083386</x:v>
      </x:c>
      <x:c r="T24" s="34" t="n">
        <x:f>'Assumptions'!$D$15*'Assumptions'!$D$6*(1+'Assumptions'!$D$90)^(((T$7+T$8)/2-46304)/365)</x:f>
        <x:v>27287.214475186353</x:v>
      </x:c>
      <x:c r="U24" s="34" t="n">
        <x:f>'Assumptions'!$D$15*'Assumptions'!$D$6*(1+'Assumptions'!$D$90)^(((U$7+U$8)/2-46304)/365)</x:f>
        <x:v>27832.95876469008</x:v>
      </x:c>
      <x:c r="V24" s="34" t="n">
        <x:f>'Assumptions'!$D$15*'Assumptions'!$D$6*(1+'Assumptions'!$D$90)^(((V$7+V$8)/2-46304)/365)</x:f>
        <x:v>28389.617939983884</x:v>
      </x:c>
      <x:c r="W24" s="34" t="n">
        <x:f>'Assumptions'!$D$15*'Assumptions'!$D$6*(1+'Assumptions'!$D$90)^(((W$7+W$8)/2-46304)/365)</x:f>
        <x:v>28958.19583382658</x:v>
      </x:c>
      <x:c r="X24" s="34" t="n">
        <x:f>'Assumptions'!$D$15*'Assumptions'!$D$6*(1+'Assumptions'!$D$90)^(((X$7+X$8)/2-46304)/365)</x:f>
        <x:v>29538.161017982584</x:v>
      </x:c>
      <x:c r="Y24" s="34" t="n">
        <x:f>'Assumptions'!$D$15*'Assumptions'!$D$6*(1+'Assumptions'!$D$90)^(((Y$7+Y$8)/2-46304)/365)</x:f>
        <x:v>30128.92423834224</x:v>
      </x:c>
      <x:c r="Z24" s="34" t="n">
        <x:f>'Assumptions'!$D$15*'Assumptions'!$D$6*(1+'Assumptions'!$D$90)^(((Z$7+Z$8)/2-46304)/365)</x:f>
        <x:v>30731.502723109086</x:v>
      </x:c>
      <x:c r="AA24" s="34" t="n">
        <x:f>'Assumptions'!$D$15*'Assumptions'!$D$6*(1+'Assumptions'!$D$90)^(((AA$7+AA$8)/2-46304)/365)</x:f>
        <x:v>31346.983112097238</x:v>
      </x:c>
      <x:c r="AB24" s="34" t="n">
        <x:f>'Assumptions'!$D$15*'Assumptions'!$D$6*(1+'Assumptions'!$D$90)^(((AB$7+AB$8)/2-46304)/365)</x:f>
        <x:v>31974.790139084267</x:v>
      </x:c>
      <x:c r="AC24" s="34" t="n">
        <x:f>'Assumptions'!$D$15*'Assumptions'!$D$6*(1+'Assumptions'!$D$90)^(((AC$7+AC$8)/2-46304)/365)</x:f>
        <x:v>32614.285941865954</x:v>
      </x:c>
      <x:c r="AD24" s="34" t="n">
        <x:f>'Assumptions'!$D$15*'Assumptions'!$D$6*(1+'Assumptions'!$D$90)^(((AD$7+AD$8)/2-46304)/365)</x:f>
        <x:v>33266.571660703274</x:v>
      </x:c>
      <x:c r="AE24" s="34" t="n">
        <x:f>'Assumptions'!$D$15*'Assumptions'!$D$6*(1+'Assumptions'!$D$90)^(((AE$7+AE$8)/2-46304)/365)</x:f>
        <x:v>33932.823573293135</x:v>
      </x:c>
      <x:c r="AF24" s="34" t="n">
        <x:f>'Assumptions'!$D$15*'Assumptions'!$D$6*(1+'Assumptions'!$D$90)^(((AF$7+AF$8)/2-46304)/365)</x:f>
        <x:v>34612.4189591918</x:v>
      </x:c>
      <x:c r="AG24" s="34" t="n">
        <x:f>'Assumptions'!$D$15*'Assumptions'!$D$6*(1+'Assumptions'!$D$90)^(((AG$7+AG$8)/2-46304)/365)</x:f>
        <x:v>35304.66733837563</x:v>
      </x:c>
      <x:c r="AH24" s="34" t="n">
        <x:f>'Assumptions'!$D$15*'Assumptions'!$D$6*(1+'Assumptions'!$D$90)^(((AH$7+AH$8)/2-46304)/365)</x:f>
        <x:v>36010.76068514314</x:v>
      </x:c>
      <x:c r="AI24" s="34" t="n">
        <x:f>'Assumptions'!$D$15*'Assumptions'!$D$6*(1+'Assumptions'!$D$90)^(((AI$7+AI$8)/2-46304)/365)</x:f>
        <x:v>36731.97230938255</x:v>
      </x:c>
      <x:c r="AJ24" s="34" t="n">
        <x:f>'Assumptions'!$D$15*'Assumptions'!$D$6*(1+'Assumptions'!$D$90)^(((AJ$7+AJ$8)/2-46304)/365)</x:f>
        <x:v>37467.62812188796</x:v>
      </x:c>
      <x:c r="AK24" s="34" t="n">
        <x:f>'Assumptions'!$D$15*'Assumptions'!$D$6*(1+'Assumptions'!$D$90)^(((AK$7+AK$8)/2-46304)/365)</x:f>
        <x:v>38216.98068432572</x:v>
      </x:c>
      <x:c r="AL24" s="34" t="n">
        <x:f>'Assumptions'!$D$15*'Assumptions'!$D$6*(1+'Assumptions'!$D$90)^(((AL$7+AL$8)/2-46304)/365)</x:f>
        <x:v>38981.32029801224</x:v>
      </x:c>
      <x:c r="AM24" s="34" t="n">
        <x:f>'Assumptions'!$D$15*'Assumptions'!$D$6*(1+'Assumptions'!$D$90)^(((AM$7+AM$8)/2-46304)/365)</x:f>
        <x:v>39762.025309298624</x:v>
      </x:c>
      <x:c r="AN24" s="34" t="n">
        <x:f>'Assumptions'!$D$15*'Assumptions'!$D$6*(1+'Assumptions'!$D$90)^(((AN$7+AN$8)/2-46304)/365)</x:f>
        <x:v>40558.36602276206</x:v>
      </x:c>
      <x:c r="AO24" s="34" t="n">
        <x:f>'Assumptions'!$D$15*'Assumptions'!$D$6*(1+'Assumptions'!$D$90)^(((AO$7+AO$8)/2-46304)/365)</x:f>
        <x:v>41369.53334321729</x:v>
      </x:c>
      <x:c r="AP24" s="34" t="n">
        <x:f>'Assumptions'!$D$15*'Assumptions'!$D$6*(1+'Assumptions'!$D$90)^(((AP$7+AP$8)/2-46304)/365)</x:f>
        <x:v>42196.924010081646</x:v>
      </x:c>
      <x:c r="AQ24" s="34" t="n">
        <x:f>'Assumptions'!$D$15*'Assumptions'!$D$6*(1+'Assumptions'!$D$90)^(((AQ$7+AQ$8)/2-46304)/365)</x:f>
        <x:v>43042.03007072017</x:v>
      </x:c>
    </x:row>
    <x:row r="25" ht="21" customHeight="1">
      <x:c r="A25" s="2"/>
      <x:c r="B25" s="2"/>
      <x:c r="C25" s="2" t="str">
        <x:v>Fixed share</x:v>
      </x:c>
      <x:c r="D25" s="2"/>
      <x:c r="E25" s="43" t="n">
        <x:f>'Assumptions'!$D$140</x:f>
        <x:v>0</x:v>
      </x:c>
      <x:c r="F25" s="43" t="n">
        <x:f>'Assumptions'!$D$140</x:f>
        <x:v>0</x:v>
      </x:c>
      <x:c r="G25" s="43" t="n">
        <x:f>'Assumptions'!$D$140</x:f>
        <x:v>0</x:v>
      </x:c>
      <x:c r="H25" s="43" t="n">
        <x:f>'Assumptions'!$D$140</x:f>
        <x:v>0</x:v>
      </x:c>
      <x:c r="I25" s="43" t="n">
        <x:f>'Assumptions'!$D$140</x:f>
        <x:v>0</x:v>
      </x:c>
      <x:c r="J25" s="43" t="n">
        <x:f>'Assumptions'!$D$140</x:f>
        <x:v>0</x:v>
      </x:c>
      <x:c r="K25" s="43" t="n">
        <x:f>'Assumptions'!$D$140</x:f>
        <x:v>0</x:v>
      </x:c>
      <x:c r="L25" s="43" t="n">
        <x:f>'Assumptions'!$D$140</x:f>
        <x:v>0</x:v>
      </x:c>
      <x:c r="M25" s="43" t="n">
        <x:f>'Assumptions'!$D$140</x:f>
        <x:v>0</x:v>
      </x:c>
      <x:c r="N25" s="43" t="n">
        <x:f>'Assumptions'!$D$140</x:f>
        <x:v>0</x:v>
      </x:c>
      <x:c r="O25" s="43" t="n">
        <x:f>'Assumptions'!$D$140</x:f>
        <x:v>0</x:v>
      </x:c>
      <x:c r="P25" s="43" t="n">
        <x:f>'Assumptions'!$D$140</x:f>
        <x:v>0</x:v>
      </x:c>
      <x:c r="Q25" s="43" t="n">
        <x:f>'Assumptions'!$D$140</x:f>
        <x:v>0</x:v>
      </x:c>
      <x:c r="R25" s="43" t="n">
        <x:f>'Assumptions'!$D$140</x:f>
        <x:v>0</x:v>
      </x:c>
      <x:c r="S25" s="43" t="n">
        <x:f>'Assumptions'!$D$140</x:f>
        <x:v>0</x:v>
      </x:c>
      <x:c r="T25" s="43" t="n">
        <x:f>'Assumptions'!$D$140</x:f>
        <x:v>0</x:v>
      </x:c>
      <x:c r="U25" s="43" t="n">
        <x:f>'Assumptions'!$D$140</x:f>
        <x:v>0</x:v>
      </x:c>
      <x:c r="V25" s="43" t="n">
        <x:f>'Assumptions'!$D$140</x:f>
        <x:v>0</x:v>
      </x:c>
      <x:c r="W25" s="43" t="n">
        <x:f>'Assumptions'!$D$140</x:f>
        <x:v>0</x:v>
      </x:c>
      <x:c r="X25" s="43" t="n">
        <x:f>'Assumptions'!$D$140</x:f>
        <x:v>0</x:v>
      </x:c>
      <x:c r="Y25" s="43" t="n">
        <x:f>'Assumptions'!$D$140</x:f>
        <x:v>0</x:v>
      </x:c>
      <x:c r="Z25" s="43" t="n">
        <x:f>'Assumptions'!$D$140</x:f>
        <x:v>0</x:v>
      </x:c>
      <x:c r="AA25" s="43" t="n">
        <x:f>'Assumptions'!$D$140</x:f>
        <x:v>0</x:v>
      </x:c>
      <x:c r="AB25" s="43" t="n">
        <x:f>'Assumptions'!$D$140</x:f>
        <x:v>0</x:v>
      </x:c>
      <x:c r="AC25" s="43" t="n">
        <x:f>'Assumptions'!$D$140</x:f>
        <x:v>0</x:v>
      </x:c>
      <x:c r="AD25" s="43" t="n">
        <x:f>'Assumptions'!$D$140</x:f>
        <x:v>0</x:v>
      </x:c>
      <x:c r="AE25" s="43" t="n">
        <x:f>'Assumptions'!$D$140</x:f>
        <x:v>0</x:v>
      </x:c>
      <x:c r="AF25" s="43" t="n">
        <x:f>'Assumptions'!$D$140</x:f>
        <x:v>0</x:v>
      </x:c>
      <x:c r="AG25" s="43" t="n">
        <x:f>'Assumptions'!$D$140</x:f>
        <x:v>0</x:v>
      </x:c>
      <x:c r="AH25" s="43" t="n">
        <x:f>'Assumptions'!$D$140</x:f>
        <x:v>0</x:v>
      </x:c>
      <x:c r="AI25" s="43" t="n">
        <x:f>'Assumptions'!$D$140</x:f>
        <x:v>0</x:v>
      </x:c>
      <x:c r="AJ25" s="43" t="n">
        <x:f>'Assumptions'!$D$140</x:f>
        <x:v>0</x:v>
      </x:c>
      <x:c r="AK25" s="43" t="n">
        <x:f>'Assumptions'!$D$140</x:f>
        <x:v>0</x:v>
      </x:c>
      <x:c r="AL25" s="43" t="n">
        <x:f>'Assumptions'!$D$140</x:f>
        <x:v>0</x:v>
      </x:c>
      <x:c r="AM25" s="43" t="n">
        <x:f>'Assumptions'!$D$140</x:f>
        <x:v>0</x:v>
      </x:c>
      <x:c r="AN25" s="43" t="n">
        <x:f>'Assumptions'!$D$140</x:f>
        <x:v>0</x:v>
      </x:c>
      <x:c r="AO25" s="43" t="n">
        <x:f>'Assumptions'!$D$140</x:f>
        <x:v>0</x:v>
      </x:c>
      <x:c r="AP25" s="43" t="n">
        <x:f>'Assumptions'!$D$140</x:f>
        <x:v>0</x:v>
      </x:c>
      <x:c r="AQ25" s="43" t="n">
        <x:f>'Assumptions'!$D$140</x:f>
        <x:v>0</x:v>
      </x:c>
    </x:row>
    <x:row r="26" ht="21" customHeight="1">
      <x:c r="A26" s="2"/>
      <x:c r="B26" s="2"/>
      <x:c r="C26" s="2" t="str">
        <x:v>Fixed TCE (USD/day)</x:v>
      </x:c>
      <x:c r="D26" s="2"/>
      <x:c r="E26" s="34" t="n">
        <x:f>'Assumptions'!$D$145*(1+'Assumptions'!$D$90)^(((E$7+E$8)/2-46304)/365)</x:f>
        <x:v>18041.062618776043</x:v>
      </x:c>
      <x:c r="F26" s="34" t="n">
        <x:f>'Assumptions'!$D$145*(1+'Assumptions'!$D$90)^(((F$7+F$8)/2-46304)/365)</x:f>
        <x:v>18125.927426311217</x:v>
      </x:c>
      <x:c r="G26" s="34" t="n">
        <x:f>'Assumptions'!$D$145*(1+'Assumptions'!$D$90)^(((G$7+G$8)/2-46304)/365)</x:f>
        <x:v>18215.143968529035</x:v>
      </x:c>
      <x:c r="H26" s="34" t="n">
        <x:f>'Assumptions'!$D$145*(1+'Assumptions'!$D$90)^(((H$7+H$8)/2-46304)/365)</x:f>
        <x:v>18305.79276954035</x:v>
      </x:c>
      <x:c r="I26" s="34" t="n">
        <x:f>'Assumptions'!$D$145*(1+'Assumptions'!$D$90)^(((I$7+I$8)/2-46304)/365)</x:f>
        <x:v>18397.391747161168</x:v>
      </x:c>
      <x:c r="J26" s="34" t="n">
        <x:f>'Assumptions'!$D$145*(1+'Assumptions'!$D$90)^(((J$7+J$8)/2-46304)/365)</x:f>
        <x:v>18488.94751561938</x:v>
      </x:c>
      <x:c r="K26" s="34" t="n">
        <x:f>'Assumptions'!$D$145*(1+'Assumptions'!$D$90)^(((K$7+K$8)/2-46304)/365)</x:f>
        <x:v>18580.454880343597</x:v>
      </x:c>
      <x:c r="L26" s="34" t="n">
        <x:f>'Assumptions'!$D$145*(1+'Assumptions'!$D$90)^(((L$7+L$8)/2-46304)/365)</x:f>
        <x:v>18672.92167391152</x:v>
      </x:c>
      <x:c r="M26" s="34" t="n">
        <x:f>'Assumptions'!$D$145*(1+'Assumptions'!$D$90)^(((M$7+M$8)/2-46304)/365)</x:f>
        <x:v>18766.357700204248</x:v>
      </x:c>
      <x:c r="N26" s="34" t="n">
        <x:f>'Assumptions'!$D$145*(1+'Assumptions'!$D$90)^(((N$7+N$8)/2-46304)/365)</x:f>
        <x:v>18859.23805140688</x:v>
      </x:c>
      <x:c r="O26" s="34" t="n">
        <x:f>'Assumptions'!$D$145*(1+'Assumptions'!$D$90)^(((O$7+O$8)/2-46304)/365)</x:f>
        <x:v>18952.06397795047</x:v>
      </x:c>
      <x:c r="P26" s="34" t="n">
        <x:f>'Assumptions'!$D$145*(1+'Assumptions'!$D$90)^(((P$7+P$8)/2-46304)/365)</x:f>
        <x:v>19046.38010738975</x:v>
      </x:c>
      <x:c r="Q26" s="34" t="n">
        <x:f>'Assumptions'!$D$145*(1+'Assumptions'!$D$90)^(((Q$7+Q$8)/2-46304)/365)</x:f>
        <x:v>19283.967479274062</x:v>
      </x:c>
      <x:c r="R26" s="34" t="n">
        <x:f>'Assumptions'!$D$145*(1+'Assumptions'!$D$90)^(((R$7+R$8)/2-46304)/365)</x:f>
        <x:v>19669.646828859546</x:v>
      </x:c>
      <x:c r="S26" s="34" t="n">
        <x:f>'Assumptions'!$D$145*(1+'Assumptions'!$D$90)^(((S$7+S$8)/2-46304)/365)</x:f>
        <x:v>20063.584020625396</x:v>
      </x:c>
      <x:c r="T26" s="34" t="n">
        <x:f>'Assumptions'!$D$145*(1+'Assumptions'!$D$90)^(((T$7+T$8)/2-46304)/365)</x:f>
        <x:v>20465.410856389764</x:v>
      </x:c>
      <x:c r="U26" s="34" t="n">
        <x:f>'Assumptions'!$D$145*(1+'Assumptions'!$D$90)^(((U$7+U$8)/2-46304)/365)</x:f>
        <x:v>20874.71907351756</x:v>
      </x:c>
      <x:c r="V26" s="34" t="n">
        <x:f>'Assumptions'!$D$145*(1+'Assumptions'!$D$90)^(((V$7+V$8)/2-46304)/365)</x:f>
        <x:v>21292.213454987912</x:v>
      </x:c>
      <x:c r="W26" s="34" t="n">
        <x:f>'Assumptions'!$D$145*(1+'Assumptions'!$D$90)^(((W$7+W$8)/2-46304)/365)</x:f>
        <x:v>21718.646875369934</x:v>
      </x:c>
      <x:c r="X26" s="34" t="n">
        <x:f>'Assumptions'!$D$145*(1+'Assumptions'!$D$90)^(((X$7+X$8)/2-46304)/365)</x:f>
        <x:v>22153.62076348694</x:v>
      </x:c>
      <x:c r="Y26" s="34" t="n">
        <x:f>'Assumptions'!$D$145*(1+'Assumptions'!$D$90)^(((Y$7+Y$8)/2-46304)/365)</x:f>
        <x:v>22596.69317875668</x:v>
      </x:c>
      <x:c r="Z26" s="34" t="n">
        <x:f>'Assumptions'!$D$145*(1+'Assumptions'!$D$90)^(((Z$7+Z$8)/2-46304)/365)</x:f>
        <x:v>23048.627042331816</x:v>
      </x:c>
      <x:c r="AA26" s="34" t="n">
        <x:f>'Assumptions'!$D$145*(1+'Assumptions'!$D$90)^(((AA$7+AA$8)/2-46304)/365)</x:f>
        <x:v>23510.23733407293</x:v>
      </x:c>
      <x:c r="AB26" s="34" t="n">
        <x:f>'Assumptions'!$D$145*(1+'Assumptions'!$D$90)^(((AB$7+AB$8)/2-46304)/365)</x:f>
        <x:v>23981.0926043132</x:v>
      </x:c>
      <x:c r="AC26" s="34" t="n">
        <x:f>'Assumptions'!$D$145*(1+'Assumptions'!$D$90)^(((AC$7+AC$8)/2-46304)/365)</x:f>
        <x:v>24460.714456399466</x:v>
      </x:c>
      <x:c r="AD26" s="34" t="n">
        <x:f>'Assumptions'!$D$145*(1+'Assumptions'!$D$90)^(((AD$7+AD$8)/2-46304)/365)</x:f>
        <x:v>24949.928745527453</x:v>
      </x:c>
      <x:c r="AE26" s="34" t="n">
        <x:f>'Assumptions'!$D$145*(1+'Assumptions'!$D$90)^(((AE$7+AE$8)/2-46304)/365)</x:f>
        <x:v>25449.61767996985</x:v>
      </x:c>
      <x:c r="AF26" s="34" t="n">
        <x:f>'Assumptions'!$D$145*(1+'Assumptions'!$D$90)^(((AF$7+AF$8)/2-46304)/365)</x:f>
        <x:v>25959.314219393847</x:v>
      </x:c>
      <x:c r="AG26" s="34" t="n">
        <x:f>'Assumptions'!$D$145*(1+'Assumptions'!$D$90)^(((AG$7+AG$8)/2-46304)/365)</x:f>
        <x:v>26478.50050378172</x:v>
      </x:c>
      <x:c r="AH26" s="34" t="n">
        <x:f>'Assumptions'!$D$145*(1+'Assumptions'!$D$90)^(((AH$7+AH$8)/2-46304)/365)</x:f>
        <x:v>27008.070513857358</x:v>
      </x:c>
      <x:c r="AI26" s="34" t="n">
        <x:f>'Assumptions'!$D$145*(1+'Assumptions'!$D$90)^(((AI$7+AI$8)/2-46304)/365)</x:f>
        <x:v>27548.979232036912</x:v>
      </x:c>
      <x:c r="AJ26" s="34" t="n">
        <x:f>'Assumptions'!$D$145*(1+'Assumptions'!$D$90)^(((AJ$7+AJ$8)/2-46304)/365)</x:f>
        <x:v>28100.72109141597</x:v>
      </x:c>
      <x:c r="AK26" s="34" t="n">
        <x:f>'Assumptions'!$D$145*(1+'Assumptions'!$D$90)^(((AK$7+AK$8)/2-46304)/365)</x:f>
        <x:v>28662.73551324429</x:v>
      </x:c>
      <x:c r="AL26" s="34" t="n">
        <x:f>'Assumptions'!$D$145*(1+'Assumptions'!$D$90)^(((AL$7+AL$8)/2-46304)/365)</x:f>
        <x:v>29235.990223509176</x:v>
      </x:c>
      <x:c r="AM26" s="34" t="n">
        <x:f>'Assumptions'!$D$145*(1+'Assumptions'!$D$90)^(((AM$7+AM$8)/2-46304)/365)</x:f>
        <x:v>29821.518981973968</x:v>
      </x:c>
      <x:c r="AN26" s="34" t="n">
        <x:f>'Assumptions'!$D$145*(1+'Assumptions'!$D$90)^(((AN$7+AN$8)/2-46304)/365)</x:f>
        <x:v>30418.77451707154</x:v>
      </x:c>
      <x:c r="AO26" s="34" t="n">
        <x:f>'Assumptions'!$D$145*(1+'Assumptions'!$D$90)^(((AO$7+AO$8)/2-46304)/365)</x:f>
        <x:v>31027.15000741297</x:v>
      </x:c>
      <x:c r="AP26" s="34" t="n">
        <x:f>'Assumptions'!$D$145*(1+'Assumptions'!$D$90)^(((AP$7+AP$8)/2-46304)/365)</x:f>
        <x:v>31647.693007561233</x:v>
      </x:c>
      <x:c r="AQ26" s="34" t="n">
        <x:f>'Assumptions'!$D$145*(1+'Assumptions'!$D$90)^(((AQ$7+AQ$8)/2-46304)/365)</x:f>
        <x:v>32281.522553040122</x:v>
      </x:c>
    </x:row>
    <x:row r="27" ht="21" customHeight="1">
      <x:c r="A27" s="2"/>
      <x:c r="B27" s="2"/>
      <x:c r="C27" s="2" t="str">
        <x:v>TCE cash revenue</x:v>
      </x:c>
      <x:c r="D27" s="2"/>
      <x:c r="E27" s="39" t="n">
        <x:f>E23*((1-E25)*E24+E25*E26)</x:f>
        <x:v>26554038.69982249</x:v>
      </x:c>
      <x:c r="F27" s="39" t="n">
        <x:f>F23*((1-F25)*F24+F25*F26)</x:f>
        <x:v>28928980.1723927</x:v>
      </x:c>
      <x:c r="G27" s="39" t="n">
        <x:f>G23*((1-G25)*G24+G25*G26)</x:f>
        <x:v>29394384.993480925</x:v>
      </x:c>
      <x:c r="H27" s="39" t="n">
        <x:f>H23*((1-H25)*H24+H25*H26)</x:f>
        <x:v>29865290.71041276</x:v>
      </x:c>
      <x:c r="I27" s="39" t="n">
        <x:f>I23*((1-I25)*I24+I25*I26)</x:f>
        <x:v>30014731.389101874</x:v>
      </x:c>
      <x:c r="J27" s="39" t="n">
        <x:f>J23*((1-J25)*J24+J25*J26)</x:f>
        <x:v>29836230.904205512</x:v>
      </x:c>
      <x:c r="K27" s="39" t="n">
        <x:f>K23*((1-K25)*K24+K25*K26)</x:f>
        <x:v>29983899.38890648</x:v>
      </x:c>
      <x:c r="L27" s="39" t="n">
        <x:f>L23*((1-L25)*L24+L25*L26)</x:f>
        <x:v>30464249.28026418</x:v>
      </x:c>
      <x:c r="M27" s="39" t="n">
        <x:f>M23*((1-M25)*M24+M25*M26)</x:f>
        <x:v>30616687.042626552</x:v>
      </x:c>
      <x:c r="N27" s="39" t="n">
        <x:f>N23*((1-N25)*N24+N25*N26)</x:f>
        <x:v>30099343.930045377</x:v>
      </x:c>
      <x:c r="O27" s="39" t="n">
        <x:f>O23*((1-O25)*O24+O25*O26)</x:f>
        <x:v>30583577.376684606</x:v>
      </x:c>
      <x:c r="P27" s="39" t="n">
        <x:f>P23*((1-P25)*P24+P25*P26)</x:f>
        <x:v>31073534.26586946</x:v>
      </x:c>
      <x:c r="Q27" s="39" t="n">
        <x:f>Q23*((1-Q25)*Q24+Q25*Q26)</x:f>
        <x:v>124818693.50418125</x:v>
      </x:c>
      <x:c r="R27" s="39" t="n">
        <x:f>R23*((1-R25)*R24+R25*R26)</x:f>
        <x:v>125022897.86380844</x:v>
      </x:c>
      <x:c r="S27" s="39" t="n">
        <x:f>S23*((1-S25)*S24+S25*S26)</x:f>
        <x:v>118581131.85096824</x:v>
      </x:c>
      <x:c r="T27" s="39" t="n">
        <x:f>T23*((1-T25)*T24+T25*T26)</x:f>
        <x:v>111157196.88611913</x:v>
      </x:c>
      <x:c r="U27" s="39" t="n">
        <x:f>U23*((1-U25)*U24+U25*U26)</x:f>
        <x:v>103729262.37218522</x:v>
      </x:c>
      <x:c r="V27" s="39" t="n">
        <x:f>V23*((1-V25)*V24+V25*V26)</x:f>
        <x:v>81072231.95121197</x:v>
      </x:c>
      <x:c r="W27" s="39" t="n">
        <x:f>W23*((1-W25)*W24+W25*W26)</x:f>
        <x:v>27675347.75838806</x:v>
      </x:c>
      <x:c r="X27" s="39" t="n">
        <x:f>X23*((1-X25)*X24+X25*X26)</x:f>
        <x:v>20484714.66597092</x:v>
      </x:c>
      <x:c r="Y27" s="39" t="n">
        <x:f>Y23*((1-Y25)*Y24+Y25*Y26)</x:f>
        <x:v>20894408.959290344</x:v>
      </x:c>
      <x:c r="Z27" s="39" t="n">
        <x:f>Z23*((1-Z25)*Z24+Z25*Z26)</x:f>
        <x:v>15940430.46247668</x:v>
      </x:c>
      <x:c r="AA27" s="39" t="n">
        <x:f>AA23*((1-AA25)*AA24+AA25*AA26)</x:f>
        <x:v>0</x:v>
      </x:c>
      <x:c r="AB27" s="39" t="n">
        <x:f>AB23*((1-AB25)*AB24+AB25*AB26)</x:f>
        <x:v>0</x:v>
      </x:c>
      <x:c r="AC27" s="39" t="n">
        <x:f>AC23*((1-AC25)*AC24+AC25*AC26)</x:f>
        <x:v>0</x:v>
      </x:c>
      <x:c r="AD27" s="39" t="n">
        <x:f>AD23*((1-AD25)*AD24+AD25*AD26)</x:f>
        <x:v>0</x:v>
      </x:c>
      <x:c r="AE27" s="39" t="n">
        <x:f>AE23*((1-AE25)*AE24+AE25*AE26)</x:f>
        <x:v>0</x:v>
      </x:c>
      <x:c r="AF27" s="39" t="n">
        <x:f>AF23*((1-AF25)*AF24+AF25*AF26)</x:f>
        <x:v>0</x:v>
      </x:c>
      <x:c r="AG27" s="39" t="n">
        <x:f>AG23*((1-AG25)*AG24+AG25*AG26)</x:f>
        <x:v>0</x:v>
      </x:c>
      <x:c r="AH27" s="39" t="n">
        <x:f>AH23*((1-AH25)*AH24+AH25*AH26)</x:f>
        <x:v>0</x:v>
      </x:c>
      <x:c r="AI27" s="39" t="n">
        <x:f>AI23*((1-AI25)*AI24+AI25*AI26)</x:f>
        <x:v>0</x:v>
      </x:c>
      <x:c r="AJ27" s="39" t="n">
        <x:f>AJ23*((1-AJ25)*AJ24+AJ25*AJ26)</x:f>
        <x:v>0</x:v>
      </x:c>
      <x:c r="AK27" s="39" t="n">
        <x:f>AK23*((1-AK25)*AK24+AK25*AK26)</x:f>
        <x:v>0</x:v>
      </x:c>
      <x:c r="AL27" s="39" t="n">
        <x:f>AL23*((1-AL25)*AL24+AL25*AL26)</x:f>
        <x:v>0</x:v>
      </x:c>
      <x:c r="AM27" s="39" t="n">
        <x:f>AM23*((1-AM25)*AM24+AM25*AM26)</x:f>
        <x:v>0</x:v>
      </x:c>
      <x:c r="AN27" s="39" t="n">
        <x:f>AN23*((1-AN25)*AN24+AN25*AN26)</x:f>
        <x:v>0</x:v>
      </x:c>
      <x:c r="AO27" s="39" t="n">
        <x:f>AO23*((1-AO25)*AO24+AO25*AO26)</x:f>
        <x:v>0</x:v>
      </x:c>
      <x:c r="AP27" s="39" t="n">
        <x:f>AP23*((1-AP25)*AP24+AP25*AP26)</x:f>
        <x:v>0</x:v>
      </x:c>
      <x:c r="AQ27" s="39" t="n">
        <x:f>AQ23*((1-AQ25)*AQ24+AQ25*AQ26)</x:f>
        <x:v>0</x:v>
      </x:c>
    </x:row>
    <x:row r="28" ht="21" customHeight="1">
      <x:c r="A28" s="2"/>
      <x:c r="B28" s="2"/>
      <x:c r="C28" s="2" t="str">
        <x:v>Vessel operating cost</x:v>
      </x:c>
      <x:c r="D28" s="2"/>
      <x:c r="E28" s="37" t="n">
        <x:f>E22*'Assumptions'!$D$60*(1+'Assumptions'!$D$90)^(((E$7+E$8)/2-46304)/365)</x:f>
        <x:v>6172649.346888563</x:v>
      </x:c>
      <x:c r="F28" s="37" t="n">
        <x:f>F22*'Assumptions'!$D$60*(1+'Assumptions'!$D$90)^(((F$7+F$8)/2-46304)/365)</x:f>
        <x:v>6724719.075161461</x:v>
      </x:c>
      <x:c r="G28" s="37" t="n">
        <x:f>G22*'Assumptions'!$D$60*(1+'Assumptions'!$D$90)^(((G$7+G$8)/2-46304)/365)</x:f>
        <x:v>6832905.28357232</x:v>
      </x:c>
      <x:c r="H28" s="37" t="n">
        <x:f>H22*'Assumptions'!$D$60*(1+'Assumptions'!$D$90)^(((H$7+H$8)/2-46304)/365)</x:f>
        <x:v>6942370.208999458</x:v>
      </x:c>
      <x:c r="I28" s="37" t="n">
        <x:f>I22*'Assumptions'!$D$60*(1+'Assumptions'!$D$90)^(((I$7+I$8)/2-46304)/365)</x:f>
        <x:v>6977108.612378945</x:v>
      </x:c>
      <x:c r="J28" s="37" t="n">
        <x:f>J22*'Assumptions'!$D$60*(1+'Assumptions'!$D$90)^(((J$7+J$8)/2-46304)/365)</x:f>
        <x:v>6935615.078609177</x:v>
      </x:c>
      <x:c r="K28" s="37" t="n">
        <x:f>K22*'Assumptions'!$D$60*(1+'Assumptions'!$D$90)^(((K$7+K$8)/2-46304)/365)</x:f>
        <x:v>6969941.524614225</x:v>
      </x:c>
      <x:c r="L28" s="37" t="n">
        <x:f>L22*'Assumptions'!$D$60*(1+'Assumptions'!$D$90)^(((L$7+L$8)/2-46304)/365)</x:f>
        <x:v>7081601.8063772</x:v>
      </x:c>
      <x:c r="M28" s="37" t="n">
        <x:f>M22*'Assumptions'!$D$60*(1+'Assumptions'!$D$90)^(((M$7+M$8)/2-46304)/365)</x:f>
        <x:v>7117036.900259682</x:v>
      </x:c>
      <x:c r="N28" s="37" t="n">
        <x:f>N22*'Assumptions'!$D$60*(1+'Assumptions'!$D$90)^(((N$7+N$8)/2-46304)/365)</x:f>
        <x:v>6996777.317071952</x:v>
      </x:c>
      <x:c r="O28" s="37" t="n">
        <x:f>O22*'Assumptions'!$D$60*(1+'Assumptions'!$D$90)^(((O$7+O$8)/2-46304)/365)</x:f>
        <x:v>7109340.355106509</x:v>
      </x:c>
      <x:c r="P28" s="37" t="n">
        <x:f>P22*'Assumptions'!$D$60*(1+'Assumptions'!$D$90)^(((P$7+P$8)/2-46304)/365)</x:f>
        <x:v>7223233.8425047435</x:v>
      </x:c>
      <x:c r="Q28" s="37" t="n">
        <x:f>Q22*'Assumptions'!$D$60*(1+'Assumptions'!$D$90)^(((Q$7+Q$8)/2-46304)/365)</x:f>
        <x:v>29014871.73562108</x:v>
      </x:c>
      <x:c r="R28" s="37" t="n">
        <x:f>R22*'Assumptions'!$D$60*(1+'Assumptions'!$D$90)^(((R$7+R$8)/2-46304)/365)</x:f>
        <x:v>29062340.292902842</x:v>
      </x:c>
      <x:c r="S28" s="37" t="n">
        <x:f>S22*'Assumptions'!$D$60*(1+'Assumptions'!$D$90)^(((S$7+S$8)/2-46304)/365)</x:f>
        <x:v>27564912.22851455</x:v>
      </x:c>
      <x:c r="T28" s="37" t="n">
        <x:f>T22*'Assumptions'!$D$60*(1+'Assumptions'!$D$90)^(((T$7+T$8)/2-46304)/365)</x:f>
        <x:v>25839172.960369796</x:v>
      </x:c>
      <x:c r="U28" s="37" t="n">
        <x:f>U22*'Assumptions'!$D$60*(1+'Assumptions'!$D$90)^(((U$7+U$8)/2-46304)/365)</x:f>
        <x:v>24112503.972481653</x:v>
      </x:c>
      <x:c r="V28" s="37" t="n">
        <x:f>V22*'Assumptions'!$D$60*(1+'Assumptions'!$D$90)^(((V$7+V$8)/2-46304)/365)</x:f>
        <x:v>18845738.129009802</x:v>
      </x:c>
      <x:c r="W28" s="37" t="n">
        <x:f>W22*'Assumptions'!$D$60*(1+'Assumptions'!$D$90)^(((W$7+W$8)/2-46304)/365)</x:f>
        <x:v>6433304.52278319</x:v>
      </x:c>
      <x:c r="X28" s="37" t="n">
        <x:f>X22*'Assumptions'!$D$60*(1+'Assumptions'!$D$90)^(((X$7+X$8)/2-46304)/365)</x:f>
        <x:v>4761797.707440609</x:v>
      </x:c>
      <x:c r="Y28" s="37" t="n">
        <x:f>Y22*'Assumptions'!$D$60*(1+'Assumptions'!$D$90)^(((Y$7+Y$8)/2-46304)/365)</x:f>
        <x:v>4857033.661589422</x:v>
      </x:c>
      <x:c r="Z28" s="37" t="n">
        <x:f>Z22*'Assumptions'!$D$60*(1+'Assumptions'!$D$90)^(((Z$7+Z$8)/2-46304)/365)</x:f>
        <x:v>3705450.940838878</x:v>
      </x:c>
      <x:c r="AA28" s="37" t="n">
        <x:f>AA22*'Assumptions'!$D$60*(1+'Assumptions'!$D$90)^(((AA$7+AA$8)/2-46304)/365)</x:f>
        <x:v>0</x:v>
      </x:c>
      <x:c r="AB28" s="37" t="n">
        <x:f>AB22*'Assumptions'!$D$60*(1+'Assumptions'!$D$90)^(((AB$7+AB$8)/2-46304)/365)</x:f>
        <x:v>0</x:v>
      </x:c>
      <x:c r="AC28" s="37" t="n">
        <x:f>AC22*'Assumptions'!$D$60*(1+'Assumptions'!$D$90)^(((AC$7+AC$8)/2-46304)/365)</x:f>
        <x:v>0</x:v>
      </x:c>
      <x:c r="AD28" s="37" t="n">
        <x:f>AD22*'Assumptions'!$D$60*(1+'Assumptions'!$D$90)^(((AD$7+AD$8)/2-46304)/365)</x:f>
        <x:v>0</x:v>
      </x:c>
      <x:c r="AE28" s="37" t="n">
        <x:f>AE22*'Assumptions'!$D$60*(1+'Assumptions'!$D$90)^(((AE$7+AE$8)/2-46304)/365)</x:f>
        <x:v>0</x:v>
      </x:c>
      <x:c r="AF28" s="37" t="n">
        <x:f>AF22*'Assumptions'!$D$60*(1+'Assumptions'!$D$90)^(((AF$7+AF$8)/2-46304)/365)</x:f>
        <x:v>0</x:v>
      </x:c>
      <x:c r="AG28" s="37" t="n">
        <x:f>AG22*'Assumptions'!$D$60*(1+'Assumptions'!$D$90)^(((AG$7+AG$8)/2-46304)/365)</x:f>
        <x:v>0</x:v>
      </x:c>
      <x:c r="AH28" s="37" t="n">
        <x:f>AH22*'Assumptions'!$D$60*(1+'Assumptions'!$D$90)^(((AH$7+AH$8)/2-46304)/365)</x:f>
        <x:v>0</x:v>
      </x:c>
      <x:c r="AI28" s="37" t="n">
        <x:f>AI22*'Assumptions'!$D$60*(1+'Assumptions'!$D$90)^(((AI$7+AI$8)/2-46304)/365)</x:f>
        <x:v>0</x:v>
      </x:c>
      <x:c r="AJ28" s="37" t="n">
        <x:f>AJ22*'Assumptions'!$D$60*(1+'Assumptions'!$D$90)^(((AJ$7+AJ$8)/2-46304)/365)</x:f>
        <x:v>0</x:v>
      </x:c>
      <x:c r="AK28" s="37" t="n">
        <x:f>AK22*'Assumptions'!$D$60*(1+'Assumptions'!$D$90)^(((AK$7+AK$8)/2-46304)/365)</x:f>
        <x:v>0</x:v>
      </x:c>
      <x:c r="AL28" s="37" t="n">
        <x:f>AL22*'Assumptions'!$D$60*(1+'Assumptions'!$D$90)^(((AL$7+AL$8)/2-46304)/365)</x:f>
        <x:v>0</x:v>
      </x:c>
      <x:c r="AM28" s="37" t="n">
        <x:f>AM22*'Assumptions'!$D$60*(1+'Assumptions'!$D$90)^(((AM$7+AM$8)/2-46304)/365)</x:f>
        <x:v>0</x:v>
      </x:c>
      <x:c r="AN28" s="37" t="n">
        <x:f>AN22*'Assumptions'!$D$60*(1+'Assumptions'!$D$90)^(((AN$7+AN$8)/2-46304)/365)</x:f>
        <x:v>0</x:v>
      </x:c>
      <x:c r="AO28" s="37" t="n">
        <x:f>AO22*'Assumptions'!$D$60*(1+'Assumptions'!$D$90)^(((AO$7+AO$8)/2-46304)/365)</x:f>
        <x:v>0</x:v>
      </x:c>
      <x:c r="AP28" s="37" t="n">
        <x:f>AP22*'Assumptions'!$D$60*(1+'Assumptions'!$D$90)^(((AP$7+AP$8)/2-46304)/365)</x:f>
        <x:v>0</x:v>
      </x:c>
      <x:c r="AQ28" s="37" t="n">
        <x:f>AQ22*'Assumptions'!$D$60*(1+'Assumptions'!$D$90)^(((AQ$7+AQ$8)/2-46304)/365)</x:f>
        <x:v>0</x:v>
      </x:c>
    </x:row>
    <x:row r="29" ht="21" customHeight="1">
      <x:c r="A29" s="2"/>
      <x:c r="B29" s="2"/>
      <x:c r="C29" s="2" t="str">
        <x:v>Management fees</x:v>
      </x:c>
      <x:c r="D29" s="2"/>
      <x:c r="E29" s="37" t="n">
        <x:f>E22*'Assumptions'!$D$65*(1+'Assumptions'!$D$90)^(((E$7+E$8)/2-46304)/365)</x:f>
        <x:v>535739.3772771205</x:v>
      </x:c>
      <x:c r="F29" s="37" t="n">
        <x:f>F22*'Assumptions'!$D$65*(1+'Assumptions'!$D$90)^(((F$7+F$8)/2-46304)/365)</x:f>
        <x:v>583654.8631272211</x:v>
      </x:c>
      <x:c r="G29" s="37" t="n">
        <x:f>G22*'Assumptions'!$D$65*(1+'Assumptions'!$D$90)^(((G$7+G$8)/2-46304)/365)</x:f>
        <x:v>593044.6095175976</x:v>
      </x:c>
      <x:c r="H29" s="37" t="n">
        <x:f>H22*'Assumptions'!$D$65*(1+'Assumptions'!$D$90)^(((H$7+H$8)/2-46304)/365)</x:f>
        <x:v>602545.3388942926</x:v>
      </x:c>
      <x:c r="I29" s="37" t="n">
        <x:f>I22*'Assumptions'!$D$65*(1+'Assumptions'!$D$90)^(((I$7+I$8)/2-46304)/365)</x:f>
        <x:v>605560.3701310027</x:v>
      </x:c>
      <x:c r="J29" s="37" t="n">
        <x:f>J22*'Assumptions'!$D$65*(1+'Assumptions'!$D$90)^(((J$7+J$8)/2-46304)/365)</x:f>
        <x:v>601959.0445585323</x:v>
      </x:c>
      <x:c r="K29" s="37" t="n">
        <x:f>K22*'Assumptions'!$D$65*(1+'Assumptions'!$D$90)^(((K$7+K$8)/2-46304)/365)</x:f>
        <x:v>604938.3210042535</x:v>
      </x:c>
      <x:c r="L29" s="37" t="n">
        <x:f>L22*'Assumptions'!$D$65*(1+'Assumptions'!$D$90)^(((L$7+L$8)/2-46304)/365)</x:f>
        <x:v>614629.5907421721</x:v>
      </x:c>
      <x:c r="M29" s="37" t="n">
        <x:f>M22*'Assumptions'!$D$65*(1+'Assumptions'!$D$90)^(((M$7+M$8)/2-46304)/365)</x:f>
        <x:v>617705.0894565007</x:v>
      </x:c>
      <x:c r="N29" s="37" t="n">
        <x:f>N22*'Assumptions'!$D$65*(1+'Assumptions'!$D$90)^(((N$7+N$8)/2-46304)/365)</x:f>
        <x:v>607267.4652553014</x:v>
      </x:c>
      <x:c r="O29" s="37" t="n">
        <x:f>O22*'Assumptions'!$D$65*(1+'Assumptions'!$D$90)^(((O$7+O$8)/2-46304)/365)</x:f>
        <x:v>617037.0874243386</x:v>
      </x:c>
      <x:c r="P29" s="37" t="n">
        <x:f>P22*'Assumptions'!$D$65*(1+'Assumptions'!$D$90)^(((P$7+P$8)/2-46304)/365)</x:f>
        <x:v>626922.1825570154</x:v>
      </x:c>
      <x:c r="Q29" s="37" t="n">
        <x:f>Q22*'Assumptions'!$D$65*(1+'Assumptions'!$D$90)^(((Q$7+Q$8)/2-46304)/365)</x:f>
        <x:v>2518271.886487867</x:v>
      </x:c>
      <x:c r="R29" s="37" t="n">
        <x:f>R22*'Assumptions'!$D$65*(1+'Assumptions'!$D$90)^(((R$7+R$8)/2-46304)/365)</x:f>
        <x:v>2522391.799006662</x:v>
      </x:c>
      <x:c r="S29" s="37" t="n">
        <x:f>S22*'Assumptions'!$D$65*(1+'Assumptions'!$D$90)^(((S$7+S$8)/2-46304)/365)</x:f>
        <x:v>2392426.34436164</x:v>
      </x:c>
      <x:c r="T29" s="37" t="n">
        <x:f>T22*'Assumptions'!$D$65*(1+'Assumptions'!$D$90)^(((T$7+T$8)/2-46304)/365)</x:f>
        <x:v>2242645.2003339822</x:v>
      </x:c>
      <x:c r="U29" s="37" t="n">
        <x:f>U22*'Assumptions'!$D$65*(1+'Assumptions'!$D$90)^(((U$7+U$8)/2-46304)/365)</x:f>
        <x:v>2092783.363649351</x:v>
      </x:c>
      <x:c r="V29" s="37" t="n">
        <x:f>V22*'Assumptions'!$D$65*(1+'Assumptions'!$D$90)^(((V$7+V$8)/2-46304)/365)</x:f>
        <x:v>1635667.8376121714</x:v>
      </x:c>
      <x:c r="W29" s="37" t="n">
        <x:f>W22*'Assumptions'!$D$65*(1+'Assumptions'!$D$90)^(((W$7+W$8)/2-46304)/365)</x:f>
        <x:v>558362.2793358995</x:v>
      </x:c>
      <x:c r="X29" s="37" t="n">
        <x:f>X22*'Assumptions'!$D$65*(1+'Assumptions'!$D$90)^(((X$7+X$8)/2-46304)/365)</x:f>
        <x:v>413288.10290993965</x:v>
      </x:c>
      <x:c r="Y29" s="37" t="n">
        <x:f>Y22*'Assumptions'!$D$65*(1+'Assumptions'!$D$90)^(((Y$7+Y$8)/2-46304)/365)</x:f>
        <x:v>421553.8649681385</x:v>
      </x:c>
      <x:c r="Z29" s="37" t="n">
        <x:f>Z22*'Assumptions'!$D$65*(1+'Assumptions'!$D$90)^(((Z$7+Z$8)/2-46304)/365)</x:f>
        <x:v>321605.17599733657</x:v>
      </x:c>
      <x:c r="AA29" s="37" t="n">
        <x:f>AA22*'Assumptions'!$D$65*(1+'Assumptions'!$D$90)^(((AA$7+AA$8)/2-46304)/365)</x:f>
        <x:v>0</x:v>
      </x:c>
      <x:c r="AB29" s="37" t="n">
        <x:f>AB22*'Assumptions'!$D$65*(1+'Assumptions'!$D$90)^(((AB$7+AB$8)/2-46304)/365)</x:f>
        <x:v>0</x:v>
      </x:c>
      <x:c r="AC29" s="37" t="n">
        <x:f>AC22*'Assumptions'!$D$65*(1+'Assumptions'!$D$90)^(((AC$7+AC$8)/2-46304)/365)</x:f>
        <x:v>0</x:v>
      </x:c>
      <x:c r="AD29" s="37" t="n">
        <x:f>AD22*'Assumptions'!$D$65*(1+'Assumptions'!$D$90)^(((AD$7+AD$8)/2-46304)/365)</x:f>
        <x:v>0</x:v>
      </x:c>
      <x:c r="AE29" s="37" t="n">
        <x:f>AE22*'Assumptions'!$D$65*(1+'Assumptions'!$D$90)^(((AE$7+AE$8)/2-46304)/365)</x:f>
        <x:v>0</x:v>
      </x:c>
      <x:c r="AF29" s="37" t="n">
        <x:f>AF22*'Assumptions'!$D$65*(1+'Assumptions'!$D$90)^(((AF$7+AF$8)/2-46304)/365)</x:f>
        <x:v>0</x:v>
      </x:c>
      <x:c r="AG29" s="37" t="n">
        <x:f>AG22*'Assumptions'!$D$65*(1+'Assumptions'!$D$90)^(((AG$7+AG$8)/2-46304)/365)</x:f>
        <x:v>0</x:v>
      </x:c>
      <x:c r="AH29" s="37" t="n">
        <x:f>AH22*'Assumptions'!$D$65*(1+'Assumptions'!$D$90)^(((AH$7+AH$8)/2-46304)/365)</x:f>
        <x:v>0</x:v>
      </x:c>
      <x:c r="AI29" s="37" t="n">
        <x:f>AI22*'Assumptions'!$D$65*(1+'Assumptions'!$D$90)^(((AI$7+AI$8)/2-46304)/365)</x:f>
        <x:v>0</x:v>
      </x:c>
      <x:c r="AJ29" s="37" t="n">
        <x:f>AJ22*'Assumptions'!$D$65*(1+'Assumptions'!$D$90)^(((AJ$7+AJ$8)/2-46304)/365)</x:f>
        <x:v>0</x:v>
      </x:c>
      <x:c r="AK29" s="37" t="n">
        <x:f>AK22*'Assumptions'!$D$65*(1+'Assumptions'!$D$90)^(((AK$7+AK$8)/2-46304)/365)</x:f>
        <x:v>0</x:v>
      </x:c>
      <x:c r="AL29" s="37" t="n">
        <x:f>AL22*'Assumptions'!$D$65*(1+'Assumptions'!$D$90)^(((AL$7+AL$8)/2-46304)/365)</x:f>
        <x:v>0</x:v>
      </x:c>
      <x:c r="AM29" s="37" t="n">
        <x:f>AM22*'Assumptions'!$D$65*(1+'Assumptions'!$D$90)^(((AM$7+AM$8)/2-46304)/365)</x:f>
        <x:v>0</x:v>
      </x:c>
      <x:c r="AN29" s="37" t="n">
        <x:f>AN22*'Assumptions'!$D$65*(1+'Assumptions'!$D$90)^(((AN$7+AN$8)/2-46304)/365)</x:f>
        <x:v>0</x:v>
      </x:c>
      <x:c r="AO29" s="37" t="n">
        <x:f>AO22*'Assumptions'!$D$65*(1+'Assumptions'!$D$90)^(((AO$7+AO$8)/2-46304)/365)</x:f>
        <x:v>0</x:v>
      </x:c>
      <x:c r="AP29" s="37" t="n">
        <x:f>AP22*'Assumptions'!$D$65*(1+'Assumptions'!$D$90)^(((AP$7+AP$8)/2-46304)/365)</x:f>
        <x:v>0</x:v>
      </x:c>
      <x:c r="AQ29" s="37" t="n">
        <x:f>AQ22*'Assumptions'!$D$65*(1+'Assumptions'!$D$90)^(((AQ$7+AQ$8)/2-46304)/365)</x:f>
        <x:v>0</x:v>
      </x:c>
    </x:row>
    <x:row r="30" ht="21" customHeight="1">
      <x:c r="A30" s="2"/>
      <x:c r="B30" s="2"/>
      <x:c r="C30" s="2" t="str">
        <x:v>Drydock cash budget</x:v>
      </x:c>
      <x:c r="D30" s="2"/>
      <x:c r="E30" s="37" t="n">
        <x:f>E22/365*'Assumptions'!$D$75*(1+'Assumptions'!$D$90)^(((E$7+E$8)/2-46304)/365)</x:f>
        <x:v>1850678.0156088737</x:v>
      </x:c>
      <x:c r="F30" s="37" t="n">
        <x:f>F22/365*'Assumptions'!$D$75*(1+'Assumptions'!$D$90)^(((F$7+F$8)/2-46304)/365)</x:f>
        <x:v>2016199.0507074941</x:v>
      </x:c>
      <x:c r="G30" s="37" t="n">
        <x:f>G22/365*'Assumptions'!$D$75*(1+'Assumptions'!$D$90)^(((G$7+G$8)/2-46304)/365)</x:f>
        <x:v>2048635.3396081394</x:v>
      </x:c>
      <x:c r="H30" s="37" t="n">
        <x:f>H22/365*'Assumptions'!$D$75*(1+'Assumptions'!$D$90)^(((H$7+H$8)/2-46304)/365)</x:f>
        <x:v>2081455.012261404</x:v>
      </x:c>
      <x:c r="I30" s="37" t="n">
        <x:f>I22/365*'Assumptions'!$D$75*(1+'Assumptions'!$D$90)^(((I$7+I$8)/2-46304)/365)</x:f>
        <x:v>2091870.2482190686</x:v>
      </x:c>
      <x:c r="J30" s="37" t="n">
        <x:f>J22/365*'Assumptions'!$D$75*(1+'Assumptions'!$D$90)^(((J$7+J$8)/2-46304)/365)</x:f>
        <x:v>2079429.6953183368</x:v>
      </x:c>
      <x:c r="K30" s="37" t="n">
        <x:f>K22/365*'Assumptions'!$D$75*(1+'Assumptions'!$D$90)^(((K$7+K$8)/2-46304)/365)</x:f>
        <x:v>2089721.4185971832</x:v>
      </x:c>
      <x:c r="L30" s="37" t="n">
        <x:f>L22/365*'Assumptions'!$D$75*(1+'Assumptions'!$D$90)^(((L$7+L$8)/2-46304)/365)</x:f>
        <x:v>2123199.3009556867</x:v>
      </x:c>
      <x:c r="M30" s="37" t="n">
        <x:f>M22/365*'Assumptions'!$D$75*(1+'Assumptions'!$D$90)^(((M$7+M$8)/2-46304)/365)</x:f>
        <x:v>2133823.418015309</x:v>
      </x:c>
      <x:c r="N30" s="37" t="n">
        <x:f>N22/365*'Assumptions'!$D$75*(1+'Assumptions'!$D$90)^(((N$7+N$8)/2-46304)/365)</x:f>
        <x:v>2097767.3010606007</x:v>
      </x:c>
      <x:c r="O30" s="37" t="n">
        <x:f>O22/365*'Assumptions'!$D$75*(1+'Assumptions'!$D$90)^(((O$7+O$8)/2-46304)/365)</x:f>
        <x:v>2131515.8469691267</x:v>
      </x:c>
      <x:c r="P30" s="37" t="n">
        <x:f>P22/365*'Assumptions'!$D$75*(1+'Assumptions'!$D$90)^(((P$7+P$8)/2-46304)/365)</x:f>
        <x:v>2165663.2869748003</x:v>
      </x:c>
      <x:c r="Q30" s="37" t="n">
        <x:f>Q22/365*'Assumptions'!$D$75*(1+'Assumptions'!$D$90)^(((Q$7+Q$8)/2-46304)/365)</x:f>
        <x:v>8699211.996205855</x:v>
      </x:c>
      <x:c r="R30" s="37" t="n">
        <x:f>R22/365*'Assumptions'!$D$75*(1+'Assumptions'!$D$90)^(((R$7+R$8)/2-46304)/365)</x:f>
        <x:v>8713443.97512724</x:v>
      </x:c>
      <x:c r="S30" s="37" t="n">
        <x:f>S22/365*'Assumptions'!$D$75*(1+'Assumptions'!$D$90)^(((S$7+S$8)/2-46304)/365)</x:f>
        <x:v>8264486.478438065</x:v>
      </x:c>
      <x:c r="T30" s="37" t="n">
        <x:f>T22/365*'Assumptions'!$D$75*(1+'Assumptions'!$D$90)^(((T$7+T$8)/2-46304)/365)</x:f>
        <x:v>7747076.927895829</x:v>
      </x:c>
      <x:c r="U30" s="37" t="n">
        <x:f>U22/365*'Assumptions'!$D$75*(1+'Assumptions'!$D$90)^(((U$7+U$8)/2-46304)/365)</x:f>
        <x:v>7229388.629640403</x:v>
      </x:c>
      <x:c r="V30" s="37" t="n">
        <x:f>V22/365*'Assumptions'!$D$75*(1+'Assumptions'!$D$90)^(((V$7+V$8)/2-46304)/365)</x:f>
        <x:v>5650311.767808573</x:v>
      </x:c>
      <x:c r="W30" s="37" t="n">
        <x:f>W22/365*'Assumptions'!$D$75*(1+'Assumptions'!$D$90)^(((W$7+W$8)/2-46304)/365)</x:f>
        <x:v>1928827.4092604034</x:v>
      </x:c>
      <x:c r="X30" s="37" t="n">
        <x:f>X22/365*'Assumptions'!$D$75*(1+'Assumptions'!$D$90)^(((X$7+X$8)/2-46304)/365)</x:f>
        <x:v>1427677.782535825</x:v>
      </x:c>
      <x:c r="Y30" s="37" t="n">
        <x:f>Y22/365*'Assumptions'!$D$75*(1+'Assumptions'!$D$90)^(((Y$7+Y$8)/2-46304)/365)</x:f>
        <x:v>1456231.3381865416</x:v>
      </x:c>
      <x:c r="Z30" s="37" t="n">
        <x:f>Z22/365*'Assumptions'!$D$75*(1+'Assumptions'!$D$90)^(((Z$7+Z$8)/2-46304)/365)</x:f>
        <x:v>1110964.8724148613</x:v>
      </x:c>
      <x:c r="AA30" s="37" t="n">
        <x:f>AA22/365*'Assumptions'!$D$75*(1+'Assumptions'!$D$90)^(((AA$7+AA$8)/2-46304)/365)</x:f>
        <x:v>0</x:v>
      </x:c>
      <x:c r="AB30" s="37" t="n">
        <x:f>AB22/365*'Assumptions'!$D$75*(1+'Assumptions'!$D$90)^(((AB$7+AB$8)/2-46304)/365)</x:f>
        <x:v>0</x:v>
      </x:c>
      <x:c r="AC30" s="37" t="n">
        <x:f>AC22/365*'Assumptions'!$D$75*(1+'Assumptions'!$D$90)^(((AC$7+AC$8)/2-46304)/365)</x:f>
        <x:v>0</x:v>
      </x:c>
      <x:c r="AD30" s="37" t="n">
        <x:f>AD22/365*'Assumptions'!$D$75*(1+'Assumptions'!$D$90)^(((AD$7+AD$8)/2-46304)/365)</x:f>
        <x:v>0</x:v>
      </x:c>
      <x:c r="AE30" s="37" t="n">
        <x:f>AE22/365*'Assumptions'!$D$75*(1+'Assumptions'!$D$90)^(((AE$7+AE$8)/2-46304)/365)</x:f>
        <x:v>0</x:v>
      </x:c>
      <x:c r="AF30" s="37" t="n">
        <x:f>AF22/365*'Assumptions'!$D$75*(1+'Assumptions'!$D$90)^(((AF$7+AF$8)/2-46304)/365)</x:f>
        <x:v>0</x:v>
      </x:c>
      <x:c r="AG30" s="37" t="n">
        <x:f>AG22/365*'Assumptions'!$D$75*(1+'Assumptions'!$D$90)^(((AG$7+AG$8)/2-46304)/365)</x:f>
        <x:v>0</x:v>
      </x:c>
      <x:c r="AH30" s="37" t="n">
        <x:f>AH22/365*'Assumptions'!$D$75*(1+'Assumptions'!$D$90)^(((AH$7+AH$8)/2-46304)/365)</x:f>
        <x:v>0</x:v>
      </x:c>
      <x:c r="AI30" s="37" t="n">
        <x:f>AI22/365*'Assumptions'!$D$75*(1+'Assumptions'!$D$90)^(((AI$7+AI$8)/2-46304)/365)</x:f>
        <x:v>0</x:v>
      </x:c>
      <x:c r="AJ30" s="37" t="n">
        <x:f>AJ22/365*'Assumptions'!$D$75*(1+'Assumptions'!$D$90)^(((AJ$7+AJ$8)/2-46304)/365)</x:f>
        <x:v>0</x:v>
      </x:c>
      <x:c r="AK30" s="37" t="n">
        <x:f>AK22/365*'Assumptions'!$D$75*(1+'Assumptions'!$D$90)^(((AK$7+AK$8)/2-46304)/365)</x:f>
        <x:v>0</x:v>
      </x:c>
      <x:c r="AL30" s="37" t="n">
        <x:f>AL22/365*'Assumptions'!$D$75*(1+'Assumptions'!$D$90)^(((AL$7+AL$8)/2-46304)/365)</x:f>
        <x:v>0</x:v>
      </x:c>
      <x:c r="AM30" s="37" t="n">
        <x:f>AM22/365*'Assumptions'!$D$75*(1+'Assumptions'!$D$90)^(((AM$7+AM$8)/2-46304)/365)</x:f>
        <x:v>0</x:v>
      </x:c>
      <x:c r="AN30" s="37" t="n">
        <x:f>AN22/365*'Assumptions'!$D$75*(1+'Assumptions'!$D$90)^(((AN$7+AN$8)/2-46304)/365)</x:f>
        <x:v>0</x:v>
      </x:c>
      <x:c r="AO30" s="37" t="n">
        <x:f>AO22/365*'Assumptions'!$D$75*(1+'Assumptions'!$D$90)^(((AO$7+AO$8)/2-46304)/365)</x:f>
        <x:v>0</x:v>
      </x:c>
      <x:c r="AP30" s="37" t="n">
        <x:f>AP22/365*'Assumptions'!$D$75*(1+'Assumptions'!$D$90)^(((AP$7+AP$8)/2-46304)/365)</x:f>
        <x:v>0</x:v>
      </x:c>
      <x:c r="AQ30" s="37" t="n">
        <x:f>AQ22/365*'Assumptions'!$D$75*(1+'Assumptions'!$D$90)^(((AQ$7+AQ$8)/2-46304)/365)</x:f>
        <x:v>0</x:v>
      </x:c>
    </x:row>
    <x:row r="31" ht="21" customHeight="1">
      <x:c r="A31" s="2"/>
      <x:c r="B31" s="2"/>
      <x:c r="C31" s="2" t="str">
        <x:v>Other maintenance capex</x:v>
      </x:c>
      <x:c r="D31" s="2"/>
      <x:c r="E31" s="37" t="n">
        <x:f>E22/365*'Assumptions'!$D$80*(1+'Assumptions'!$D$90)^(((E$7+E$8)/2-46304)/365)</x:f>
        <x:v>414807.14142957516</x:v>
      </x:c>
      <x:c r="F31" s="37" t="n">
        <x:f>F22/365*'Assumptions'!$D$80*(1+'Assumptions'!$D$90)^(((F$7+F$8)/2-46304)/365)</x:f>
        <x:v>451906.6837792659</x:v>
      </x:c>
      <x:c r="G31" s="37" t="n">
        <x:f>G22/365*'Assumptions'!$D$80*(1+'Assumptions'!$D$90)^(((G$7+G$8)/2-46304)/365)</x:f>
        <x:v>459176.88646389334</x:v>
      </x:c>
      <x:c r="H31" s="37" t="n">
        <x:f>H22/365*'Assumptions'!$D$80*(1+'Assumptions'!$D$90)^(((H$7+H$8)/2-46304)/365)</x:f>
        <x:v>466533.01998962497</x:v>
      </x:c>
      <x:c r="I31" s="37" t="n">
        <x:f>I22/365*'Assumptions'!$D$80*(1+'Assumptions'!$D$90)^(((I$7+I$8)/2-46304)/365)</x:f>
        <x:v>468867.4694284119</x:v>
      </x:c>
      <x:c r="J31" s="37" t="n">
        <x:f>J22/365*'Assumptions'!$D$80*(1+'Assumptions'!$D$90)^(((J$7+J$8)/2-46304)/365)</x:f>
        <x:v>466079.0696403169</x:v>
      </x:c>
      <x:c r="K31" s="37" t="n">
        <x:f>K22/365*'Assumptions'!$D$80*(1+'Assumptions'!$D$90)^(((K$7+K$8)/2-46304)/365)</x:f>
        <x:v>468385.83520281693</x:v>
      </x:c>
      <x:c r="L31" s="37" t="n">
        <x:f>L22/365*'Assumptions'!$D$80*(1+'Assumptions'!$D$90)^(((L$7+L$8)/2-46304)/365)</x:f>
        <x:v>475889.4984900678</x:v>
      </x:c>
      <x:c r="M31" s="37" t="n">
        <x:f>M22/365*'Assumptions'!$D$80*(1+'Assumptions'!$D$90)^(((M$7+M$8)/2-46304)/365)</x:f>
        <x:v>478270.76610687963</x:v>
      </x:c>
      <x:c r="N31" s="37" t="n">
        <x:f>N22/365*'Assumptions'!$D$80*(1+'Assumptions'!$D$90)^(((N$7+N$8)/2-46304)/365)</x:f>
        <x:v>470189.222651514</x:v>
      </x:c>
      <x:c r="O31" s="37" t="n">
        <x:f>O22/365*'Assumptions'!$D$80*(1+'Assumptions'!$D$90)^(((O$7+O$8)/2-46304)/365)</x:f>
        <x:v>477753.55190687324</x:v>
      </x:c>
      <x:c r="P31" s="37" t="n">
        <x:f>P22/365*'Assumptions'!$D$80*(1+'Assumptions'!$D$90)^(((P$7+P$8)/2-46304)/365)</x:f>
        <x:v>485407.28845986904</x:v>
      </x:c>
      <x:c r="Q31" s="37" t="n">
        <x:f>Q22/365*'Assumptions'!$D$80*(1+'Assumptions'!$D$90)^(((Q$7+Q$8)/2-46304)/365)</x:f>
        <x:v>1949823.378459933</x:v>
      </x:c>
      <x:c r="R31" s="37" t="n">
        <x:f>R22/365*'Assumptions'!$D$80*(1+'Assumptions'!$D$90)^(((R$7+R$8)/2-46304)/365)</x:f>
        <x:v>1953013.3047698988</x:v>
      </x:c>
      <x:c r="S31" s="37" t="n">
        <x:f>S22/365*'Assumptions'!$D$80*(1+'Assumptions'!$D$90)^(((S$7+S$8)/2-46304)/365)</x:f>
        <x:v>1852384.9003395666</x:v>
      </x:c>
      <x:c r="T31" s="37" t="n">
        <x:f>T22/365*'Assumptions'!$D$80*(1+'Assumptions'!$D$90)^(((T$7+T$8)/2-46304)/365)</x:f>
        <x:v>1736413.7941835478</x:v>
      </x:c>
      <x:c r="U31" s="37" t="n">
        <x:f>U22/365*'Assumptions'!$D$80*(1+'Assumptions'!$D$90)^(((U$7+U$8)/2-46304)/365)</x:f>
        <x:v>1620380.2100918144</x:v>
      </x:c>
      <x:c r="V31" s="37" t="n">
        <x:f>V22/365*'Assumptions'!$D$80*(1+'Assumptions'!$D$90)^(((V$7+V$8)/2-46304)/365)</x:f>
        <x:v>1266449.1893364042</x:v>
      </x:c>
      <x:c r="W31" s="37" t="n">
        <x:f>W22/365*'Assumptions'!$D$80*(1+'Assumptions'!$D$90)^(((W$7+W$8)/2-46304)/365)</x:f>
        <x:v>432323.3848342283</x:v>
      </x:c>
      <x:c r="X31" s="37" t="n">
        <x:f>X22/365*'Assumptions'!$D$80*(1+'Assumptions'!$D$90)^(((X$7+X$8)/2-46304)/365)</x:f>
        <x:v>319996.744361478</x:v>
      </x:c>
      <x:c r="Y31" s="37" t="n">
        <x:f>Y22/365*'Assumptions'!$D$80*(1+'Assumptions'!$D$90)^(((Y$7+Y$8)/2-46304)/365)</x:f>
        <x:v>326396.6792487076</x:v>
      </x:c>
      <x:c r="Z31" s="37" t="n">
        <x:f>Z22/365*'Assumptions'!$D$80*(1+'Assumptions'!$D$90)^(((Z$7+Z$8)/2-46304)/365)</x:f>
        <x:v>249009.36795505515</x:v>
      </x:c>
      <x:c r="AA31" s="37" t="n">
        <x:f>AA22/365*'Assumptions'!$D$80*(1+'Assumptions'!$D$90)^(((AA$7+AA$8)/2-46304)/365)</x:f>
        <x:v>0</x:v>
      </x:c>
      <x:c r="AB31" s="37" t="n">
        <x:f>AB22/365*'Assumptions'!$D$80*(1+'Assumptions'!$D$90)^(((AB$7+AB$8)/2-46304)/365)</x:f>
        <x:v>0</x:v>
      </x:c>
      <x:c r="AC31" s="37" t="n">
        <x:f>AC22/365*'Assumptions'!$D$80*(1+'Assumptions'!$D$90)^(((AC$7+AC$8)/2-46304)/365)</x:f>
        <x:v>0</x:v>
      </x:c>
      <x:c r="AD31" s="37" t="n">
        <x:f>AD22/365*'Assumptions'!$D$80*(1+'Assumptions'!$D$90)^(((AD$7+AD$8)/2-46304)/365)</x:f>
        <x:v>0</x:v>
      </x:c>
      <x:c r="AE31" s="37" t="n">
        <x:f>AE22/365*'Assumptions'!$D$80*(1+'Assumptions'!$D$90)^(((AE$7+AE$8)/2-46304)/365)</x:f>
        <x:v>0</x:v>
      </x:c>
      <x:c r="AF31" s="37" t="n">
        <x:f>AF22/365*'Assumptions'!$D$80*(1+'Assumptions'!$D$90)^(((AF$7+AF$8)/2-46304)/365)</x:f>
        <x:v>0</x:v>
      </x:c>
      <x:c r="AG31" s="37" t="n">
        <x:f>AG22/365*'Assumptions'!$D$80*(1+'Assumptions'!$D$90)^(((AG$7+AG$8)/2-46304)/365)</x:f>
        <x:v>0</x:v>
      </x:c>
      <x:c r="AH31" s="37" t="n">
        <x:f>AH22/365*'Assumptions'!$D$80*(1+'Assumptions'!$D$90)^(((AH$7+AH$8)/2-46304)/365)</x:f>
        <x:v>0</x:v>
      </x:c>
      <x:c r="AI31" s="37" t="n">
        <x:f>AI22/365*'Assumptions'!$D$80*(1+'Assumptions'!$D$90)^(((AI$7+AI$8)/2-46304)/365)</x:f>
        <x:v>0</x:v>
      </x:c>
      <x:c r="AJ31" s="37" t="n">
        <x:f>AJ22/365*'Assumptions'!$D$80*(1+'Assumptions'!$D$90)^(((AJ$7+AJ$8)/2-46304)/365)</x:f>
        <x:v>0</x:v>
      </x:c>
      <x:c r="AK31" s="37" t="n">
        <x:f>AK22/365*'Assumptions'!$D$80*(1+'Assumptions'!$D$90)^(((AK$7+AK$8)/2-46304)/365)</x:f>
        <x:v>0</x:v>
      </x:c>
      <x:c r="AL31" s="37" t="n">
        <x:f>AL22/365*'Assumptions'!$D$80*(1+'Assumptions'!$D$90)^(((AL$7+AL$8)/2-46304)/365)</x:f>
        <x:v>0</x:v>
      </x:c>
      <x:c r="AM31" s="37" t="n">
        <x:f>AM22/365*'Assumptions'!$D$80*(1+'Assumptions'!$D$90)^(((AM$7+AM$8)/2-46304)/365)</x:f>
        <x:v>0</x:v>
      </x:c>
      <x:c r="AN31" s="37" t="n">
        <x:f>AN22/365*'Assumptions'!$D$80*(1+'Assumptions'!$D$90)^(((AN$7+AN$8)/2-46304)/365)</x:f>
        <x:v>0</x:v>
      </x:c>
      <x:c r="AO31" s="37" t="n">
        <x:f>AO22/365*'Assumptions'!$D$80*(1+'Assumptions'!$D$90)^(((AO$7+AO$8)/2-46304)/365)</x:f>
        <x:v>0</x:v>
      </x:c>
      <x:c r="AP31" s="37" t="n">
        <x:f>AP22/365*'Assumptions'!$D$80*(1+'Assumptions'!$D$90)^(((AP$7+AP$8)/2-46304)/365)</x:f>
        <x:v>0</x:v>
      </x:c>
      <x:c r="AQ31" s="37" t="n">
        <x:f>AQ22/365*'Assumptions'!$D$80*(1+'Assumptions'!$D$90)^(((AQ$7+AQ$8)/2-46304)/365)</x:f>
        <x:v>0</x:v>
      </x:c>
    </x:row>
    <x:row r="32" ht="25" customHeight="1">
      <x:c r="A32" s="2"/>
      <x:c r="B32" s="2"/>
      <x:c r="C32" s="30" t="str">
        <x:v>Post Panamax</x:v>
      </x:c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30"/>
      <x:c r="AI32" s="30"/>
      <x:c r="AJ32" s="30"/>
      <x:c r="AK32" s="30"/>
      <x:c r="AL32" s="30"/>
      <x:c r="AM32" s="30"/>
      <x:c r="AN32" s="30"/>
      <x:c r="AO32" s="30"/>
      <x:c r="AP32" s="30"/>
      <x:c r="AQ32" s="30"/>
    </x:row>
    <x:row r="33" ht="21" customHeight="1">
      <x:c r="A33" s="2"/>
      <x:c r="B33" s="2"/>
      <x:c r="C33" s="2" t="str">
        <x:v>Owned days</x:v>
      </x:c>
      <x:c r="D33" s="2"/>
      <x:c r="E33" s="5" t="n">
        <x:f>SUMIFS('Days'!E$10:E$147,'Days'!$D$10:$D$147,$C32)</x:f>
        <x:v>581</x:v>
      </x:c>
      <x:c r="F33" s="5" t="n">
        <x:f>SUMIFS('Days'!F$10:F$147,'Days'!$D$10:$D$147,$C32)</x:f>
        <x:v>630</x:v>
      </x:c>
      <x:c r="G33" s="5" t="n">
        <x:f>SUMIFS('Days'!G$10:G$147,'Days'!$D$10:$D$147,$C32)</x:f>
        <x:v>637</x:v>
      </x:c>
      <x:c r="H33" s="5" t="n">
        <x:f>SUMIFS('Days'!H$10:H$147,'Days'!$D$10:$D$147,$C32)</x:f>
        <x:v>644</x:v>
      </x:c>
      <x:c r="I33" s="5" t="n">
        <x:f>SUMIFS('Days'!I$10:I$147,'Days'!$D$10:$D$147,$C32)</x:f>
        <x:v>644</x:v>
      </x:c>
      <x:c r="J33" s="5" t="n">
        <x:f>SUMIFS('Days'!J$10:J$147,'Days'!$D$10:$D$147,$C32)</x:f>
        <x:v>637</x:v>
      </x:c>
      <x:c r="K33" s="5" t="n">
        <x:f>SUMIFS('Days'!K$10:K$147,'Days'!$D$10:$D$147,$C32)</x:f>
        <x:v>637</x:v>
      </x:c>
      <x:c r="L33" s="5" t="n">
        <x:f>SUMIFS('Days'!L$10:L$147,'Days'!$D$10:$D$147,$C32)</x:f>
        <x:v>644</x:v>
      </x:c>
      <x:c r="M33" s="5" t="n">
        <x:f>SUMIFS('Days'!M$10:M$147,'Days'!$D$10:$D$147,$C32)</x:f>
        <x:v>644</x:v>
      </x:c>
      <x:c r="N33" s="5" t="n">
        <x:f>SUMIFS('Days'!N$10:N$147,'Days'!$D$10:$D$147,$C32)</x:f>
        <x:v>630</x:v>
      </x:c>
      <x:c r="O33" s="5" t="n">
        <x:f>SUMIFS('Days'!O$10:O$147,'Days'!$D$10:$D$147,$C32)</x:f>
        <x:v>637</x:v>
      </x:c>
      <x:c r="P33" s="5" t="n">
        <x:f>SUMIFS('Days'!P$10:P$147,'Days'!$D$10:$D$147,$C32)</x:f>
        <x:v>644</x:v>
      </x:c>
      <x:c r="Q33" s="5" t="n">
        <x:f>SUMIFS('Days'!Q$10:Q$147,'Days'!$D$10:$D$147,$C32)</x:f>
        <x:v>2555</x:v>
      </x:c>
      <x:c r="R33" s="5" t="n">
        <x:f>SUMIFS('Days'!R$10:R$147,'Days'!$D$10:$D$147,$C32)</x:f>
        <x:v>2555</x:v>
      </x:c>
      <x:c r="S33" s="5" t="n">
        <x:f>SUMIFS('Days'!S$10:S$147,'Days'!$D$10:$D$147,$C32)</x:f>
        <x:v>2562</x:v>
      </x:c>
      <x:c r="T33" s="5" t="n">
        <x:f>SUMIFS('Days'!T$10:T$147,'Days'!$D$10:$D$147,$C32)</x:f>
        <x:v>2555</x:v>
      </x:c>
      <x:c r="U33" s="5" t="n">
        <x:f>SUMIFS('Days'!U$10:U$147,'Days'!$D$10:$D$147,$C32)</x:f>
        <x:v>2555</x:v>
      </x:c>
      <x:c r="V33" s="5" t="n">
        <x:f>SUMIFS('Days'!V$10:V$147,'Days'!$D$10:$D$147,$C32)</x:f>
        <x:v>2371</x:v>
      </x:c>
      <x:c r="W33" s="5" t="n">
        <x:f>SUMIFS('Days'!W$10:W$147,'Days'!$D$10:$D$147,$C32)</x:f>
        <x:v>1370</x:v>
      </x:c>
      <x:c r="X33" s="5" t="n">
        <x:f>SUMIFS('Days'!X$10:X$147,'Days'!$D$10:$D$147,$C32)</x:f>
        <x:v>0</x:v>
      </x:c>
      <x:c r="Y33" s="5" t="n">
        <x:f>SUMIFS('Days'!Y$10:Y$147,'Days'!$D$10:$D$147,$C32)</x:f>
        <x:v>0</x:v>
      </x:c>
      <x:c r="Z33" s="5" t="n">
        <x:f>SUMIFS('Days'!Z$10:Z$147,'Days'!$D$10:$D$147,$C32)</x:f>
        <x:v>0</x:v>
      </x:c>
      <x:c r="AA33" s="5" t="n">
        <x:f>SUMIFS('Days'!AA$10:AA$147,'Days'!$D$10:$D$147,$C32)</x:f>
        <x:v>0</x:v>
      </x:c>
      <x:c r="AB33" s="5" t="n">
        <x:f>SUMIFS('Days'!AB$10:AB$147,'Days'!$D$10:$D$147,$C32)</x:f>
        <x:v>0</x:v>
      </x:c>
      <x:c r="AC33" s="5" t="n">
        <x:f>SUMIFS('Days'!AC$10:AC$147,'Days'!$D$10:$D$147,$C32)</x:f>
        <x:v>0</x:v>
      </x:c>
      <x:c r="AD33" s="5" t="n">
        <x:f>SUMIFS('Days'!AD$10:AD$147,'Days'!$D$10:$D$147,$C32)</x:f>
        <x:v>0</x:v>
      </x:c>
      <x:c r="AE33" s="5" t="n">
        <x:f>SUMIFS('Days'!AE$10:AE$147,'Days'!$D$10:$D$147,$C32)</x:f>
        <x:v>0</x:v>
      </x:c>
      <x:c r="AF33" s="5" t="n">
        <x:f>SUMIFS('Days'!AF$10:AF$147,'Days'!$D$10:$D$147,$C32)</x:f>
        <x:v>0</x:v>
      </x:c>
      <x:c r="AG33" s="5" t="n">
        <x:f>SUMIFS('Days'!AG$10:AG$147,'Days'!$D$10:$D$147,$C32)</x:f>
        <x:v>0</x:v>
      </x:c>
      <x:c r="AH33" s="5" t="n">
        <x:f>SUMIFS('Days'!AH$10:AH$147,'Days'!$D$10:$D$147,$C32)</x:f>
        <x:v>0</x:v>
      </x:c>
      <x:c r="AI33" s="5" t="n">
        <x:f>SUMIFS('Days'!AI$10:AI$147,'Days'!$D$10:$D$147,$C32)</x:f>
        <x:v>0</x:v>
      </x:c>
      <x:c r="AJ33" s="5" t="n">
        <x:f>SUMIFS('Days'!AJ$10:AJ$147,'Days'!$D$10:$D$147,$C32)</x:f>
        <x:v>0</x:v>
      </x:c>
      <x:c r="AK33" s="5" t="n">
        <x:f>SUMIFS('Days'!AK$10:AK$147,'Days'!$D$10:$D$147,$C32)</x:f>
        <x:v>0</x:v>
      </x:c>
      <x:c r="AL33" s="5" t="n">
        <x:f>SUMIFS('Days'!AL$10:AL$147,'Days'!$D$10:$D$147,$C32)</x:f>
        <x:v>0</x:v>
      </x:c>
      <x:c r="AM33" s="5" t="n">
        <x:f>SUMIFS('Days'!AM$10:AM$147,'Days'!$D$10:$D$147,$C32)</x:f>
        <x:v>0</x:v>
      </x:c>
      <x:c r="AN33" s="5" t="n">
        <x:f>SUMIFS('Days'!AN$10:AN$147,'Days'!$D$10:$D$147,$C32)</x:f>
        <x:v>0</x:v>
      </x:c>
      <x:c r="AO33" s="5" t="n">
        <x:f>SUMIFS('Days'!AO$10:AO$147,'Days'!$D$10:$D$147,$C32)</x:f>
        <x:v>0</x:v>
      </x:c>
      <x:c r="AP33" s="5" t="n">
        <x:f>SUMIFS('Days'!AP$10:AP$147,'Days'!$D$10:$D$147,$C32)</x:f>
        <x:v>0</x:v>
      </x:c>
      <x:c r="AQ33" s="5" t="n">
        <x:f>SUMIFS('Days'!AQ$10:AQ$147,'Days'!$D$10:$D$147,$C32)</x:f>
        <x:v>0</x:v>
      </x:c>
    </x:row>
    <x:row r="34" ht="21" customHeight="1">
      <x:c r="A34" s="2"/>
      <x:c r="B34" s="2"/>
      <x:c r="C34" s="2" t="str">
        <x:v>Available days</x:v>
      </x:c>
      <x:c r="D34" s="2"/>
      <x:c r="E34" s="5" t="n">
        <x:f>E33*(1-'Assumptions'!$D$55)</x:f>
        <x:v>551.9499999999999</x:v>
      </x:c>
      <x:c r="F34" s="5" t="n">
        <x:f>F33*(1-'Assumptions'!$D$55)</x:f>
        <x:v>598.5</x:v>
      </x:c>
      <x:c r="G34" s="5" t="n">
        <x:f>G33*(1-'Assumptions'!$D$55)</x:f>
        <x:v>605.15</x:v>
      </x:c>
      <x:c r="H34" s="5" t="n">
        <x:f>H33*(1-'Assumptions'!$D$55)</x:f>
        <x:v>611.8</x:v>
      </x:c>
      <x:c r="I34" s="5" t="n">
        <x:f>I33*(1-'Assumptions'!$D$55)</x:f>
        <x:v>611.8</x:v>
      </x:c>
      <x:c r="J34" s="5" t="n">
        <x:f>J33*(1-'Assumptions'!$D$55)</x:f>
        <x:v>605.15</x:v>
      </x:c>
      <x:c r="K34" s="5" t="n">
        <x:f>K33*(1-'Assumptions'!$D$55)</x:f>
        <x:v>605.15</x:v>
      </x:c>
      <x:c r="L34" s="5" t="n">
        <x:f>L33*(1-'Assumptions'!$D$55)</x:f>
        <x:v>611.8</x:v>
      </x:c>
      <x:c r="M34" s="5" t="n">
        <x:f>M33*(1-'Assumptions'!$D$55)</x:f>
        <x:v>611.8</x:v>
      </x:c>
      <x:c r="N34" s="5" t="n">
        <x:f>N33*(1-'Assumptions'!$D$55)</x:f>
        <x:v>598.5</x:v>
      </x:c>
      <x:c r="O34" s="5" t="n">
        <x:f>O33*(1-'Assumptions'!$D$55)</x:f>
        <x:v>605.15</x:v>
      </x:c>
      <x:c r="P34" s="5" t="n">
        <x:f>P33*(1-'Assumptions'!$D$55)</x:f>
        <x:v>611.8</x:v>
      </x:c>
      <x:c r="Q34" s="5" t="n">
        <x:f>Q33*(1-'Assumptions'!$D$55)</x:f>
        <x:v>2427.25</x:v>
      </x:c>
      <x:c r="R34" s="5" t="n">
        <x:f>R33*(1-'Assumptions'!$D$55)</x:f>
        <x:v>2427.25</x:v>
      </x:c>
      <x:c r="S34" s="5" t="n">
        <x:f>S33*(1-'Assumptions'!$D$55)</x:f>
        <x:v>2433.9</x:v>
      </x:c>
      <x:c r="T34" s="5" t="n">
        <x:f>T33*(1-'Assumptions'!$D$55)</x:f>
        <x:v>2427.25</x:v>
      </x:c>
      <x:c r="U34" s="5" t="n">
        <x:f>U33*(1-'Assumptions'!$D$55)</x:f>
        <x:v>2427.25</x:v>
      </x:c>
      <x:c r="V34" s="5" t="n">
        <x:f>V33*(1-'Assumptions'!$D$55)</x:f>
        <x:v>2252.45</x:v>
      </x:c>
      <x:c r="W34" s="5" t="n">
        <x:f>W33*(1-'Assumptions'!$D$55)</x:f>
        <x:v>1301.5</x:v>
      </x:c>
      <x:c r="X34" s="5" t="n">
        <x:f>X33*(1-'Assumptions'!$D$55)</x:f>
        <x:v>0</x:v>
      </x:c>
      <x:c r="Y34" s="5" t="n">
        <x:f>Y33*(1-'Assumptions'!$D$55)</x:f>
        <x:v>0</x:v>
      </x:c>
      <x:c r="Z34" s="5" t="n">
        <x:f>Z33*(1-'Assumptions'!$D$55)</x:f>
        <x:v>0</x:v>
      </x:c>
      <x:c r="AA34" s="5" t="n">
        <x:f>AA33*(1-'Assumptions'!$D$55)</x:f>
        <x:v>0</x:v>
      </x:c>
      <x:c r="AB34" s="5" t="n">
        <x:f>AB33*(1-'Assumptions'!$D$55)</x:f>
        <x:v>0</x:v>
      </x:c>
      <x:c r="AC34" s="5" t="n">
        <x:f>AC33*(1-'Assumptions'!$D$55)</x:f>
        <x:v>0</x:v>
      </x:c>
      <x:c r="AD34" s="5" t="n">
        <x:f>AD33*(1-'Assumptions'!$D$55)</x:f>
        <x:v>0</x:v>
      </x:c>
      <x:c r="AE34" s="5" t="n">
        <x:f>AE33*(1-'Assumptions'!$D$55)</x:f>
        <x:v>0</x:v>
      </x:c>
      <x:c r="AF34" s="5" t="n">
        <x:f>AF33*(1-'Assumptions'!$D$55)</x:f>
        <x:v>0</x:v>
      </x:c>
      <x:c r="AG34" s="5" t="n">
        <x:f>AG33*(1-'Assumptions'!$D$55)</x:f>
        <x:v>0</x:v>
      </x:c>
      <x:c r="AH34" s="5" t="n">
        <x:f>AH33*(1-'Assumptions'!$D$55)</x:f>
        <x:v>0</x:v>
      </x:c>
      <x:c r="AI34" s="5" t="n">
        <x:f>AI33*(1-'Assumptions'!$D$55)</x:f>
        <x:v>0</x:v>
      </x:c>
      <x:c r="AJ34" s="5" t="n">
        <x:f>AJ33*(1-'Assumptions'!$D$55)</x:f>
        <x:v>0</x:v>
      </x:c>
      <x:c r="AK34" s="5" t="n">
        <x:f>AK33*(1-'Assumptions'!$D$55)</x:f>
        <x:v>0</x:v>
      </x:c>
      <x:c r="AL34" s="5" t="n">
        <x:f>AL33*(1-'Assumptions'!$D$55)</x:f>
        <x:v>0</x:v>
      </x:c>
      <x:c r="AM34" s="5" t="n">
        <x:f>AM33*(1-'Assumptions'!$D$55)</x:f>
        <x:v>0</x:v>
      </x:c>
      <x:c r="AN34" s="5" t="n">
        <x:f>AN33*(1-'Assumptions'!$D$55)</x:f>
        <x:v>0</x:v>
      </x:c>
      <x:c r="AO34" s="5" t="n">
        <x:f>AO33*(1-'Assumptions'!$D$55)</x:f>
        <x:v>0</x:v>
      </x:c>
      <x:c r="AP34" s="5" t="n">
        <x:f>AP33*(1-'Assumptions'!$D$55)</x:f>
        <x:v>0</x:v>
      </x:c>
      <x:c r="AQ34" s="5" t="n">
        <x:f>AQ33*(1-'Assumptions'!$D$55)</x:f>
        <x:v>0</x:v>
      </x:c>
    </x:row>
    <x:row r="35" ht="21" customHeight="1">
      <x:c r="A35" s="2"/>
      <x:c r="B35" s="2"/>
      <x:c r="C35" s="2" t="str">
        <x:v>Open TCE (USD/day)</x:v>
      </x:c>
      <x:c r="D35" s="2"/>
      <x:c r="E35" s="34" t="n">
        <x:f>'Assumptions'!$D$20*'Assumptions'!$D$6*(1+'Assumptions'!$D$90)^(((E$7+E$8)/2-46304)/365)</x:f>
        <x:v>16036.500105578703</x:v>
      </x:c>
      <x:c r="F35" s="34" t="n">
        <x:f>'Assumptions'!$D$20*'Assumptions'!$D$6*(1+'Assumptions'!$D$90)^(((F$7+F$8)/2-46304)/365)</x:f>
        <x:v>16111.935490054413</x:v>
      </x:c>
      <x:c r="G35" s="34" t="n">
        <x:f>'Assumptions'!$D$20*'Assumptions'!$D$6*(1+'Assumptions'!$D$90)^(((G$7+G$8)/2-46304)/365)</x:f>
        <x:v>16191.239083136921</x:v>
      </x:c>
      <x:c r="H35" s="34" t="n">
        <x:f>'Assumptions'!$D$20*'Assumptions'!$D$6*(1+'Assumptions'!$D$90)^(((H$7+H$8)/2-46304)/365)</x:f>
        <x:v>16271.815795146978</x:v>
      </x:c>
      <x:c r="I35" s="34" t="n">
        <x:f>'Assumptions'!$D$20*'Assumptions'!$D$6*(1+'Assumptions'!$D$90)^(((I$7+I$8)/2-46304)/365)</x:f>
        <x:v>16353.237108587706</x:v>
      </x:c>
      <x:c r="J35" s="34" t="n">
        <x:f>'Assumptions'!$D$20*'Assumptions'!$D$6*(1+'Assumptions'!$D$90)^(((J$7+J$8)/2-46304)/365)</x:f>
        <x:v>16434.620013883894</x:v>
      </x:c>
      <x:c r="K35" s="34" t="n">
        <x:f>'Assumptions'!$D$20*'Assumptions'!$D$6*(1+'Assumptions'!$D$90)^(((K$7+K$8)/2-46304)/365)</x:f>
        <x:v>16515.959893638756</x:v>
      </x:c>
      <x:c r="L35" s="34" t="n">
        <x:f>'Assumptions'!$D$20*'Assumptions'!$D$6*(1+'Assumptions'!$D$90)^(((L$7+L$8)/2-46304)/365)</x:f>
        <x:v>16598.152599032463</x:v>
      </x:c>
      <x:c r="M35" s="34" t="n">
        <x:f>'Assumptions'!$D$20*'Assumptions'!$D$6*(1+'Assumptions'!$D$90)^(((M$7+M$8)/2-46304)/365)</x:f>
        <x:v>16681.206844626</x:v>
      </x:c>
      <x:c r="N35" s="34" t="n">
        <x:f>'Assumptions'!$D$20*'Assumptions'!$D$6*(1+'Assumptions'!$D$90)^(((N$7+N$8)/2-46304)/365)</x:f>
        <x:v>16763.767156806116</x:v>
      </x:c>
      <x:c r="O35" s="34" t="n">
        <x:f>'Assumptions'!$D$20*'Assumptions'!$D$6*(1+'Assumptions'!$D$90)^(((O$7+O$8)/2-46304)/365)</x:f>
        <x:v>16846.27909151153</x:v>
      </x:c>
      <x:c r="P35" s="34" t="n">
        <x:f>'Assumptions'!$D$20*'Assumptions'!$D$6*(1+'Assumptions'!$D$90)^(((P$7+P$8)/2-46304)/365)</x:f>
        <x:v>16930.11565101311</x:v>
      </x:c>
      <x:c r="Q35" s="34" t="n">
        <x:f>'Assumptions'!$D$20*'Assumptions'!$D$6*(1+'Assumptions'!$D$90)^(((Q$7+Q$8)/2-46304)/365)</x:f>
        <x:v>17141.30442602139</x:v>
      </x:c>
      <x:c r="R35" s="34" t="n">
        <x:f>'Assumptions'!$D$20*'Assumptions'!$D$6*(1+'Assumptions'!$D$90)^(((R$7+R$8)/2-46304)/365)</x:f>
        <x:v>17484.13051454182</x:v>
      </x:c>
      <x:c r="S35" s="34" t="n">
        <x:f>'Assumptions'!$D$20*'Assumptions'!$D$6*(1+'Assumptions'!$D$90)^(((S$7+S$8)/2-46304)/365)</x:f>
        <x:v>17834.29690722257</x:v>
      </x:c>
      <x:c r="T35" s="34" t="n">
        <x:f>'Assumptions'!$D$20*'Assumptions'!$D$6*(1+'Assumptions'!$D$90)^(((T$7+T$8)/2-46304)/365)</x:f>
        <x:v>18191.4763167909</x:v>
      </x:c>
      <x:c r="U35" s="34" t="n">
        <x:f>'Assumptions'!$D$20*'Assumptions'!$D$6*(1+'Assumptions'!$D$90)^(((U$7+U$8)/2-46304)/365)</x:f>
        <x:v>18555.30584312672</x:v>
      </x:c>
      <x:c r="V35" s="34" t="n">
        <x:f>'Assumptions'!$D$20*'Assumptions'!$D$6*(1+'Assumptions'!$D$90)^(((V$7+V$8)/2-46304)/365)</x:f>
        <x:v>18926.411959989255</x:v>
      </x:c>
      <x:c r="W35" s="34" t="n">
        <x:f>'Assumptions'!$D$20*'Assumptions'!$D$6*(1+'Assumptions'!$D$90)^(((W$7+W$8)/2-46304)/365)</x:f>
        <x:v>19305.46388921772</x:v>
      </x:c>
      <x:c r="X35" s="34" t="n">
        <x:f>'Assumptions'!$D$20*'Assumptions'!$D$6*(1+'Assumptions'!$D$90)^(((X$7+X$8)/2-46304)/365)</x:f>
        <x:v>19692.107345321725</x:v>
      </x:c>
      <x:c r="Y35" s="34" t="n">
        <x:f>'Assumptions'!$D$20*'Assumptions'!$D$6*(1+'Assumptions'!$D$90)^(((Y$7+Y$8)/2-46304)/365)</x:f>
        <x:v>20085.94949222816</x:v>
      </x:c>
      <x:c r="Z35" s="34" t="n">
        <x:f>'Assumptions'!$D$20*'Assumptions'!$D$6*(1+'Assumptions'!$D$90)^(((Z$7+Z$8)/2-46304)/365)</x:f>
        <x:v>20487.668482072724</x:v>
      </x:c>
      <x:c r="AA35" s="34" t="n">
        <x:f>'Assumptions'!$D$20*'Assumptions'!$D$6*(1+'Assumptions'!$D$90)^(((AA$7+AA$8)/2-46304)/365)</x:f>
        <x:v>20897.98874139816</x:v>
      </x:c>
      <x:c r="AB35" s="34" t="n">
        <x:f>'Assumptions'!$D$20*'Assumptions'!$D$6*(1+'Assumptions'!$D$90)^(((AB$7+AB$8)/2-46304)/365)</x:f>
        <x:v>21316.52675938951</x:v>
      </x:c>
      <x:c r="AC35" s="34" t="n">
        <x:f>'Assumptions'!$D$20*'Assumptions'!$D$6*(1+'Assumptions'!$D$90)^(((AC$7+AC$8)/2-46304)/365)</x:f>
        <x:v>21742.8572945773</x:v>
      </x:c>
      <x:c r="AD35" s="34" t="n">
        <x:f>'Assumptions'!$D$20*'Assumptions'!$D$6*(1+'Assumptions'!$D$90)^(((AD$7+AD$8)/2-46304)/365)</x:f>
        <x:v>22177.714440468848</x:v>
      </x:c>
      <x:c r="AE35" s="34" t="n">
        <x:f>'Assumptions'!$D$20*'Assumptions'!$D$6*(1+'Assumptions'!$D$90)^(((AE$7+AE$8)/2-46304)/365)</x:f>
        <x:v>22621.882382195425</x:v>
      </x:c>
      <x:c r="AF35" s="34" t="n">
        <x:f>'Assumptions'!$D$20*'Assumptions'!$D$6*(1+'Assumptions'!$D$90)^(((AF$7+AF$8)/2-46304)/365)</x:f>
        <x:v>23074.945972794532</x:v>
      </x:c>
      <x:c r="AG35" s="34" t="n">
        <x:f>'Assumptions'!$D$20*'Assumptions'!$D$6*(1+'Assumptions'!$D$90)^(((AG$7+AG$8)/2-46304)/365)</x:f>
        <x:v>23536.44489225042</x:v>
      </x:c>
      <x:c r="AH35" s="34" t="n">
        <x:f>'Assumptions'!$D$20*'Assumptions'!$D$6*(1+'Assumptions'!$D$90)^(((AH$7+AH$8)/2-46304)/365)</x:f>
        <x:v>24007.17379009543</x:v>
      </x:c>
      <x:c r="AI35" s="34" t="n">
        <x:f>'Assumptions'!$D$20*'Assumptions'!$D$6*(1+'Assumptions'!$D$90)^(((AI$7+AI$8)/2-46304)/365)</x:f>
        <x:v>24487.981539588367</x:v>
      </x:c>
      <x:c r="AJ35" s="34" t="n">
        <x:f>'Assumptions'!$D$20*'Assumptions'!$D$6*(1+'Assumptions'!$D$90)^(((AJ$7+AJ$8)/2-46304)/365)</x:f>
        <x:v>24978.41874792531</x:v>
      </x:c>
      <x:c r="AK35" s="34" t="n">
        <x:f>'Assumptions'!$D$20*'Assumptions'!$D$6*(1+'Assumptions'!$D$90)^(((AK$7+AK$8)/2-46304)/365)</x:f>
        <x:v>25477.987122883813</x:v>
      </x:c>
      <x:c r="AL35" s="34" t="n">
        <x:f>'Assumptions'!$D$20*'Assumptions'!$D$6*(1+'Assumptions'!$D$90)^(((AL$7+AL$8)/2-46304)/365)</x:f>
        <x:v>25987.54686534149</x:v>
      </x:c>
      <x:c r="AM35" s="34" t="n">
        <x:f>'Assumptions'!$D$20*'Assumptions'!$D$6*(1+'Assumptions'!$D$90)^(((AM$7+AM$8)/2-46304)/365)</x:f>
        <x:v>26508.016872865748</x:v>
      </x:c>
      <x:c r="AN35" s="34" t="n">
        <x:f>'Assumptions'!$D$20*'Assumptions'!$D$6*(1+'Assumptions'!$D$90)^(((AN$7+AN$8)/2-46304)/365)</x:f>
        <x:v>27038.910681841367</x:v>
      </x:c>
      <x:c r="AO35" s="34" t="n">
        <x:f>'Assumptions'!$D$20*'Assumptions'!$D$6*(1+'Assumptions'!$D$90)^(((AO$7+AO$8)/2-46304)/365)</x:f>
        <x:v>27579.688895478197</x:v>
      </x:c>
      <x:c r="AP35" s="34" t="n">
        <x:f>'Assumptions'!$D$20*'Assumptions'!$D$6*(1+'Assumptions'!$D$90)^(((AP$7+AP$8)/2-46304)/365)</x:f>
        <x:v>28131.282673387763</x:v>
      </x:c>
      <x:c r="AQ35" s="34" t="n">
        <x:f>'Assumptions'!$D$20*'Assumptions'!$D$6*(1+'Assumptions'!$D$90)^(((AQ$7+AQ$8)/2-46304)/365)</x:f>
        <x:v>28694.686713813444</x:v>
      </x:c>
    </x:row>
    <x:row r="36" ht="21" customHeight="1">
      <x:c r="A36" s="2"/>
      <x:c r="B36" s="2"/>
      <x:c r="C36" s="2" t="str">
        <x:v>Fixed share</x:v>
      </x:c>
      <x:c r="D36" s="2"/>
      <x:c r="E36" s="43" t="n">
        <x:f>'Assumptions'!$D$140</x:f>
        <x:v>0</x:v>
      </x:c>
      <x:c r="F36" s="43" t="n">
        <x:f>'Assumptions'!$D$140</x:f>
        <x:v>0</x:v>
      </x:c>
      <x:c r="G36" s="43" t="n">
        <x:f>'Assumptions'!$D$140</x:f>
        <x:v>0</x:v>
      </x:c>
      <x:c r="H36" s="43" t="n">
        <x:f>'Assumptions'!$D$140</x:f>
        <x:v>0</x:v>
      </x:c>
      <x:c r="I36" s="43" t="n">
        <x:f>'Assumptions'!$D$140</x:f>
        <x:v>0</x:v>
      </x:c>
      <x:c r="J36" s="43" t="n">
        <x:f>'Assumptions'!$D$140</x:f>
        <x:v>0</x:v>
      </x:c>
      <x:c r="K36" s="43" t="n">
        <x:f>'Assumptions'!$D$140</x:f>
        <x:v>0</x:v>
      </x:c>
      <x:c r="L36" s="43" t="n">
        <x:f>'Assumptions'!$D$140</x:f>
        <x:v>0</x:v>
      </x:c>
      <x:c r="M36" s="43" t="n">
        <x:f>'Assumptions'!$D$140</x:f>
        <x:v>0</x:v>
      </x:c>
      <x:c r="N36" s="43" t="n">
        <x:f>'Assumptions'!$D$140</x:f>
        <x:v>0</x:v>
      </x:c>
      <x:c r="O36" s="43" t="n">
        <x:f>'Assumptions'!$D$140</x:f>
        <x:v>0</x:v>
      </x:c>
      <x:c r="P36" s="43" t="n">
        <x:f>'Assumptions'!$D$140</x:f>
        <x:v>0</x:v>
      </x:c>
      <x:c r="Q36" s="43" t="n">
        <x:f>'Assumptions'!$D$140</x:f>
        <x:v>0</x:v>
      </x:c>
      <x:c r="R36" s="43" t="n">
        <x:f>'Assumptions'!$D$140</x:f>
        <x:v>0</x:v>
      </x:c>
      <x:c r="S36" s="43" t="n">
        <x:f>'Assumptions'!$D$140</x:f>
        <x:v>0</x:v>
      </x:c>
      <x:c r="T36" s="43" t="n">
        <x:f>'Assumptions'!$D$140</x:f>
        <x:v>0</x:v>
      </x:c>
      <x:c r="U36" s="43" t="n">
        <x:f>'Assumptions'!$D$140</x:f>
        <x:v>0</x:v>
      </x:c>
      <x:c r="V36" s="43" t="n">
        <x:f>'Assumptions'!$D$140</x:f>
        <x:v>0</x:v>
      </x:c>
      <x:c r="W36" s="43" t="n">
        <x:f>'Assumptions'!$D$140</x:f>
        <x:v>0</x:v>
      </x:c>
      <x:c r="X36" s="43" t="n">
        <x:f>'Assumptions'!$D$140</x:f>
        <x:v>0</x:v>
      </x:c>
      <x:c r="Y36" s="43" t="n">
        <x:f>'Assumptions'!$D$140</x:f>
        <x:v>0</x:v>
      </x:c>
      <x:c r="Z36" s="43" t="n">
        <x:f>'Assumptions'!$D$140</x:f>
        <x:v>0</x:v>
      </x:c>
      <x:c r="AA36" s="43" t="n">
        <x:f>'Assumptions'!$D$140</x:f>
        <x:v>0</x:v>
      </x:c>
      <x:c r="AB36" s="43" t="n">
        <x:f>'Assumptions'!$D$140</x:f>
        <x:v>0</x:v>
      </x:c>
      <x:c r="AC36" s="43" t="n">
        <x:f>'Assumptions'!$D$140</x:f>
        <x:v>0</x:v>
      </x:c>
      <x:c r="AD36" s="43" t="n">
        <x:f>'Assumptions'!$D$140</x:f>
        <x:v>0</x:v>
      </x:c>
      <x:c r="AE36" s="43" t="n">
        <x:f>'Assumptions'!$D$140</x:f>
        <x:v>0</x:v>
      </x:c>
      <x:c r="AF36" s="43" t="n">
        <x:f>'Assumptions'!$D$140</x:f>
        <x:v>0</x:v>
      </x:c>
      <x:c r="AG36" s="43" t="n">
        <x:f>'Assumptions'!$D$140</x:f>
        <x:v>0</x:v>
      </x:c>
      <x:c r="AH36" s="43" t="n">
        <x:f>'Assumptions'!$D$140</x:f>
        <x:v>0</x:v>
      </x:c>
      <x:c r="AI36" s="43" t="n">
        <x:f>'Assumptions'!$D$140</x:f>
        <x:v>0</x:v>
      </x:c>
      <x:c r="AJ36" s="43" t="n">
        <x:f>'Assumptions'!$D$140</x:f>
        <x:v>0</x:v>
      </x:c>
      <x:c r="AK36" s="43" t="n">
        <x:f>'Assumptions'!$D$140</x:f>
        <x:v>0</x:v>
      </x:c>
      <x:c r="AL36" s="43" t="n">
        <x:f>'Assumptions'!$D$140</x:f>
        <x:v>0</x:v>
      </x:c>
      <x:c r="AM36" s="43" t="n">
        <x:f>'Assumptions'!$D$140</x:f>
        <x:v>0</x:v>
      </x:c>
      <x:c r="AN36" s="43" t="n">
        <x:f>'Assumptions'!$D$140</x:f>
        <x:v>0</x:v>
      </x:c>
      <x:c r="AO36" s="43" t="n">
        <x:f>'Assumptions'!$D$140</x:f>
        <x:v>0</x:v>
      </x:c>
      <x:c r="AP36" s="43" t="n">
        <x:f>'Assumptions'!$D$140</x:f>
        <x:v>0</x:v>
      </x:c>
      <x:c r="AQ36" s="43" t="n">
        <x:f>'Assumptions'!$D$140</x:f>
        <x:v>0</x:v>
      </x:c>
    </x:row>
    <x:row r="37" ht="21" customHeight="1">
      <x:c r="A37" s="2"/>
      <x:c r="B37" s="2"/>
      <x:c r="C37" s="2" t="str">
        <x:v>Fixed TCE (USD/day)</x:v>
      </x:c>
      <x:c r="D37" s="2"/>
      <x:c r="E37" s="34" t="n">
        <x:f>'Assumptions'!$D$145*(1+'Assumptions'!$D$90)^(((E$7+E$8)/2-46304)/365)</x:f>
        <x:v>18041.062618776043</x:v>
      </x:c>
      <x:c r="F37" s="34" t="n">
        <x:f>'Assumptions'!$D$145*(1+'Assumptions'!$D$90)^(((F$7+F$8)/2-46304)/365)</x:f>
        <x:v>18125.927426311217</x:v>
      </x:c>
      <x:c r="G37" s="34" t="n">
        <x:f>'Assumptions'!$D$145*(1+'Assumptions'!$D$90)^(((G$7+G$8)/2-46304)/365)</x:f>
        <x:v>18215.143968529035</x:v>
      </x:c>
      <x:c r="H37" s="34" t="n">
        <x:f>'Assumptions'!$D$145*(1+'Assumptions'!$D$90)^(((H$7+H$8)/2-46304)/365)</x:f>
        <x:v>18305.79276954035</x:v>
      </x:c>
      <x:c r="I37" s="34" t="n">
        <x:f>'Assumptions'!$D$145*(1+'Assumptions'!$D$90)^(((I$7+I$8)/2-46304)/365)</x:f>
        <x:v>18397.391747161168</x:v>
      </x:c>
      <x:c r="J37" s="34" t="n">
        <x:f>'Assumptions'!$D$145*(1+'Assumptions'!$D$90)^(((J$7+J$8)/2-46304)/365)</x:f>
        <x:v>18488.94751561938</x:v>
      </x:c>
      <x:c r="K37" s="34" t="n">
        <x:f>'Assumptions'!$D$145*(1+'Assumptions'!$D$90)^(((K$7+K$8)/2-46304)/365)</x:f>
        <x:v>18580.454880343597</x:v>
      </x:c>
      <x:c r="L37" s="34" t="n">
        <x:f>'Assumptions'!$D$145*(1+'Assumptions'!$D$90)^(((L$7+L$8)/2-46304)/365)</x:f>
        <x:v>18672.92167391152</x:v>
      </x:c>
      <x:c r="M37" s="34" t="n">
        <x:f>'Assumptions'!$D$145*(1+'Assumptions'!$D$90)^(((M$7+M$8)/2-46304)/365)</x:f>
        <x:v>18766.357700204248</x:v>
      </x:c>
      <x:c r="N37" s="34" t="n">
        <x:f>'Assumptions'!$D$145*(1+'Assumptions'!$D$90)^(((N$7+N$8)/2-46304)/365)</x:f>
        <x:v>18859.23805140688</x:v>
      </x:c>
      <x:c r="O37" s="34" t="n">
        <x:f>'Assumptions'!$D$145*(1+'Assumptions'!$D$90)^(((O$7+O$8)/2-46304)/365)</x:f>
        <x:v>18952.06397795047</x:v>
      </x:c>
      <x:c r="P37" s="34" t="n">
        <x:f>'Assumptions'!$D$145*(1+'Assumptions'!$D$90)^(((P$7+P$8)/2-46304)/365)</x:f>
        <x:v>19046.38010738975</x:v>
      </x:c>
      <x:c r="Q37" s="34" t="n">
        <x:f>'Assumptions'!$D$145*(1+'Assumptions'!$D$90)^(((Q$7+Q$8)/2-46304)/365)</x:f>
        <x:v>19283.967479274062</x:v>
      </x:c>
      <x:c r="R37" s="34" t="n">
        <x:f>'Assumptions'!$D$145*(1+'Assumptions'!$D$90)^(((R$7+R$8)/2-46304)/365)</x:f>
        <x:v>19669.646828859546</x:v>
      </x:c>
      <x:c r="S37" s="34" t="n">
        <x:f>'Assumptions'!$D$145*(1+'Assumptions'!$D$90)^(((S$7+S$8)/2-46304)/365)</x:f>
        <x:v>20063.584020625396</x:v>
      </x:c>
      <x:c r="T37" s="34" t="n">
        <x:f>'Assumptions'!$D$145*(1+'Assumptions'!$D$90)^(((T$7+T$8)/2-46304)/365)</x:f>
        <x:v>20465.410856389764</x:v>
      </x:c>
      <x:c r="U37" s="34" t="n">
        <x:f>'Assumptions'!$D$145*(1+'Assumptions'!$D$90)^(((U$7+U$8)/2-46304)/365)</x:f>
        <x:v>20874.71907351756</x:v>
      </x:c>
      <x:c r="V37" s="34" t="n">
        <x:f>'Assumptions'!$D$145*(1+'Assumptions'!$D$90)^(((V$7+V$8)/2-46304)/365)</x:f>
        <x:v>21292.213454987912</x:v>
      </x:c>
      <x:c r="W37" s="34" t="n">
        <x:f>'Assumptions'!$D$145*(1+'Assumptions'!$D$90)^(((W$7+W$8)/2-46304)/365)</x:f>
        <x:v>21718.646875369934</x:v>
      </x:c>
      <x:c r="X37" s="34" t="n">
        <x:f>'Assumptions'!$D$145*(1+'Assumptions'!$D$90)^(((X$7+X$8)/2-46304)/365)</x:f>
        <x:v>22153.62076348694</x:v>
      </x:c>
      <x:c r="Y37" s="34" t="n">
        <x:f>'Assumptions'!$D$145*(1+'Assumptions'!$D$90)^(((Y$7+Y$8)/2-46304)/365)</x:f>
        <x:v>22596.69317875668</x:v>
      </x:c>
      <x:c r="Z37" s="34" t="n">
        <x:f>'Assumptions'!$D$145*(1+'Assumptions'!$D$90)^(((Z$7+Z$8)/2-46304)/365)</x:f>
        <x:v>23048.627042331816</x:v>
      </x:c>
      <x:c r="AA37" s="34" t="n">
        <x:f>'Assumptions'!$D$145*(1+'Assumptions'!$D$90)^(((AA$7+AA$8)/2-46304)/365)</x:f>
        <x:v>23510.23733407293</x:v>
      </x:c>
      <x:c r="AB37" s="34" t="n">
        <x:f>'Assumptions'!$D$145*(1+'Assumptions'!$D$90)^(((AB$7+AB$8)/2-46304)/365)</x:f>
        <x:v>23981.0926043132</x:v>
      </x:c>
      <x:c r="AC37" s="34" t="n">
        <x:f>'Assumptions'!$D$145*(1+'Assumptions'!$D$90)^(((AC$7+AC$8)/2-46304)/365)</x:f>
        <x:v>24460.714456399466</x:v>
      </x:c>
      <x:c r="AD37" s="34" t="n">
        <x:f>'Assumptions'!$D$145*(1+'Assumptions'!$D$90)^(((AD$7+AD$8)/2-46304)/365)</x:f>
        <x:v>24949.928745527453</x:v>
      </x:c>
      <x:c r="AE37" s="34" t="n">
        <x:f>'Assumptions'!$D$145*(1+'Assumptions'!$D$90)^(((AE$7+AE$8)/2-46304)/365)</x:f>
        <x:v>25449.61767996985</x:v>
      </x:c>
      <x:c r="AF37" s="34" t="n">
        <x:f>'Assumptions'!$D$145*(1+'Assumptions'!$D$90)^(((AF$7+AF$8)/2-46304)/365)</x:f>
        <x:v>25959.314219393847</x:v>
      </x:c>
      <x:c r="AG37" s="34" t="n">
        <x:f>'Assumptions'!$D$145*(1+'Assumptions'!$D$90)^(((AG$7+AG$8)/2-46304)/365)</x:f>
        <x:v>26478.50050378172</x:v>
      </x:c>
      <x:c r="AH37" s="34" t="n">
        <x:f>'Assumptions'!$D$145*(1+'Assumptions'!$D$90)^(((AH$7+AH$8)/2-46304)/365)</x:f>
        <x:v>27008.070513857358</x:v>
      </x:c>
      <x:c r="AI37" s="34" t="n">
        <x:f>'Assumptions'!$D$145*(1+'Assumptions'!$D$90)^(((AI$7+AI$8)/2-46304)/365)</x:f>
        <x:v>27548.979232036912</x:v>
      </x:c>
      <x:c r="AJ37" s="34" t="n">
        <x:f>'Assumptions'!$D$145*(1+'Assumptions'!$D$90)^(((AJ$7+AJ$8)/2-46304)/365)</x:f>
        <x:v>28100.72109141597</x:v>
      </x:c>
      <x:c r="AK37" s="34" t="n">
        <x:f>'Assumptions'!$D$145*(1+'Assumptions'!$D$90)^(((AK$7+AK$8)/2-46304)/365)</x:f>
        <x:v>28662.73551324429</x:v>
      </x:c>
      <x:c r="AL37" s="34" t="n">
        <x:f>'Assumptions'!$D$145*(1+'Assumptions'!$D$90)^(((AL$7+AL$8)/2-46304)/365)</x:f>
        <x:v>29235.990223509176</x:v>
      </x:c>
      <x:c r="AM37" s="34" t="n">
        <x:f>'Assumptions'!$D$145*(1+'Assumptions'!$D$90)^(((AM$7+AM$8)/2-46304)/365)</x:f>
        <x:v>29821.518981973968</x:v>
      </x:c>
      <x:c r="AN37" s="34" t="n">
        <x:f>'Assumptions'!$D$145*(1+'Assumptions'!$D$90)^(((AN$7+AN$8)/2-46304)/365)</x:f>
        <x:v>30418.77451707154</x:v>
      </x:c>
      <x:c r="AO37" s="34" t="n">
        <x:f>'Assumptions'!$D$145*(1+'Assumptions'!$D$90)^(((AO$7+AO$8)/2-46304)/365)</x:f>
        <x:v>31027.15000741297</x:v>
      </x:c>
      <x:c r="AP37" s="34" t="n">
        <x:f>'Assumptions'!$D$145*(1+'Assumptions'!$D$90)^(((AP$7+AP$8)/2-46304)/365)</x:f>
        <x:v>31647.693007561233</x:v>
      </x:c>
      <x:c r="AQ37" s="34" t="n">
        <x:f>'Assumptions'!$D$145*(1+'Assumptions'!$D$90)^(((AQ$7+AQ$8)/2-46304)/365)</x:f>
        <x:v>32281.522553040122</x:v>
      </x:c>
    </x:row>
    <x:row r="38" ht="21" customHeight="1">
      <x:c r="A38" s="2"/>
      <x:c r="B38" s="2"/>
      <x:c r="C38" s="2" t="str">
        <x:v>TCE cash revenue</x:v>
      </x:c>
      <x:c r="D38" s="2"/>
      <x:c r="E38" s="39" t="n">
        <x:f>E34*((1-E36)*E35+E36*E37)</x:f>
        <x:v>8851346.233274164</x:v>
      </x:c>
      <x:c r="F38" s="39" t="n">
        <x:f>F34*((1-F36)*F35+F36*F37)</x:f>
        <x:v>9642993.390797567</x:v>
      </x:c>
      <x:c r="G38" s="39" t="n">
        <x:f>G34*((1-G36)*G35+G36*G37)</x:f>
        <x:v>9798128.331160307</x:v>
      </x:c>
      <x:c r="H38" s="39" t="n">
        <x:f>H34*((1-H36)*H35+H36*H37)</x:f>
        <x:v>9955096.90347092</x:v>
      </x:c>
      <x:c r="I38" s="39" t="n">
        <x:f>I34*((1-I36)*I35+I36*I37)</x:f>
        <x:v>10004910.463033957</x:v>
      </x:c>
      <x:c r="J38" s="39" t="n">
        <x:f>J34*((1-J36)*J35+J36*J37)</x:f>
        <x:v>9945410.301401839</x:v>
      </x:c>
      <x:c r="K38" s="39" t="n">
        <x:f>K34*((1-K36)*K35+K36*K37)</x:f>
        <x:v>9994633.129635492</x:v>
      </x:c>
      <x:c r="L38" s="39" t="n">
        <x:f>L34*((1-L36)*L35+L36*L37)</x:f>
        <x:v>10154749.76008806</x:v>
      </x:c>
      <x:c r="M38" s="39" t="n">
        <x:f>M34*((1-M36)*M35+M36*M37)</x:f>
        <x:v>10205562.347542185</x:v>
      </x:c>
      <x:c r="N38" s="39" t="n">
        <x:f>N34*((1-N36)*N35+N36*N37)</x:f>
        <x:v>10033114.643348461</x:v>
      </x:c>
      <x:c r="O38" s="39" t="n">
        <x:f>O34*((1-O36)*O35+O36*O37)</x:f>
        <x:v>10194525.792228201</x:v>
      </x:c>
      <x:c r="P38" s="39" t="n">
        <x:f>P34*((1-P36)*P35+P36*P37)</x:f>
        <x:v>10357844.755289821</x:v>
      </x:c>
      <x:c r="Q38" s="39" t="n">
        <x:f>Q34*((1-Q36)*Q35+Q36*Q37)</x:f>
        <x:v>41606231.16806042</x:v>
      </x:c>
      <x:c r="R38" s="39" t="n">
        <x:f>R34*((1-R36)*R35+R36*R37)</x:f>
        <x:v>42438355.79142163</x:v>
      </x:c>
      <x:c r="S38" s="39" t="n">
        <x:f>S34*((1-S36)*S35+S36*S37)</x:f>
        <x:v>43406895.24248902</x:v>
      </x:c>
      <x:c r="T38" s="39" t="n">
        <x:f>T34*((1-T36)*T35+T36*T37)</x:f>
        <x:v>44155260.88993071</x:v>
      </x:c>
      <x:c r="U38" s="39" t="n">
        <x:f>U34*((1-U36)*U35+U36*U37)</x:f>
        <x:v>45038366.10772933</x:v>
      </x:c>
      <x:c r="V38" s="39" t="n">
        <x:f>V34*((1-V36)*V35+V36*V37)</x:f>
        <x:v>42630796.61927779</x:v>
      </x:c>
      <x:c r="W38" s="39" t="n">
        <x:f>W34*((1-W36)*W35+W36*W37)</x:f>
        <x:v>25126061.251816865</x:v>
      </x:c>
      <x:c r="X38" s="39" t="n">
        <x:f>X34*((1-X36)*X35+X36*X37)</x:f>
        <x:v>0</x:v>
      </x:c>
      <x:c r="Y38" s="39" t="n">
        <x:f>Y34*((1-Y36)*Y35+Y36*Y37)</x:f>
        <x:v>0</x:v>
      </x:c>
      <x:c r="Z38" s="39" t="n">
        <x:f>Z34*((1-Z36)*Z35+Z36*Z37)</x:f>
        <x:v>0</x:v>
      </x:c>
      <x:c r="AA38" s="39" t="n">
        <x:f>AA34*((1-AA36)*AA35+AA36*AA37)</x:f>
        <x:v>0</x:v>
      </x:c>
      <x:c r="AB38" s="39" t="n">
        <x:f>AB34*((1-AB36)*AB35+AB36*AB37)</x:f>
        <x:v>0</x:v>
      </x:c>
      <x:c r="AC38" s="39" t="n">
        <x:f>AC34*((1-AC36)*AC35+AC36*AC37)</x:f>
        <x:v>0</x:v>
      </x:c>
      <x:c r="AD38" s="39" t="n">
        <x:f>AD34*((1-AD36)*AD35+AD36*AD37)</x:f>
        <x:v>0</x:v>
      </x:c>
      <x:c r="AE38" s="39" t="n">
        <x:f>AE34*((1-AE36)*AE35+AE36*AE37)</x:f>
        <x:v>0</x:v>
      </x:c>
      <x:c r="AF38" s="39" t="n">
        <x:f>AF34*((1-AF36)*AF35+AF36*AF37)</x:f>
        <x:v>0</x:v>
      </x:c>
      <x:c r="AG38" s="39" t="n">
        <x:f>AG34*((1-AG36)*AG35+AG36*AG37)</x:f>
        <x:v>0</x:v>
      </x:c>
      <x:c r="AH38" s="39" t="n">
        <x:f>AH34*((1-AH36)*AH35+AH36*AH37)</x:f>
        <x:v>0</x:v>
      </x:c>
      <x:c r="AI38" s="39" t="n">
        <x:f>AI34*((1-AI36)*AI35+AI36*AI37)</x:f>
        <x:v>0</x:v>
      </x:c>
      <x:c r="AJ38" s="39" t="n">
        <x:f>AJ34*((1-AJ36)*AJ35+AJ36*AJ37)</x:f>
        <x:v>0</x:v>
      </x:c>
      <x:c r="AK38" s="39" t="n">
        <x:f>AK34*((1-AK36)*AK35+AK36*AK37)</x:f>
        <x:v>0</x:v>
      </x:c>
      <x:c r="AL38" s="39" t="n">
        <x:f>AL34*((1-AL36)*AL35+AL36*AL37)</x:f>
        <x:v>0</x:v>
      </x:c>
      <x:c r="AM38" s="39" t="n">
        <x:f>AM34*((1-AM36)*AM35+AM36*AM37)</x:f>
        <x:v>0</x:v>
      </x:c>
      <x:c r="AN38" s="39" t="n">
        <x:f>AN34*((1-AN36)*AN35+AN36*AN37)</x:f>
        <x:v>0</x:v>
      </x:c>
      <x:c r="AO38" s="39" t="n">
        <x:f>AO34*((1-AO36)*AO35+AO36*AO37)</x:f>
        <x:v>0</x:v>
      </x:c>
      <x:c r="AP38" s="39" t="n">
        <x:f>AP34*((1-AP36)*AP35+AP36*AP37)</x:f>
        <x:v>0</x:v>
      </x:c>
      <x:c r="AQ38" s="39" t="n">
        <x:f>AQ34*((1-AQ36)*AQ35+AQ36*AQ37)</x:f>
        <x:v>0</x:v>
      </x:c>
    </x:row>
    <x:row r="39" ht="21" customHeight="1">
      <x:c r="A39" s="2"/>
      <x:c r="B39" s="2"/>
      <x:c r="C39" s="2" t="str">
        <x:v>Vessel operating cost</x:v>
      </x:c>
      <x:c r="D39" s="2"/>
      <x:c r="E39" s="37" t="n">
        <x:f>E33*'Assumptions'!$D$60*(1+'Assumptions'!$D$90)^(((E$7+E$8)/2-46304)/365)</x:f>
        <x:v>3086324.6734442813</x:v>
      </x:c>
      <x:c r="F39" s="37" t="n">
        <x:f>F33*'Assumptions'!$D$60*(1+'Assumptions'!$D$90)^(((F$7+F$8)/2-46304)/365)</x:f>
        <x:v>3362359.5375807304</x:v>
      </x:c>
      <x:c r="G39" s="37" t="n">
        <x:f>G33*'Assumptions'!$D$60*(1+'Assumptions'!$D$90)^(((G$7+G$8)/2-46304)/365)</x:f>
        <x:v>3416452.64178616</x:v>
      </x:c>
      <x:c r="H39" s="37" t="n">
        <x:f>H33*'Assumptions'!$D$60*(1+'Assumptions'!$D$90)^(((H$7+H$8)/2-46304)/365)</x:f>
        <x:v>3471185.104499729</x:v>
      </x:c>
      <x:c r="I39" s="37" t="n">
        <x:f>I33*'Assumptions'!$D$60*(1+'Assumptions'!$D$90)^(((I$7+I$8)/2-46304)/365)</x:f>
        <x:v>3488554.3061894723</x:v>
      </x:c>
      <x:c r="J39" s="37" t="n">
        <x:f>J33*'Assumptions'!$D$60*(1+'Assumptions'!$D$90)^(((J$7+J$8)/2-46304)/365)</x:f>
        <x:v>3467807.5393045885</x:v>
      </x:c>
      <x:c r="K39" s="37" t="n">
        <x:f>K33*'Assumptions'!$D$60*(1+'Assumptions'!$D$90)^(((K$7+K$8)/2-46304)/365)</x:f>
        <x:v>3484970.7623071126</x:v>
      </x:c>
      <x:c r="L39" s="37" t="n">
        <x:f>L33*'Assumptions'!$D$60*(1+'Assumptions'!$D$90)^(((L$7+L$8)/2-46304)/365)</x:f>
        <x:v>3540800.9031886</x:v>
      </x:c>
      <x:c r="M39" s="37" t="n">
        <x:f>M33*'Assumptions'!$D$60*(1+'Assumptions'!$D$90)^(((M$7+M$8)/2-46304)/365)</x:f>
        <x:v>3558518.450129841</x:v>
      </x:c>
      <x:c r="N39" s="37" t="n">
        <x:f>N33*'Assumptions'!$D$60*(1+'Assumptions'!$D$90)^(((N$7+N$8)/2-46304)/365)</x:f>
        <x:v>3498388.658535976</x:v>
      </x:c>
      <x:c r="O39" s="37" t="n">
        <x:f>O33*'Assumptions'!$D$60*(1+'Assumptions'!$D$90)^(((O$7+O$8)/2-46304)/365)</x:f>
        <x:v>3554670.1775532546</x:v>
      </x:c>
      <x:c r="P39" s="37" t="n">
        <x:f>P33*'Assumptions'!$D$60*(1+'Assumptions'!$D$90)^(((P$7+P$8)/2-46304)/365)</x:f>
        <x:v>3611616.9212523717</x:v>
      </x:c>
      <x:c r="Q39" s="37" t="n">
        <x:f>Q33*'Assumptions'!$D$60*(1+'Assumptions'!$D$90)^(((Q$7+Q$8)/2-46304)/365)</x:f>
        <x:v>14507435.86781054</x:v>
      </x:c>
      <x:c r="R39" s="37" t="n">
        <x:f>R33*'Assumptions'!$D$60*(1+'Assumptions'!$D$90)^(((R$7+R$8)/2-46304)/365)</x:f>
        <x:v>14797584.58516675</x:v>
      </x:c>
      <x:c r="S39" s="37" t="n">
        <x:f>S33*'Assumptions'!$D$60*(1+'Assumptions'!$D$90)^(((S$7+S$8)/2-46304)/365)</x:f>
        <x:v>15135298.999025777</x:v>
      </x:c>
      <x:c r="T39" s="37" t="n">
        <x:f>T33*'Assumptions'!$D$60*(1+'Assumptions'!$D$90)^(((T$7+T$8)/2-46304)/365)</x:f>
        <x:v>15396242.283989</x:v>
      </x:c>
      <x:c r="U39" s="37" t="n">
        <x:f>U33*'Assumptions'!$D$60*(1+'Assumptions'!$D$90)^(((U$7+U$8)/2-46304)/365)</x:f>
        <x:v>15704167.129668782</x:v>
      </x:c>
      <x:c r="V39" s="37" t="n">
        <x:f>V33*'Assumptions'!$D$60*(1+'Assumptions'!$D$90)^(((V$7+V$8)/2-46304)/365)</x:f>
        <x:v>14864685.663300812</x:v>
      </x:c>
      <x:c r="W39" s="37" t="n">
        <x:f>W33*'Assumptions'!$D$60*(1+'Assumptions'!$D$90)^(((W$7+W$8)/2-46304)/365)</x:f>
        <x:v>8761060.831225617</x:v>
      </x:c>
      <x:c r="X39" s="37" t="n">
        <x:f>X33*'Assumptions'!$D$60*(1+'Assumptions'!$D$90)^(((X$7+X$8)/2-46304)/365)</x:f>
        <x:v>0</x:v>
      </x:c>
      <x:c r="Y39" s="37" t="n">
        <x:f>Y33*'Assumptions'!$D$60*(1+'Assumptions'!$D$90)^(((Y$7+Y$8)/2-46304)/365)</x:f>
        <x:v>0</x:v>
      </x:c>
      <x:c r="Z39" s="37" t="n">
        <x:f>Z33*'Assumptions'!$D$60*(1+'Assumptions'!$D$90)^(((Z$7+Z$8)/2-46304)/365)</x:f>
        <x:v>0</x:v>
      </x:c>
      <x:c r="AA39" s="37" t="n">
        <x:f>AA33*'Assumptions'!$D$60*(1+'Assumptions'!$D$90)^(((AA$7+AA$8)/2-46304)/365)</x:f>
        <x:v>0</x:v>
      </x:c>
      <x:c r="AB39" s="37" t="n">
        <x:f>AB33*'Assumptions'!$D$60*(1+'Assumptions'!$D$90)^(((AB$7+AB$8)/2-46304)/365)</x:f>
        <x:v>0</x:v>
      </x:c>
      <x:c r="AC39" s="37" t="n">
        <x:f>AC33*'Assumptions'!$D$60*(1+'Assumptions'!$D$90)^(((AC$7+AC$8)/2-46304)/365)</x:f>
        <x:v>0</x:v>
      </x:c>
      <x:c r="AD39" s="37" t="n">
        <x:f>AD33*'Assumptions'!$D$60*(1+'Assumptions'!$D$90)^(((AD$7+AD$8)/2-46304)/365)</x:f>
        <x:v>0</x:v>
      </x:c>
      <x:c r="AE39" s="37" t="n">
        <x:f>AE33*'Assumptions'!$D$60*(1+'Assumptions'!$D$90)^(((AE$7+AE$8)/2-46304)/365)</x:f>
        <x:v>0</x:v>
      </x:c>
      <x:c r="AF39" s="37" t="n">
        <x:f>AF33*'Assumptions'!$D$60*(1+'Assumptions'!$D$90)^(((AF$7+AF$8)/2-46304)/365)</x:f>
        <x:v>0</x:v>
      </x:c>
      <x:c r="AG39" s="37" t="n">
        <x:f>AG33*'Assumptions'!$D$60*(1+'Assumptions'!$D$90)^(((AG$7+AG$8)/2-46304)/365)</x:f>
        <x:v>0</x:v>
      </x:c>
      <x:c r="AH39" s="37" t="n">
        <x:f>AH33*'Assumptions'!$D$60*(1+'Assumptions'!$D$90)^(((AH$7+AH$8)/2-46304)/365)</x:f>
        <x:v>0</x:v>
      </x:c>
      <x:c r="AI39" s="37" t="n">
        <x:f>AI33*'Assumptions'!$D$60*(1+'Assumptions'!$D$90)^(((AI$7+AI$8)/2-46304)/365)</x:f>
        <x:v>0</x:v>
      </x:c>
      <x:c r="AJ39" s="37" t="n">
        <x:f>AJ33*'Assumptions'!$D$60*(1+'Assumptions'!$D$90)^(((AJ$7+AJ$8)/2-46304)/365)</x:f>
        <x:v>0</x:v>
      </x:c>
      <x:c r="AK39" s="37" t="n">
        <x:f>AK33*'Assumptions'!$D$60*(1+'Assumptions'!$D$90)^(((AK$7+AK$8)/2-46304)/365)</x:f>
        <x:v>0</x:v>
      </x:c>
      <x:c r="AL39" s="37" t="n">
        <x:f>AL33*'Assumptions'!$D$60*(1+'Assumptions'!$D$90)^(((AL$7+AL$8)/2-46304)/365)</x:f>
        <x:v>0</x:v>
      </x:c>
      <x:c r="AM39" s="37" t="n">
        <x:f>AM33*'Assumptions'!$D$60*(1+'Assumptions'!$D$90)^(((AM$7+AM$8)/2-46304)/365)</x:f>
        <x:v>0</x:v>
      </x:c>
      <x:c r="AN39" s="37" t="n">
        <x:f>AN33*'Assumptions'!$D$60*(1+'Assumptions'!$D$90)^(((AN$7+AN$8)/2-46304)/365)</x:f>
        <x:v>0</x:v>
      </x:c>
      <x:c r="AO39" s="37" t="n">
        <x:f>AO33*'Assumptions'!$D$60*(1+'Assumptions'!$D$90)^(((AO$7+AO$8)/2-46304)/365)</x:f>
        <x:v>0</x:v>
      </x:c>
      <x:c r="AP39" s="37" t="n">
        <x:f>AP33*'Assumptions'!$D$60*(1+'Assumptions'!$D$90)^(((AP$7+AP$8)/2-46304)/365)</x:f>
        <x:v>0</x:v>
      </x:c>
      <x:c r="AQ39" s="37" t="n">
        <x:f>AQ33*'Assumptions'!$D$60*(1+'Assumptions'!$D$90)^(((AQ$7+AQ$8)/2-46304)/365)</x:f>
        <x:v>0</x:v>
      </x:c>
    </x:row>
    <x:row r="40" ht="21" customHeight="1">
      <x:c r="A40" s="2"/>
      <x:c r="B40" s="2"/>
      <x:c r="C40" s="2" t="str">
        <x:v>Management fees</x:v>
      </x:c>
      <x:c r="D40" s="2"/>
      <x:c r="E40" s="37" t="n">
        <x:f>E33*'Assumptions'!$D$65*(1+'Assumptions'!$D$90)^(((E$7+E$8)/2-46304)/365)</x:f>
        <x:v>267869.68863856024</x:v>
      </x:c>
      <x:c r="F40" s="37" t="n">
        <x:f>F33*'Assumptions'!$D$65*(1+'Assumptions'!$D$90)^(((F$7+F$8)/2-46304)/365)</x:f>
        <x:v>291827.43156361056</x:v>
      </x:c>
      <x:c r="G40" s="37" t="n">
        <x:f>G33*'Assumptions'!$D$65*(1+'Assumptions'!$D$90)^(((G$7+G$8)/2-46304)/365)</x:f>
        <x:v>296522.3047587988</x:v>
      </x:c>
      <x:c r="H40" s="37" t="n">
        <x:f>H33*'Assumptions'!$D$65*(1+'Assumptions'!$D$90)^(((H$7+H$8)/2-46304)/365)</x:f>
        <x:v>301272.6694471463</x:v>
      </x:c>
      <x:c r="I40" s="37" t="n">
        <x:f>I33*'Assumptions'!$D$65*(1+'Assumptions'!$D$90)^(((I$7+I$8)/2-46304)/365)</x:f>
        <x:v>302780.18506550137</x:v>
      </x:c>
      <x:c r="J40" s="37" t="n">
        <x:f>J33*'Assumptions'!$D$65*(1+'Assumptions'!$D$90)^(((J$7+J$8)/2-46304)/365)</x:f>
        <x:v>300979.52227926615</x:v>
      </x:c>
      <x:c r="K40" s="37" t="n">
        <x:f>K33*'Assumptions'!$D$65*(1+'Assumptions'!$D$90)^(((K$7+K$8)/2-46304)/365)</x:f>
        <x:v>302469.16050212673</x:v>
      </x:c>
      <x:c r="L40" s="37" t="n">
        <x:f>L33*'Assumptions'!$D$65*(1+'Assumptions'!$D$90)^(((L$7+L$8)/2-46304)/365)</x:f>
        <x:v>307314.79537108605</x:v>
      </x:c>
      <x:c r="M40" s="37" t="n">
        <x:f>M33*'Assumptions'!$D$65*(1+'Assumptions'!$D$90)^(((M$7+M$8)/2-46304)/365)</x:f>
        <x:v>308852.54472825036</x:v>
      </x:c>
      <x:c r="N40" s="37" t="n">
        <x:f>N33*'Assumptions'!$D$65*(1+'Assumptions'!$D$90)^(((N$7+N$8)/2-46304)/365)</x:f>
        <x:v>303633.7326276507</x:v>
      </x:c>
      <x:c r="O40" s="37" t="n">
        <x:f>O33*'Assumptions'!$D$65*(1+'Assumptions'!$D$90)^(((O$7+O$8)/2-46304)/365)</x:f>
        <x:v>308518.5437121693</x:v>
      </x:c>
      <x:c r="P40" s="37" t="n">
        <x:f>P33*'Assumptions'!$D$65*(1+'Assumptions'!$D$90)^(((P$7+P$8)/2-46304)/365)</x:f>
        <x:v>313461.0912785077</x:v>
      </x:c>
      <x:c r="Q40" s="37" t="n">
        <x:f>Q33*'Assumptions'!$D$65*(1+'Assumptions'!$D$90)^(((Q$7+Q$8)/2-46304)/365)</x:f>
        <x:v>1259135.9432439336</x:v>
      </x:c>
      <x:c r="R40" s="37" t="n">
        <x:f>R33*'Assumptions'!$D$65*(1+'Assumptions'!$D$90)^(((R$7+R$8)/2-46304)/365)</x:f>
        <x:v>1284318.6621088125</x:v>
      </x:c>
      <x:c r="S40" s="37" t="n">
        <x:f>S33*'Assumptions'!$D$65*(1+'Assumptions'!$D$90)^(((S$7+S$8)/2-46304)/365)</x:f>
        <x:v>1313629.7244437467</x:v>
      </x:c>
      <x:c r="T40" s="37" t="n">
        <x:f>T33*'Assumptions'!$D$65*(1+'Assumptions'!$D$90)^(((T$7+T$8)/2-46304)/365)</x:f>
        <x:v>1336277.6321952716</x:v>
      </x:c>
      <x:c r="U40" s="37" t="n">
        <x:f>U33*'Assumptions'!$D$65*(1+'Assumptions'!$D$90)^(((U$7+U$8)/2-46304)/365)</x:f>
        <x:v>1363003.1848391772</x:v>
      </x:c>
      <x:c r="V40" s="37" t="n">
        <x:f>V33*'Assumptions'!$D$65*(1+'Assumptions'!$D$90)^(((V$7+V$8)/2-46304)/365)</x:f>
        <x:v>1290142.5292676177</x:v>
      </x:c>
      <x:c r="W40" s="37" t="n">
        <x:f>W33*'Assumptions'!$D$65*(1+'Assumptions'!$D$90)^(((W$7+W$8)/2-46304)/365)</x:f>
        <x:v>760393.9589365629</x:v>
      </x:c>
      <x:c r="X40" s="37" t="n">
        <x:f>X33*'Assumptions'!$D$65*(1+'Assumptions'!$D$90)^(((X$7+X$8)/2-46304)/365)</x:f>
        <x:v>0</x:v>
      </x:c>
      <x:c r="Y40" s="37" t="n">
        <x:f>Y33*'Assumptions'!$D$65*(1+'Assumptions'!$D$90)^(((Y$7+Y$8)/2-46304)/365)</x:f>
        <x:v>0</x:v>
      </x:c>
      <x:c r="Z40" s="37" t="n">
        <x:f>Z33*'Assumptions'!$D$65*(1+'Assumptions'!$D$90)^(((Z$7+Z$8)/2-46304)/365)</x:f>
        <x:v>0</x:v>
      </x:c>
      <x:c r="AA40" s="37" t="n">
        <x:f>AA33*'Assumptions'!$D$65*(1+'Assumptions'!$D$90)^(((AA$7+AA$8)/2-46304)/365)</x:f>
        <x:v>0</x:v>
      </x:c>
      <x:c r="AB40" s="37" t="n">
        <x:f>AB33*'Assumptions'!$D$65*(1+'Assumptions'!$D$90)^(((AB$7+AB$8)/2-46304)/365)</x:f>
        <x:v>0</x:v>
      </x:c>
      <x:c r="AC40" s="37" t="n">
        <x:f>AC33*'Assumptions'!$D$65*(1+'Assumptions'!$D$90)^(((AC$7+AC$8)/2-46304)/365)</x:f>
        <x:v>0</x:v>
      </x:c>
      <x:c r="AD40" s="37" t="n">
        <x:f>AD33*'Assumptions'!$D$65*(1+'Assumptions'!$D$90)^(((AD$7+AD$8)/2-46304)/365)</x:f>
        <x:v>0</x:v>
      </x:c>
      <x:c r="AE40" s="37" t="n">
        <x:f>AE33*'Assumptions'!$D$65*(1+'Assumptions'!$D$90)^(((AE$7+AE$8)/2-46304)/365)</x:f>
        <x:v>0</x:v>
      </x:c>
      <x:c r="AF40" s="37" t="n">
        <x:f>AF33*'Assumptions'!$D$65*(1+'Assumptions'!$D$90)^(((AF$7+AF$8)/2-46304)/365)</x:f>
        <x:v>0</x:v>
      </x:c>
      <x:c r="AG40" s="37" t="n">
        <x:f>AG33*'Assumptions'!$D$65*(1+'Assumptions'!$D$90)^(((AG$7+AG$8)/2-46304)/365)</x:f>
        <x:v>0</x:v>
      </x:c>
      <x:c r="AH40" s="37" t="n">
        <x:f>AH33*'Assumptions'!$D$65*(1+'Assumptions'!$D$90)^(((AH$7+AH$8)/2-46304)/365)</x:f>
        <x:v>0</x:v>
      </x:c>
      <x:c r="AI40" s="37" t="n">
        <x:f>AI33*'Assumptions'!$D$65*(1+'Assumptions'!$D$90)^(((AI$7+AI$8)/2-46304)/365)</x:f>
        <x:v>0</x:v>
      </x:c>
      <x:c r="AJ40" s="37" t="n">
        <x:f>AJ33*'Assumptions'!$D$65*(1+'Assumptions'!$D$90)^(((AJ$7+AJ$8)/2-46304)/365)</x:f>
        <x:v>0</x:v>
      </x:c>
      <x:c r="AK40" s="37" t="n">
        <x:f>AK33*'Assumptions'!$D$65*(1+'Assumptions'!$D$90)^(((AK$7+AK$8)/2-46304)/365)</x:f>
        <x:v>0</x:v>
      </x:c>
      <x:c r="AL40" s="37" t="n">
        <x:f>AL33*'Assumptions'!$D$65*(1+'Assumptions'!$D$90)^(((AL$7+AL$8)/2-46304)/365)</x:f>
        <x:v>0</x:v>
      </x:c>
      <x:c r="AM40" s="37" t="n">
        <x:f>AM33*'Assumptions'!$D$65*(1+'Assumptions'!$D$90)^(((AM$7+AM$8)/2-46304)/365)</x:f>
        <x:v>0</x:v>
      </x:c>
      <x:c r="AN40" s="37" t="n">
        <x:f>AN33*'Assumptions'!$D$65*(1+'Assumptions'!$D$90)^(((AN$7+AN$8)/2-46304)/365)</x:f>
        <x:v>0</x:v>
      </x:c>
      <x:c r="AO40" s="37" t="n">
        <x:f>AO33*'Assumptions'!$D$65*(1+'Assumptions'!$D$90)^(((AO$7+AO$8)/2-46304)/365)</x:f>
        <x:v>0</x:v>
      </x:c>
      <x:c r="AP40" s="37" t="n">
        <x:f>AP33*'Assumptions'!$D$65*(1+'Assumptions'!$D$90)^(((AP$7+AP$8)/2-46304)/365)</x:f>
        <x:v>0</x:v>
      </x:c>
      <x:c r="AQ40" s="37" t="n">
        <x:f>AQ33*'Assumptions'!$D$65*(1+'Assumptions'!$D$90)^(((AQ$7+AQ$8)/2-46304)/365)</x:f>
        <x:v>0</x:v>
      </x:c>
    </x:row>
    <x:row r="41" ht="21" customHeight="1">
      <x:c r="A41" s="2"/>
      <x:c r="B41" s="2"/>
      <x:c r="C41" s="2" t="str">
        <x:v>Drydock cash budget</x:v>
      </x:c>
      <x:c r="D41" s="2"/>
      <x:c r="E41" s="37" t="n">
        <x:f>E33/365*'Assumptions'!$D$75*(1+'Assumptions'!$D$90)^(((E$7+E$8)/2-46304)/365)</x:f>
        <x:v>925339.0078044368</x:v>
      </x:c>
      <x:c r="F41" s="37" t="n">
        <x:f>F33/365*'Assumptions'!$D$75*(1+'Assumptions'!$D$90)^(((F$7+F$8)/2-46304)/365)</x:f>
        <x:v>1008099.5253537471</x:v>
      </x:c>
      <x:c r="G41" s="37" t="n">
        <x:f>G33/365*'Assumptions'!$D$75*(1+'Assumptions'!$D$90)^(((G$7+G$8)/2-46304)/365)</x:f>
        <x:v>1024317.6698040697</x:v>
      </x:c>
      <x:c r="H41" s="37" t="n">
        <x:f>H33/365*'Assumptions'!$D$75*(1+'Assumptions'!$D$90)^(((H$7+H$8)/2-46304)/365)</x:f>
        <x:v>1040727.506130702</x:v>
      </x:c>
      <x:c r="I41" s="37" t="n">
        <x:f>I33/365*'Assumptions'!$D$75*(1+'Assumptions'!$D$90)^(((I$7+I$8)/2-46304)/365)</x:f>
        <x:v>1045935.1241095343</x:v>
      </x:c>
      <x:c r="J41" s="37" t="n">
        <x:f>J33/365*'Assumptions'!$D$75*(1+'Assumptions'!$D$90)^(((J$7+J$8)/2-46304)/365)</x:f>
        <x:v>1039714.8476591684</x:v>
      </x:c>
      <x:c r="K41" s="37" t="n">
        <x:f>K33/365*'Assumptions'!$D$75*(1+'Assumptions'!$D$90)^(((K$7+K$8)/2-46304)/365)</x:f>
        <x:v>1044860.7092985916</x:v>
      </x:c>
      <x:c r="L41" s="37" t="n">
        <x:f>L33/365*'Assumptions'!$D$75*(1+'Assumptions'!$D$90)^(((L$7+L$8)/2-46304)/365)</x:f>
        <x:v>1061599.6504778434</x:v>
      </x:c>
      <x:c r="M41" s="37" t="n">
        <x:f>M33/365*'Assumptions'!$D$75*(1+'Assumptions'!$D$90)^(((M$7+M$8)/2-46304)/365)</x:f>
        <x:v>1066911.7090076546</x:v>
      </x:c>
      <x:c r="N41" s="37" t="n">
        <x:f>N33/365*'Assumptions'!$D$75*(1+'Assumptions'!$D$90)^(((N$7+N$8)/2-46304)/365)</x:f>
        <x:v>1048883.6505303003</x:v>
      </x:c>
      <x:c r="O41" s="37" t="n">
        <x:f>O33/365*'Assumptions'!$D$75*(1+'Assumptions'!$D$90)^(((O$7+O$8)/2-46304)/365)</x:f>
        <x:v>1065757.9234845634</x:v>
      </x:c>
      <x:c r="P41" s="37" t="n">
        <x:f>P33/365*'Assumptions'!$D$75*(1+'Assumptions'!$D$90)^(((P$7+P$8)/2-46304)/365)</x:f>
        <x:v>1082831.6434874001</x:v>
      </x:c>
      <x:c r="Q41" s="37" t="n">
        <x:f>Q33/365*'Assumptions'!$D$75*(1+'Assumptions'!$D$90)^(((Q$7+Q$8)/2-46304)/365)</x:f>
        <x:v>4349605.998102928</x:v>
      </x:c>
      <x:c r="R41" s="37" t="n">
        <x:f>R33/365*'Assumptions'!$D$75*(1+'Assumptions'!$D$90)^(((R$7+R$8)/2-46304)/365)</x:f>
        <x:v>4436598.118064987</x:v>
      </x:c>
      <x:c r="S41" s="37" t="n">
        <x:f>S33/365*'Assumptions'!$D$75*(1+'Assumptions'!$D$90)^(((S$7+S$8)/2-46304)/365)</x:f>
        <x:v>4537851.341139804</x:v>
      </x:c>
      <x:c r="T41" s="37" t="n">
        <x:f>T33/365*'Assumptions'!$D$75*(1+'Assumptions'!$D$90)^(((T$7+T$8)/2-46304)/365)</x:f>
        <x:v>4616087.115385691</x:v>
      </x:c>
      <x:c r="U41" s="37" t="n">
        <x:f>U33/365*'Assumptions'!$D$75*(1+'Assumptions'!$D$90)^(((U$7+U$8)/2-46304)/365)</x:f>
        <x:v>4708408.857693406</x:v>
      </x:c>
      <x:c r="V41" s="37" t="n">
        <x:f>V33/365*'Assumptions'!$D$75*(1+'Assumptions'!$D$90)^(((V$7+V$8)/2-46304)/365)</x:f>
        <x:v>4456716.301222265</x:v>
      </x:c>
      <x:c r="W41" s="37" t="n">
        <x:f>W33/365*'Assumptions'!$D$75*(1+'Assumptions'!$D$90)^(((W$7+W$8)/2-46304)/365)</x:f>
        <x:v>2626733.151776096</x:v>
      </x:c>
      <x:c r="X41" s="37" t="n">
        <x:f>X33/365*'Assumptions'!$D$75*(1+'Assumptions'!$D$90)^(((X$7+X$8)/2-46304)/365)</x:f>
        <x:v>0</x:v>
      </x:c>
      <x:c r="Y41" s="37" t="n">
        <x:f>Y33/365*'Assumptions'!$D$75*(1+'Assumptions'!$D$90)^(((Y$7+Y$8)/2-46304)/365)</x:f>
        <x:v>0</x:v>
      </x:c>
      <x:c r="Z41" s="37" t="n">
        <x:f>Z33/365*'Assumptions'!$D$75*(1+'Assumptions'!$D$90)^(((Z$7+Z$8)/2-46304)/365)</x:f>
        <x:v>0</x:v>
      </x:c>
      <x:c r="AA41" s="37" t="n">
        <x:f>AA33/365*'Assumptions'!$D$75*(1+'Assumptions'!$D$90)^(((AA$7+AA$8)/2-46304)/365)</x:f>
        <x:v>0</x:v>
      </x:c>
      <x:c r="AB41" s="37" t="n">
        <x:f>AB33/365*'Assumptions'!$D$75*(1+'Assumptions'!$D$90)^(((AB$7+AB$8)/2-46304)/365)</x:f>
        <x:v>0</x:v>
      </x:c>
      <x:c r="AC41" s="37" t="n">
        <x:f>AC33/365*'Assumptions'!$D$75*(1+'Assumptions'!$D$90)^(((AC$7+AC$8)/2-46304)/365)</x:f>
        <x:v>0</x:v>
      </x:c>
      <x:c r="AD41" s="37" t="n">
        <x:f>AD33/365*'Assumptions'!$D$75*(1+'Assumptions'!$D$90)^(((AD$7+AD$8)/2-46304)/365)</x:f>
        <x:v>0</x:v>
      </x:c>
      <x:c r="AE41" s="37" t="n">
        <x:f>AE33/365*'Assumptions'!$D$75*(1+'Assumptions'!$D$90)^(((AE$7+AE$8)/2-46304)/365)</x:f>
        <x:v>0</x:v>
      </x:c>
      <x:c r="AF41" s="37" t="n">
        <x:f>AF33/365*'Assumptions'!$D$75*(1+'Assumptions'!$D$90)^(((AF$7+AF$8)/2-46304)/365)</x:f>
        <x:v>0</x:v>
      </x:c>
      <x:c r="AG41" s="37" t="n">
        <x:f>AG33/365*'Assumptions'!$D$75*(1+'Assumptions'!$D$90)^(((AG$7+AG$8)/2-46304)/365)</x:f>
        <x:v>0</x:v>
      </x:c>
      <x:c r="AH41" s="37" t="n">
        <x:f>AH33/365*'Assumptions'!$D$75*(1+'Assumptions'!$D$90)^(((AH$7+AH$8)/2-46304)/365)</x:f>
        <x:v>0</x:v>
      </x:c>
      <x:c r="AI41" s="37" t="n">
        <x:f>AI33/365*'Assumptions'!$D$75*(1+'Assumptions'!$D$90)^(((AI$7+AI$8)/2-46304)/365)</x:f>
        <x:v>0</x:v>
      </x:c>
      <x:c r="AJ41" s="37" t="n">
        <x:f>AJ33/365*'Assumptions'!$D$75*(1+'Assumptions'!$D$90)^(((AJ$7+AJ$8)/2-46304)/365)</x:f>
        <x:v>0</x:v>
      </x:c>
      <x:c r="AK41" s="37" t="n">
        <x:f>AK33/365*'Assumptions'!$D$75*(1+'Assumptions'!$D$90)^(((AK$7+AK$8)/2-46304)/365)</x:f>
        <x:v>0</x:v>
      </x:c>
      <x:c r="AL41" s="37" t="n">
        <x:f>AL33/365*'Assumptions'!$D$75*(1+'Assumptions'!$D$90)^(((AL$7+AL$8)/2-46304)/365)</x:f>
        <x:v>0</x:v>
      </x:c>
      <x:c r="AM41" s="37" t="n">
        <x:f>AM33/365*'Assumptions'!$D$75*(1+'Assumptions'!$D$90)^(((AM$7+AM$8)/2-46304)/365)</x:f>
        <x:v>0</x:v>
      </x:c>
      <x:c r="AN41" s="37" t="n">
        <x:f>AN33/365*'Assumptions'!$D$75*(1+'Assumptions'!$D$90)^(((AN$7+AN$8)/2-46304)/365)</x:f>
        <x:v>0</x:v>
      </x:c>
      <x:c r="AO41" s="37" t="n">
        <x:f>AO33/365*'Assumptions'!$D$75*(1+'Assumptions'!$D$90)^(((AO$7+AO$8)/2-46304)/365)</x:f>
        <x:v>0</x:v>
      </x:c>
      <x:c r="AP41" s="37" t="n">
        <x:f>AP33/365*'Assumptions'!$D$75*(1+'Assumptions'!$D$90)^(((AP$7+AP$8)/2-46304)/365)</x:f>
        <x:v>0</x:v>
      </x:c>
      <x:c r="AQ41" s="37" t="n">
        <x:f>AQ33/365*'Assumptions'!$D$75*(1+'Assumptions'!$D$90)^(((AQ$7+AQ$8)/2-46304)/365)</x:f>
        <x:v>0</x:v>
      </x:c>
    </x:row>
    <x:row r="42" ht="21" customHeight="1">
      <x:c r="A42" s="2"/>
      <x:c r="B42" s="2"/>
      <x:c r="C42" s="2" t="str">
        <x:v>Other maintenance capex</x:v>
      </x:c>
      <x:c r="D42" s="2"/>
      <x:c r="E42" s="37" t="n">
        <x:f>E33/365*'Assumptions'!$D$80*(1+'Assumptions'!$D$90)^(((E$7+E$8)/2-46304)/365)</x:f>
        <x:v>207403.57071478758</x:v>
      </x:c>
      <x:c r="F42" s="37" t="n">
        <x:f>F33/365*'Assumptions'!$D$80*(1+'Assumptions'!$D$90)^(((F$7+F$8)/2-46304)/365)</x:f>
        <x:v>225953.34188963295</x:v>
      </x:c>
      <x:c r="G42" s="37" t="n">
        <x:f>G33/365*'Assumptions'!$D$80*(1+'Assumptions'!$D$90)^(((G$7+G$8)/2-46304)/365)</x:f>
        <x:v>229588.44323194667</x:v>
      </x:c>
      <x:c r="H42" s="37" t="n">
        <x:f>H33/365*'Assumptions'!$D$80*(1+'Assumptions'!$D$90)^(((H$7+H$8)/2-46304)/365)</x:f>
        <x:v>233266.50999481248</x:v>
      </x:c>
      <x:c r="I42" s="37" t="n">
        <x:f>I33/365*'Assumptions'!$D$80*(1+'Assumptions'!$D$90)^(((I$7+I$8)/2-46304)/365)</x:f>
        <x:v>234433.73471420596</x:v>
      </x:c>
      <x:c r="J42" s="37" t="n">
        <x:f>J33/365*'Assumptions'!$D$80*(1+'Assumptions'!$D$90)^(((J$7+J$8)/2-46304)/365)</x:f>
        <x:v>233039.53482015844</x:v>
      </x:c>
      <x:c r="K42" s="37" t="n">
        <x:f>K33/365*'Assumptions'!$D$80*(1+'Assumptions'!$D$90)^(((K$7+K$8)/2-46304)/365)</x:f>
        <x:v>234192.91760140847</x:v>
      </x:c>
      <x:c r="L42" s="37" t="n">
        <x:f>L33/365*'Assumptions'!$D$80*(1+'Assumptions'!$D$90)^(((L$7+L$8)/2-46304)/365)</x:f>
        <x:v>237944.7492450339</x:v>
      </x:c>
      <x:c r="M42" s="37" t="n">
        <x:f>M33/365*'Assumptions'!$D$80*(1+'Assumptions'!$D$90)^(((M$7+M$8)/2-46304)/365)</x:f>
        <x:v>239135.38305343981</x:v>
      </x:c>
      <x:c r="N42" s="37" t="n">
        <x:f>N33/365*'Assumptions'!$D$80*(1+'Assumptions'!$D$90)^(((N$7+N$8)/2-46304)/365)</x:f>
        <x:v>235094.611325757</x:v>
      </x:c>
      <x:c r="O42" s="37" t="n">
        <x:f>O33/365*'Assumptions'!$D$80*(1+'Assumptions'!$D$90)^(((O$7+O$8)/2-46304)/365)</x:f>
        <x:v>238876.77595343662</x:v>
      </x:c>
      <x:c r="P42" s="37" t="n">
        <x:f>P33/365*'Assumptions'!$D$80*(1+'Assumptions'!$D$90)^(((P$7+P$8)/2-46304)/365)</x:f>
        <x:v>242703.64422993452</x:v>
      </x:c>
      <x:c r="Q42" s="37" t="n">
        <x:f>Q33/365*'Assumptions'!$D$80*(1+'Assumptions'!$D$90)^(((Q$7+Q$8)/2-46304)/365)</x:f>
        <x:v>974911.6892299665</x:v>
      </x:c>
      <x:c r="R42" s="37" t="n">
        <x:f>R33/365*'Assumptions'!$D$80*(1+'Assumptions'!$D$90)^(((R$7+R$8)/2-46304)/365)</x:f>
        <x:v>994409.9230145658</x:v>
      </x:c>
      <x:c r="S42" s="37" t="n">
        <x:f>S33/365*'Assumptions'!$D$80*(1+'Assumptions'!$D$90)^(((S$7+S$8)/2-46304)/365)</x:f>
        <x:v>1017104.6109451284</x:v>
      </x:c>
      <x:c r="T42" s="37" t="n">
        <x:f>T33/365*'Assumptions'!$D$80*(1+'Assumptions'!$D$90)^(((T$7+T$8)/2-46304)/365)</x:f>
        <x:v>1034640.2155174825</x:v>
      </x:c>
      <x:c r="U42" s="37" t="n">
        <x:f>U33/365*'Assumptions'!$D$80*(1+'Assumptions'!$D$90)^(((U$7+U$8)/2-46304)/365)</x:f>
        <x:v>1055333.0198278322</x:v>
      </x:c>
      <x:c r="V42" s="37" t="n">
        <x:f>V33/365*'Assumptions'!$D$80*(1+'Assumptions'!$D$90)^(((V$7+V$8)/2-46304)/365)</x:f>
        <x:v>998919.1709636111</x:v>
      </x:c>
      <x:c r="W42" s="37" t="n">
        <x:f>W33/365*'Assumptions'!$D$80*(1+'Assumptions'!$D$90)^(((W$7+W$8)/2-46304)/365)</x:f>
        <x:v>588750.5340187801</x:v>
      </x:c>
      <x:c r="X42" s="37" t="n">
        <x:f>X33/365*'Assumptions'!$D$80*(1+'Assumptions'!$D$90)^(((X$7+X$8)/2-46304)/365)</x:f>
        <x:v>0</x:v>
      </x:c>
      <x:c r="Y42" s="37" t="n">
        <x:f>Y33/365*'Assumptions'!$D$80*(1+'Assumptions'!$D$90)^(((Y$7+Y$8)/2-46304)/365)</x:f>
        <x:v>0</x:v>
      </x:c>
      <x:c r="Z42" s="37" t="n">
        <x:f>Z33/365*'Assumptions'!$D$80*(1+'Assumptions'!$D$90)^(((Z$7+Z$8)/2-46304)/365)</x:f>
        <x:v>0</x:v>
      </x:c>
      <x:c r="AA42" s="37" t="n">
        <x:f>AA33/365*'Assumptions'!$D$80*(1+'Assumptions'!$D$90)^(((AA$7+AA$8)/2-46304)/365)</x:f>
        <x:v>0</x:v>
      </x:c>
      <x:c r="AB42" s="37" t="n">
        <x:f>AB33/365*'Assumptions'!$D$80*(1+'Assumptions'!$D$90)^(((AB$7+AB$8)/2-46304)/365)</x:f>
        <x:v>0</x:v>
      </x:c>
      <x:c r="AC42" s="37" t="n">
        <x:f>AC33/365*'Assumptions'!$D$80*(1+'Assumptions'!$D$90)^(((AC$7+AC$8)/2-46304)/365)</x:f>
        <x:v>0</x:v>
      </x:c>
      <x:c r="AD42" s="37" t="n">
        <x:f>AD33/365*'Assumptions'!$D$80*(1+'Assumptions'!$D$90)^(((AD$7+AD$8)/2-46304)/365)</x:f>
        <x:v>0</x:v>
      </x:c>
      <x:c r="AE42" s="37" t="n">
        <x:f>AE33/365*'Assumptions'!$D$80*(1+'Assumptions'!$D$90)^(((AE$7+AE$8)/2-46304)/365)</x:f>
        <x:v>0</x:v>
      </x:c>
      <x:c r="AF42" s="37" t="n">
        <x:f>AF33/365*'Assumptions'!$D$80*(1+'Assumptions'!$D$90)^(((AF$7+AF$8)/2-46304)/365)</x:f>
        <x:v>0</x:v>
      </x:c>
      <x:c r="AG42" s="37" t="n">
        <x:f>AG33/365*'Assumptions'!$D$80*(1+'Assumptions'!$D$90)^(((AG$7+AG$8)/2-46304)/365)</x:f>
        <x:v>0</x:v>
      </x:c>
      <x:c r="AH42" s="37" t="n">
        <x:f>AH33/365*'Assumptions'!$D$80*(1+'Assumptions'!$D$90)^(((AH$7+AH$8)/2-46304)/365)</x:f>
        <x:v>0</x:v>
      </x:c>
      <x:c r="AI42" s="37" t="n">
        <x:f>AI33/365*'Assumptions'!$D$80*(1+'Assumptions'!$D$90)^(((AI$7+AI$8)/2-46304)/365)</x:f>
        <x:v>0</x:v>
      </x:c>
      <x:c r="AJ42" s="37" t="n">
        <x:f>AJ33/365*'Assumptions'!$D$80*(1+'Assumptions'!$D$90)^(((AJ$7+AJ$8)/2-46304)/365)</x:f>
        <x:v>0</x:v>
      </x:c>
      <x:c r="AK42" s="37" t="n">
        <x:f>AK33/365*'Assumptions'!$D$80*(1+'Assumptions'!$D$90)^(((AK$7+AK$8)/2-46304)/365)</x:f>
        <x:v>0</x:v>
      </x:c>
      <x:c r="AL42" s="37" t="n">
        <x:f>AL33/365*'Assumptions'!$D$80*(1+'Assumptions'!$D$90)^(((AL$7+AL$8)/2-46304)/365)</x:f>
        <x:v>0</x:v>
      </x:c>
      <x:c r="AM42" s="37" t="n">
        <x:f>AM33/365*'Assumptions'!$D$80*(1+'Assumptions'!$D$90)^(((AM$7+AM$8)/2-46304)/365)</x:f>
        <x:v>0</x:v>
      </x:c>
      <x:c r="AN42" s="37" t="n">
        <x:f>AN33/365*'Assumptions'!$D$80*(1+'Assumptions'!$D$90)^(((AN$7+AN$8)/2-46304)/365)</x:f>
        <x:v>0</x:v>
      </x:c>
      <x:c r="AO42" s="37" t="n">
        <x:f>AO33/365*'Assumptions'!$D$80*(1+'Assumptions'!$D$90)^(((AO$7+AO$8)/2-46304)/365)</x:f>
        <x:v>0</x:v>
      </x:c>
      <x:c r="AP42" s="37" t="n">
        <x:f>AP33/365*'Assumptions'!$D$80*(1+'Assumptions'!$D$90)^(((AP$7+AP$8)/2-46304)/365)</x:f>
        <x:v>0</x:v>
      </x:c>
      <x:c r="AQ42" s="37" t="n">
        <x:f>AQ33/365*'Assumptions'!$D$80*(1+'Assumptions'!$D$90)^(((AQ$7+AQ$8)/2-46304)/365)</x:f>
        <x:v>0</x:v>
      </x:c>
    </x:row>
    <x:row r="43" ht="25" customHeight="1">
      <x:c r="A43" s="2"/>
      <x:c r="B43" s="2"/>
      <x:c r="C43" s="30" t="str">
        <x:v>Kamsarmax</x:v>
      </x:c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30"/>
      <x:c r="AI43" s="30"/>
      <x:c r="AJ43" s="30"/>
      <x:c r="AK43" s="30"/>
      <x:c r="AL43" s="30"/>
      <x:c r="AM43" s="30"/>
      <x:c r="AN43" s="30"/>
      <x:c r="AO43" s="30"/>
      <x:c r="AP43" s="30"/>
      <x:c r="AQ43" s="30"/>
    </x:row>
    <x:row r="44" ht="21" customHeight="1">
      <x:c r="A44" s="2"/>
      <x:c r="B44" s="2"/>
      <x:c r="C44" s="2" t="str">
        <x:v>Owned days</x:v>
      </x:c>
      <x:c r="D44" s="2"/>
      <x:c r="E44" s="5" t="n">
        <x:f>SUMIFS('Days'!E$10:E$147,'Days'!$D$10:$D$147,$C43)</x:f>
        <x:v>3240</x:v>
      </x:c>
      <x:c r="F44" s="5" t="n">
        <x:f>SUMIFS('Days'!F$10:F$147,'Days'!$D$10:$D$147,$C43)</x:f>
        <x:v>3780</x:v>
      </x:c>
      <x:c r="G44" s="5" t="n">
        <x:f>SUMIFS('Days'!G$10:G$147,'Days'!$D$10:$D$147,$C43)</x:f>
        <x:v>3822</x:v>
      </x:c>
      <x:c r="H44" s="5" t="n">
        <x:f>SUMIFS('Days'!H$10:H$147,'Days'!$D$10:$D$147,$C43)</x:f>
        <x:v>3864</x:v>
      </x:c>
      <x:c r="I44" s="5" t="n">
        <x:f>SUMIFS('Days'!I$10:I$147,'Days'!$D$10:$D$147,$C43)</x:f>
        <x:v>3864</x:v>
      </x:c>
      <x:c r="J44" s="5" t="n">
        <x:f>SUMIFS('Days'!J$10:J$147,'Days'!$D$10:$D$147,$C43)</x:f>
        <x:v>3822</x:v>
      </x:c>
      <x:c r="K44" s="5" t="n">
        <x:f>SUMIFS('Days'!K$10:K$147,'Days'!$D$10:$D$147,$C43)</x:f>
        <x:v>3822</x:v>
      </x:c>
      <x:c r="L44" s="5" t="n">
        <x:f>SUMIFS('Days'!L$10:L$147,'Days'!$D$10:$D$147,$C43)</x:f>
        <x:v>3864</x:v>
      </x:c>
      <x:c r="M44" s="5" t="n">
        <x:f>SUMIFS('Days'!M$10:M$147,'Days'!$D$10:$D$147,$C43)</x:f>
        <x:v>3864</x:v>
      </x:c>
      <x:c r="N44" s="5" t="n">
        <x:f>SUMIFS('Days'!N$10:N$147,'Days'!$D$10:$D$147,$C43)</x:f>
        <x:v>3780</x:v>
      </x:c>
      <x:c r="O44" s="5" t="n">
        <x:f>SUMIFS('Days'!O$10:O$147,'Days'!$D$10:$D$147,$C43)</x:f>
        <x:v>3822</x:v>
      </x:c>
      <x:c r="P44" s="5" t="n">
        <x:f>SUMIFS('Days'!P$10:P$147,'Days'!$D$10:$D$147,$C43)</x:f>
        <x:v>3864</x:v>
      </x:c>
      <x:c r="Q44" s="5" t="n">
        <x:f>SUMIFS('Days'!Q$10:Q$147,'Days'!$D$10:$D$147,$C43)</x:f>
        <x:v>15238</x:v>
      </x:c>
      <x:c r="R44" s="5" t="n">
        <x:f>SUMIFS('Days'!R$10:R$147,'Days'!$D$10:$D$147,$C43)</x:f>
        <x:v>14321</x:v>
      </x:c>
      <x:c r="S44" s="5" t="n">
        <x:f>SUMIFS('Days'!S$10:S$147,'Days'!$D$10:$D$147,$C43)</x:f>
        <x:v>12168</x:v>
      </x:c>
      <x:c r="T44" s="5" t="n">
        <x:f>SUMIFS('Days'!T$10:T$147,'Days'!$D$10:$D$147,$C43)</x:f>
        <x:v>11131</x:v>
      </x:c>
      <x:c r="U44" s="5" t="n">
        <x:f>SUMIFS('Days'!U$10:U$147,'Days'!$D$10:$D$147,$C43)</x:f>
        <x:v>10585</x:v>
      </x:c>
      <x:c r="V44" s="5" t="n">
        <x:f>SUMIFS('Days'!V$10:V$147,'Days'!$D$10:$D$147,$C43)</x:f>
        <x:v>10401</x:v>
      </x:c>
      <x:c r="W44" s="5" t="n">
        <x:f>SUMIFS('Days'!W$10:W$147,'Days'!$D$10:$D$147,$C43)</x:f>
        <x:v>9606</x:v>
      </x:c>
      <x:c r="X44" s="5" t="n">
        <x:f>SUMIFS('Days'!X$10:X$147,'Days'!$D$10:$D$147,$C43)</x:f>
        <x:v>8576</x:v>
      </x:c>
      <x:c r="Y44" s="5" t="n">
        <x:f>SUMIFS('Days'!Y$10:Y$147,'Days'!$D$10:$D$147,$C43)</x:f>
        <x:v>7570</x:v>
      </x:c>
      <x:c r="Z44" s="5" t="n">
        <x:f>SUMIFS('Days'!Z$10:Z$147,'Days'!$D$10:$D$147,$C43)</x:f>
        <x:v>6021</x:v>
      </x:c>
      <x:c r="AA44" s="5" t="n">
        <x:f>SUMIFS('Days'!AA$10:AA$147,'Days'!$D$10:$D$147,$C43)</x:f>
        <x:v>5214</x:v>
      </x:c>
      <x:c r="AB44" s="5" t="n">
        <x:f>SUMIFS('Days'!AB$10:AB$147,'Days'!$D$10:$D$147,$C43)</x:f>
        <x:v>4196</x:v>
      </x:c>
      <x:c r="AC44" s="5" t="n">
        <x:f>SUMIFS('Days'!AC$10:AC$147,'Days'!$D$10:$D$147,$C43)</x:f>
        <x:v>3558</x:v>
      </x:c>
      <x:c r="AD44" s="5" t="n">
        <x:f>SUMIFS('Days'!AD$10:AD$147,'Days'!$D$10:$D$147,$C43)</x:f>
        <x:v>3285</x:v>
      </x:c>
      <x:c r="AE44" s="5" t="n">
        <x:f>SUMIFS('Days'!AE$10:AE$147,'Days'!$D$10:$D$147,$C43)</x:f>
        <x:v>3294</x:v>
      </x:c>
      <x:c r="AF44" s="5" t="n">
        <x:f>SUMIFS('Days'!AF$10:AF$147,'Days'!$D$10:$D$147,$C43)</x:f>
        <x:v>3285</x:v>
      </x:c>
      <x:c r="AG44" s="5" t="n">
        <x:f>SUMIFS('Days'!AG$10:AG$147,'Days'!$D$10:$D$147,$C43)</x:f>
        <x:v>3193</x:v>
      </x:c>
      <x:c r="AH44" s="5" t="n">
        <x:f>SUMIFS('Days'!AH$10:AH$147,'Days'!$D$10:$D$147,$C43)</x:f>
        <x:v>2920</x:v>
      </x:c>
      <x:c r="AI44" s="5" t="n">
        <x:f>SUMIFS('Days'!AI$10:AI$147,'Days'!$D$10:$D$147,$C43)</x:f>
        <x:v>2928</x:v>
      </x:c>
      <x:c r="AJ44" s="5" t="n">
        <x:f>SUMIFS('Days'!AJ$10:AJ$147,'Days'!$D$10:$D$147,$C43)</x:f>
        <x:v>2920</x:v>
      </x:c>
      <x:c r="AK44" s="5" t="n">
        <x:f>SUMIFS('Days'!AK$10:AK$147,'Days'!$D$10:$D$147,$C43)</x:f>
        <x:v>2920</x:v>
      </x:c>
      <x:c r="AL44" s="5" t="n">
        <x:f>SUMIFS('Days'!AL$10:AL$147,'Days'!$D$10:$D$147,$C43)</x:f>
        <x:v>2184</x:v>
      </x:c>
      <x:c r="AM44" s="5" t="n">
        <x:f>SUMIFS('Days'!AM$10:AM$147,'Days'!$D$10:$D$147,$C43)</x:f>
        <x:v>0</x:v>
      </x:c>
      <x:c r="AN44" s="5" t="n">
        <x:f>SUMIFS('Days'!AN$10:AN$147,'Days'!$D$10:$D$147,$C43)</x:f>
        <x:v>0</x:v>
      </x:c>
      <x:c r="AO44" s="5" t="n">
        <x:f>SUMIFS('Days'!AO$10:AO$147,'Days'!$D$10:$D$147,$C43)</x:f>
        <x:v>0</x:v>
      </x:c>
      <x:c r="AP44" s="5" t="n">
        <x:f>SUMIFS('Days'!AP$10:AP$147,'Days'!$D$10:$D$147,$C43)</x:f>
        <x:v>0</x:v>
      </x:c>
      <x:c r="AQ44" s="5" t="n">
        <x:f>SUMIFS('Days'!AQ$10:AQ$147,'Days'!$D$10:$D$147,$C43)</x:f>
        <x:v>0</x:v>
      </x:c>
    </x:row>
    <x:row r="45" ht="21" customHeight="1">
      <x:c r="A45" s="2"/>
      <x:c r="B45" s="2"/>
      <x:c r="C45" s="2" t="str">
        <x:v>Available days</x:v>
      </x:c>
      <x:c r="D45" s="2"/>
      <x:c r="E45" s="5" t="n">
        <x:f>E44*(1-'Assumptions'!$D$55)</x:f>
        <x:v>3078</x:v>
      </x:c>
      <x:c r="F45" s="5" t="n">
        <x:f>F44*(1-'Assumptions'!$D$55)</x:f>
        <x:v>3591</x:v>
      </x:c>
      <x:c r="G45" s="5" t="n">
        <x:f>G44*(1-'Assumptions'!$D$55)</x:f>
        <x:v>3630.8999999999996</x:v>
      </x:c>
      <x:c r="H45" s="5" t="n">
        <x:f>H44*(1-'Assumptions'!$D$55)</x:f>
        <x:v>3670.7999999999997</x:v>
      </x:c>
      <x:c r="I45" s="5" t="n">
        <x:f>I44*(1-'Assumptions'!$D$55)</x:f>
        <x:v>3670.7999999999997</x:v>
      </x:c>
      <x:c r="J45" s="5" t="n">
        <x:f>J44*(1-'Assumptions'!$D$55)</x:f>
        <x:v>3630.8999999999996</x:v>
      </x:c>
      <x:c r="K45" s="5" t="n">
        <x:f>K44*(1-'Assumptions'!$D$55)</x:f>
        <x:v>3630.8999999999996</x:v>
      </x:c>
      <x:c r="L45" s="5" t="n">
        <x:f>L44*(1-'Assumptions'!$D$55)</x:f>
        <x:v>3670.7999999999997</x:v>
      </x:c>
      <x:c r="M45" s="5" t="n">
        <x:f>M44*(1-'Assumptions'!$D$55)</x:f>
        <x:v>3670.7999999999997</x:v>
      </x:c>
      <x:c r="N45" s="5" t="n">
        <x:f>N44*(1-'Assumptions'!$D$55)</x:f>
        <x:v>3591</x:v>
      </x:c>
      <x:c r="O45" s="5" t="n">
        <x:f>O44*(1-'Assumptions'!$D$55)</x:f>
        <x:v>3630.8999999999996</x:v>
      </x:c>
      <x:c r="P45" s="5" t="n">
        <x:f>P44*(1-'Assumptions'!$D$55)</x:f>
        <x:v>3670.7999999999997</x:v>
      </x:c>
      <x:c r="Q45" s="5" t="n">
        <x:f>Q44*(1-'Assumptions'!$D$55)</x:f>
        <x:v>14476.099999999999</x:v>
      </x:c>
      <x:c r="R45" s="5" t="n">
        <x:f>R44*(1-'Assumptions'!$D$55)</x:f>
        <x:v>13604.949999999999</x:v>
      </x:c>
      <x:c r="S45" s="5" t="n">
        <x:f>S44*(1-'Assumptions'!$D$55)</x:f>
        <x:v>11559.6</x:v>
      </x:c>
      <x:c r="T45" s="5" t="n">
        <x:f>T44*(1-'Assumptions'!$D$55)</x:f>
        <x:v>10574.449999999999</x:v>
      </x:c>
      <x:c r="U45" s="5" t="n">
        <x:f>U44*(1-'Assumptions'!$D$55)</x:f>
        <x:v>10055.75</x:v>
      </x:c>
      <x:c r="V45" s="5" t="n">
        <x:f>V44*(1-'Assumptions'!$D$55)</x:f>
        <x:v>9880.949999999999</x:v>
      </x:c>
      <x:c r="W45" s="5" t="n">
        <x:f>W44*(1-'Assumptions'!$D$55)</x:f>
        <x:v>9125.699999999999</x:v>
      </x:c>
      <x:c r="X45" s="5" t="n">
        <x:f>X44*(1-'Assumptions'!$D$55)</x:f>
        <x:v>8147.2</x:v>
      </x:c>
      <x:c r="Y45" s="5" t="n">
        <x:f>Y44*(1-'Assumptions'!$D$55)</x:f>
        <x:v>7191.5</x:v>
      </x:c>
      <x:c r="Z45" s="5" t="n">
        <x:f>Z44*(1-'Assumptions'!$D$55)</x:f>
        <x:v>5719.95</x:v>
      </x:c>
      <x:c r="AA45" s="5" t="n">
        <x:f>AA44*(1-'Assumptions'!$D$55)</x:f>
        <x:v>4953.3</x:v>
      </x:c>
      <x:c r="AB45" s="5" t="n">
        <x:f>AB44*(1-'Assumptions'!$D$55)</x:f>
        <x:v>3986.2</x:v>
      </x:c>
      <x:c r="AC45" s="5" t="n">
        <x:f>AC44*(1-'Assumptions'!$D$55)</x:f>
        <x:v>3380.1</x:v>
      </x:c>
      <x:c r="AD45" s="5" t="n">
        <x:f>AD44*(1-'Assumptions'!$D$55)</x:f>
        <x:v>3120.75</x:v>
      </x:c>
      <x:c r="AE45" s="5" t="n">
        <x:f>AE44*(1-'Assumptions'!$D$55)</x:f>
        <x:v>3129.2999999999997</x:v>
      </x:c>
      <x:c r="AF45" s="5" t="n">
        <x:f>AF44*(1-'Assumptions'!$D$55)</x:f>
        <x:v>3120.75</x:v>
      </x:c>
      <x:c r="AG45" s="5" t="n">
        <x:f>AG44*(1-'Assumptions'!$D$55)</x:f>
        <x:v>3033.35</x:v>
      </x:c>
      <x:c r="AH45" s="5" t="n">
        <x:f>AH44*(1-'Assumptions'!$D$55)</x:f>
        <x:v>2774</x:v>
      </x:c>
      <x:c r="AI45" s="5" t="n">
        <x:f>AI44*(1-'Assumptions'!$D$55)</x:f>
        <x:v>2781.6</x:v>
      </x:c>
      <x:c r="AJ45" s="5" t="n">
        <x:f>AJ44*(1-'Assumptions'!$D$55)</x:f>
        <x:v>2774</x:v>
      </x:c>
      <x:c r="AK45" s="5" t="n">
        <x:f>AK44*(1-'Assumptions'!$D$55)</x:f>
        <x:v>2774</x:v>
      </x:c>
      <x:c r="AL45" s="5" t="n">
        <x:f>AL44*(1-'Assumptions'!$D$55)</x:f>
        <x:v>2074.7999999999997</x:v>
      </x:c>
      <x:c r="AM45" s="5" t="n">
        <x:f>AM44*(1-'Assumptions'!$D$55)</x:f>
        <x:v>0</x:v>
      </x:c>
      <x:c r="AN45" s="5" t="n">
        <x:f>AN44*(1-'Assumptions'!$D$55)</x:f>
        <x:v>0</x:v>
      </x:c>
      <x:c r="AO45" s="5" t="n">
        <x:f>AO44*(1-'Assumptions'!$D$55)</x:f>
        <x:v>0</x:v>
      </x:c>
      <x:c r="AP45" s="5" t="n">
        <x:f>AP44*(1-'Assumptions'!$D$55)</x:f>
        <x:v>0</x:v>
      </x:c>
      <x:c r="AQ45" s="5" t="n">
        <x:f>AQ44*(1-'Assumptions'!$D$55)</x:f>
        <x:v>0</x:v>
      </x:c>
    </x:row>
    <x:row r="46" ht="21" customHeight="1">
      <x:c r="A46" s="2"/>
      <x:c r="B46" s="2"/>
      <x:c r="C46" s="2" t="str">
        <x:v>Open TCE (USD/day)</x:v>
      </x:c>
      <x:c r="D46" s="2"/>
      <x:c r="E46" s="34" t="n">
        <x:f>'Assumptions'!$D$25*'Assumptions'!$D$6*(1+'Assumptions'!$D$90)^(((E$7+E$8)/2-46304)/365)</x:f>
        <x:v>17038.78136217737</x:v>
      </x:c>
      <x:c r="F46" s="34" t="n">
        <x:f>'Assumptions'!$D$25*'Assumptions'!$D$6*(1+'Assumptions'!$D$90)^(((F$7+F$8)/2-46304)/365)</x:f>
        <x:v>17118.931458182815</x:v>
      </x:c>
      <x:c r="G46" s="34" t="n">
        <x:f>'Assumptions'!$D$25*'Assumptions'!$D$6*(1+'Assumptions'!$D$90)^(((G$7+G$8)/2-46304)/365)</x:f>
        <x:v>17203.19152583298</x:v>
      </x:c>
      <x:c r="H46" s="34" t="n">
        <x:f>'Assumptions'!$D$25*'Assumptions'!$D$6*(1+'Assumptions'!$D$90)^(((H$7+H$8)/2-46304)/365)</x:f>
        <x:v>17288.804282343663</x:v>
      </x:c>
      <x:c r="I46" s="34" t="n">
        <x:f>'Assumptions'!$D$25*'Assumptions'!$D$6*(1+'Assumptions'!$D$90)^(((I$7+I$8)/2-46304)/365)</x:f>
        <x:v>17375.314427874437</x:v>
      </x:c>
      <x:c r="J46" s="34" t="n">
        <x:f>'Assumptions'!$D$25*'Assumptions'!$D$6*(1+'Assumptions'!$D$90)^(((J$7+J$8)/2-46304)/365)</x:f>
        <x:v>17461.78376475164</x:v>
      </x:c>
      <x:c r="K46" s="34" t="n">
        <x:f>'Assumptions'!$D$25*'Assumptions'!$D$6*(1+'Assumptions'!$D$90)^(((K$7+K$8)/2-46304)/365)</x:f>
        <x:v>17548.207386991176</x:v>
      </x:c>
      <x:c r="L46" s="34" t="n">
        <x:f>'Assumptions'!$D$25*'Assumptions'!$D$6*(1+'Assumptions'!$D$90)^(((L$7+L$8)/2-46304)/365)</x:f>
        <x:v>17635.537136471994</x:v>
      </x:c>
      <x:c r="M46" s="34" t="n">
        <x:f>'Assumptions'!$D$25*'Assumptions'!$D$6*(1+'Assumptions'!$D$90)^(((M$7+M$8)/2-46304)/365)</x:f>
        <x:v>17723.782272415123</x:v>
      </x:c>
      <x:c r="N46" s="34" t="n">
        <x:f>'Assumptions'!$D$25*'Assumptions'!$D$6*(1+'Assumptions'!$D$90)^(((N$7+N$8)/2-46304)/365)</x:f>
        <x:v>17811.502604106496</x:v>
      </x:c>
      <x:c r="O46" s="34" t="n">
        <x:f>'Assumptions'!$D$25*'Assumptions'!$D$6*(1+'Assumptions'!$D$90)^(((O$7+O$8)/2-46304)/365)</x:f>
        <x:v>17899.171534731002</x:v>
      </x:c>
      <x:c r="P46" s="34" t="n">
        <x:f>'Assumptions'!$D$25*'Assumptions'!$D$6*(1+'Assumptions'!$D$90)^(((P$7+P$8)/2-46304)/365)</x:f>
        <x:v>17988.24787920143</x:v>
      </x:c>
      <x:c r="Q46" s="34" t="n">
        <x:f>'Assumptions'!$D$25*'Assumptions'!$D$6*(1+'Assumptions'!$D$90)^(((Q$7+Q$8)/2-46304)/365)</x:f>
        <x:v>18212.635952647724</x:v>
      </x:c>
      <x:c r="R46" s="34" t="n">
        <x:f>'Assumptions'!$D$25*'Assumptions'!$D$6*(1+'Assumptions'!$D$90)^(((R$7+R$8)/2-46304)/365)</x:f>
        <x:v>18576.888671700683</x:v>
      </x:c>
      <x:c r="S46" s="34" t="n">
        <x:f>'Assumptions'!$D$25*'Assumptions'!$D$6*(1+'Assumptions'!$D$90)^(((S$7+S$8)/2-46304)/365)</x:f>
        <x:v>18948.940463923984</x:v>
      </x:c>
      <x:c r="T46" s="34" t="n">
        <x:f>'Assumptions'!$D$25*'Assumptions'!$D$6*(1+'Assumptions'!$D$90)^(((T$7+T$8)/2-46304)/365)</x:f>
        <x:v>19328.443586590332</x:v>
      </x:c>
      <x:c r="U46" s="34" t="n">
        <x:f>'Assumptions'!$D$25*'Assumptions'!$D$6*(1+'Assumptions'!$D$90)^(((U$7+U$8)/2-46304)/365)</x:f>
        <x:v>19715.01245832214</x:v>
      </x:c>
      <x:c r="V46" s="34" t="n">
        <x:f>'Assumptions'!$D$25*'Assumptions'!$D$6*(1+'Assumptions'!$D$90)^(((V$7+V$8)/2-46304)/365)</x:f>
        <x:v>20109.312707488585</x:v>
      </x:c>
      <x:c r="W46" s="34" t="n">
        <x:f>'Assumptions'!$D$25*'Assumptions'!$D$6*(1+'Assumptions'!$D$90)^(((W$7+W$8)/2-46304)/365)</x:f>
        <x:v>20512.055382293827</x:v>
      </x:c>
      <x:c r="X46" s="34" t="n">
        <x:f>'Assumptions'!$D$25*'Assumptions'!$D$6*(1+'Assumptions'!$D$90)^(((X$7+X$8)/2-46304)/365)</x:f>
        <x:v>20922.86405440433</x:v>
      </x:c>
      <x:c r="Y46" s="34" t="n">
        <x:f>'Assumptions'!$D$25*'Assumptions'!$D$6*(1+'Assumptions'!$D$90)^(((Y$7+Y$8)/2-46304)/365)</x:f>
        <x:v>21341.32133549242</x:v>
      </x:c>
      <x:c r="Z46" s="34" t="n">
        <x:f>'Assumptions'!$D$25*'Assumptions'!$D$6*(1+'Assumptions'!$D$90)^(((Z$7+Z$8)/2-46304)/365)</x:f>
        <x:v>21768.14776220227</x:v>
      </x:c>
      <x:c r="AA46" s="34" t="n">
        <x:f>'Assumptions'!$D$25*'Assumptions'!$D$6*(1+'Assumptions'!$D$90)^(((AA$7+AA$8)/2-46304)/365)</x:f>
        <x:v>22204.113037735544</x:v>
      </x:c>
      <x:c r="AB46" s="34" t="n">
        <x:f>'Assumptions'!$D$25*'Assumptions'!$D$6*(1+'Assumptions'!$D$90)^(((AB$7+AB$8)/2-46304)/365)</x:f>
        <x:v>22648.809681851355</x:v>
      </x:c>
      <x:c r="AC46" s="34" t="n">
        <x:f>'Assumptions'!$D$25*'Assumptions'!$D$6*(1+'Assumptions'!$D$90)^(((AC$7+AC$8)/2-46304)/365)</x:f>
        <x:v>23101.785875488382</x:v>
      </x:c>
      <x:c r="AD46" s="34" t="n">
        <x:f>'Assumptions'!$D$25*'Assumptions'!$D$6*(1+'Assumptions'!$D$90)^(((AD$7+AD$8)/2-46304)/365)</x:f>
        <x:v>23563.82159299815</x:v>
      </x:c>
      <x:c r="AE46" s="34" t="n">
        <x:f>'Assumptions'!$D$25*'Assumptions'!$D$6*(1+'Assumptions'!$D$90)^(((AE$7+AE$8)/2-46304)/365)</x:f>
        <x:v>24035.750031082636</x:v>
      </x:c>
      <x:c r="AF46" s="34" t="n">
        <x:f>'Assumptions'!$D$25*'Assumptions'!$D$6*(1+'Assumptions'!$D$90)^(((AF$7+AF$8)/2-46304)/365)</x:f>
        <x:v>24517.130096094188</x:v>
      </x:c>
      <x:c r="AG46" s="34" t="n">
        <x:f>'Assumptions'!$D$25*'Assumptions'!$D$6*(1+'Assumptions'!$D$90)^(((AG$7+AG$8)/2-46304)/365)</x:f>
        <x:v>25007.47269801607</x:v>
      </x:c>
      <x:c r="AH46" s="34" t="n">
        <x:f>'Assumptions'!$D$25*'Assumptions'!$D$6*(1+'Assumptions'!$D$90)^(((AH$7+AH$8)/2-46304)/365)</x:f>
        <x:v>25507.622151976393</x:v>
      </x:c>
      <x:c r="AI46" s="34" t="n">
        <x:f>'Assumptions'!$D$25*'Assumptions'!$D$6*(1+'Assumptions'!$D$90)^(((AI$7+AI$8)/2-46304)/365)</x:f>
        <x:v>26018.48038581264</x:v>
      </x:c>
      <x:c r="AJ46" s="34" t="n">
        <x:f>'Assumptions'!$D$25*'Assumptions'!$D$6*(1+'Assumptions'!$D$90)^(((AJ$7+AJ$8)/2-46304)/365)</x:f>
        <x:v>26539.569919670637</x:v>
      </x:c>
      <x:c r="AK46" s="34" t="n">
        <x:f>'Assumptions'!$D$25*'Assumptions'!$D$6*(1+'Assumptions'!$D$90)^(((AK$7+AK$8)/2-46304)/365)</x:f>
        <x:v>27070.361318064053</x:v>
      </x:c>
      <x:c r="AL46" s="34" t="n">
        <x:f>'Assumptions'!$D$25*'Assumptions'!$D$6*(1+'Assumptions'!$D$90)^(((AL$7+AL$8)/2-46304)/365)</x:f>
        <x:v>27611.768544425333</x:v>
      </x:c>
      <x:c r="AM46" s="34" t="n">
        <x:f>'Assumptions'!$D$25*'Assumptions'!$D$6*(1+'Assumptions'!$D$90)^(((AM$7+AM$8)/2-46304)/365)</x:f>
        <x:v>28164.76792741986</x:v>
      </x:c>
      <x:c r="AN46" s="34" t="n">
        <x:f>'Assumptions'!$D$25*'Assumptions'!$D$6*(1+'Assumptions'!$D$90)^(((AN$7+AN$8)/2-46304)/365)</x:f>
        <x:v>28728.842599456453</x:v>
      </x:c>
      <x:c r="AO46" s="34" t="n">
        <x:f>'Assumptions'!$D$25*'Assumptions'!$D$6*(1+'Assumptions'!$D$90)^(((AO$7+AO$8)/2-46304)/365)</x:f>
        <x:v>29303.41945144558</x:v>
      </x:c>
      <x:c r="AP46" s="34" t="n">
        <x:f>'Assumptions'!$D$25*'Assumptions'!$D$6*(1+'Assumptions'!$D$90)^(((AP$7+AP$8)/2-46304)/365)</x:f>
        <x:v>29889.487840474496</x:v>
      </x:c>
      <x:c r="AQ46" s="34" t="n">
        <x:f>'Assumptions'!$D$25*'Assumptions'!$D$6*(1+'Assumptions'!$D$90)^(((AQ$7+AQ$8)/2-46304)/365)</x:f>
        <x:v>30488.104633426785</x:v>
      </x:c>
    </x:row>
    <x:row r="47" ht="21" customHeight="1">
      <x:c r="A47" s="2"/>
      <x:c r="B47" s="2"/>
      <x:c r="C47" s="2" t="str">
        <x:v>Fixed share</x:v>
      </x:c>
      <x:c r="D47" s="2"/>
      <x:c r="E47" s="43" t="n">
        <x:f>'Assumptions'!$D$140</x:f>
        <x:v>0</x:v>
      </x:c>
      <x:c r="F47" s="43" t="n">
        <x:f>'Assumptions'!$D$140</x:f>
        <x:v>0</x:v>
      </x:c>
      <x:c r="G47" s="43" t="n">
        <x:f>'Assumptions'!$D$140</x:f>
        <x:v>0</x:v>
      </x:c>
      <x:c r="H47" s="43" t="n">
        <x:f>'Assumptions'!$D$140</x:f>
        <x:v>0</x:v>
      </x:c>
      <x:c r="I47" s="43" t="n">
        <x:f>'Assumptions'!$D$140</x:f>
        <x:v>0</x:v>
      </x:c>
      <x:c r="J47" s="43" t="n">
        <x:f>'Assumptions'!$D$140</x:f>
        <x:v>0</x:v>
      </x:c>
      <x:c r="K47" s="43" t="n">
        <x:f>'Assumptions'!$D$140</x:f>
        <x:v>0</x:v>
      </x:c>
      <x:c r="L47" s="43" t="n">
        <x:f>'Assumptions'!$D$140</x:f>
        <x:v>0</x:v>
      </x:c>
      <x:c r="M47" s="43" t="n">
        <x:f>'Assumptions'!$D$140</x:f>
        <x:v>0</x:v>
      </x:c>
      <x:c r="N47" s="43" t="n">
        <x:f>'Assumptions'!$D$140</x:f>
        <x:v>0</x:v>
      </x:c>
      <x:c r="O47" s="43" t="n">
        <x:f>'Assumptions'!$D$140</x:f>
        <x:v>0</x:v>
      </x:c>
      <x:c r="P47" s="43" t="n">
        <x:f>'Assumptions'!$D$140</x:f>
        <x:v>0</x:v>
      </x:c>
      <x:c r="Q47" s="43" t="n">
        <x:f>'Assumptions'!$D$140</x:f>
        <x:v>0</x:v>
      </x:c>
      <x:c r="R47" s="43" t="n">
        <x:f>'Assumptions'!$D$140</x:f>
        <x:v>0</x:v>
      </x:c>
      <x:c r="S47" s="43" t="n">
        <x:f>'Assumptions'!$D$140</x:f>
        <x:v>0</x:v>
      </x:c>
      <x:c r="T47" s="43" t="n">
        <x:f>'Assumptions'!$D$140</x:f>
        <x:v>0</x:v>
      </x:c>
      <x:c r="U47" s="43" t="n">
        <x:f>'Assumptions'!$D$140</x:f>
        <x:v>0</x:v>
      </x:c>
      <x:c r="V47" s="43" t="n">
        <x:f>'Assumptions'!$D$140</x:f>
        <x:v>0</x:v>
      </x:c>
      <x:c r="W47" s="43" t="n">
        <x:f>'Assumptions'!$D$140</x:f>
        <x:v>0</x:v>
      </x:c>
      <x:c r="X47" s="43" t="n">
        <x:f>'Assumptions'!$D$140</x:f>
        <x:v>0</x:v>
      </x:c>
      <x:c r="Y47" s="43" t="n">
        <x:f>'Assumptions'!$D$140</x:f>
        <x:v>0</x:v>
      </x:c>
      <x:c r="Z47" s="43" t="n">
        <x:f>'Assumptions'!$D$140</x:f>
        <x:v>0</x:v>
      </x:c>
      <x:c r="AA47" s="43" t="n">
        <x:f>'Assumptions'!$D$140</x:f>
        <x:v>0</x:v>
      </x:c>
      <x:c r="AB47" s="43" t="n">
        <x:f>'Assumptions'!$D$140</x:f>
        <x:v>0</x:v>
      </x:c>
      <x:c r="AC47" s="43" t="n">
        <x:f>'Assumptions'!$D$140</x:f>
        <x:v>0</x:v>
      </x:c>
      <x:c r="AD47" s="43" t="n">
        <x:f>'Assumptions'!$D$140</x:f>
        <x:v>0</x:v>
      </x:c>
      <x:c r="AE47" s="43" t="n">
        <x:f>'Assumptions'!$D$140</x:f>
        <x:v>0</x:v>
      </x:c>
      <x:c r="AF47" s="43" t="n">
        <x:f>'Assumptions'!$D$140</x:f>
        <x:v>0</x:v>
      </x:c>
      <x:c r="AG47" s="43" t="n">
        <x:f>'Assumptions'!$D$140</x:f>
        <x:v>0</x:v>
      </x:c>
      <x:c r="AH47" s="43" t="n">
        <x:f>'Assumptions'!$D$140</x:f>
        <x:v>0</x:v>
      </x:c>
      <x:c r="AI47" s="43" t="n">
        <x:f>'Assumptions'!$D$140</x:f>
        <x:v>0</x:v>
      </x:c>
      <x:c r="AJ47" s="43" t="n">
        <x:f>'Assumptions'!$D$140</x:f>
        <x:v>0</x:v>
      </x:c>
      <x:c r="AK47" s="43" t="n">
        <x:f>'Assumptions'!$D$140</x:f>
        <x:v>0</x:v>
      </x:c>
      <x:c r="AL47" s="43" t="n">
        <x:f>'Assumptions'!$D$140</x:f>
        <x:v>0</x:v>
      </x:c>
      <x:c r="AM47" s="43" t="n">
        <x:f>'Assumptions'!$D$140</x:f>
        <x:v>0</x:v>
      </x:c>
      <x:c r="AN47" s="43" t="n">
        <x:f>'Assumptions'!$D$140</x:f>
        <x:v>0</x:v>
      </x:c>
      <x:c r="AO47" s="43" t="n">
        <x:f>'Assumptions'!$D$140</x:f>
        <x:v>0</x:v>
      </x:c>
      <x:c r="AP47" s="43" t="n">
        <x:f>'Assumptions'!$D$140</x:f>
        <x:v>0</x:v>
      </x:c>
      <x:c r="AQ47" s="43" t="n">
        <x:f>'Assumptions'!$D$140</x:f>
        <x:v>0</x:v>
      </x:c>
    </x:row>
    <x:row r="48" ht="21" customHeight="1">
      <x:c r="A48" s="2"/>
      <x:c r="B48" s="2"/>
      <x:c r="C48" s="2" t="str">
        <x:v>Fixed TCE (USD/day)</x:v>
      </x:c>
      <x:c r="D48" s="2"/>
      <x:c r="E48" s="34" t="n">
        <x:f>'Assumptions'!$D$145*(1+'Assumptions'!$D$90)^(((E$7+E$8)/2-46304)/365)</x:f>
        <x:v>18041.062618776043</x:v>
      </x:c>
      <x:c r="F48" s="34" t="n">
        <x:f>'Assumptions'!$D$145*(1+'Assumptions'!$D$90)^(((F$7+F$8)/2-46304)/365)</x:f>
        <x:v>18125.927426311217</x:v>
      </x:c>
      <x:c r="G48" s="34" t="n">
        <x:f>'Assumptions'!$D$145*(1+'Assumptions'!$D$90)^(((G$7+G$8)/2-46304)/365)</x:f>
        <x:v>18215.143968529035</x:v>
      </x:c>
      <x:c r="H48" s="34" t="n">
        <x:f>'Assumptions'!$D$145*(1+'Assumptions'!$D$90)^(((H$7+H$8)/2-46304)/365)</x:f>
        <x:v>18305.79276954035</x:v>
      </x:c>
      <x:c r="I48" s="34" t="n">
        <x:f>'Assumptions'!$D$145*(1+'Assumptions'!$D$90)^(((I$7+I$8)/2-46304)/365)</x:f>
        <x:v>18397.391747161168</x:v>
      </x:c>
      <x:c r="J48" s="34" t="n">
        <x:f>'Assumptions'!$D$145*(1+'Assumptions'!$D$90)^(((J$7+J$8)/2-46304)/365)</x:f>
        <x:v>18488.94751561938</x:v>
      </x:c>
      <x:c r="K48" s="34" t="n">
        <x:f>'Assumptions'!$D$145*(1+'Assumptions'!$D$90)^(((K$7+K$8)/2-46304)/365)</x:f>
        <x:v>18580.454880343597</x:v>
      </x:c>
      <x:c r="L48" s="34" t="n">
        <x:f>'Assumptions'!$D$145*(1+'Assumptions'!$D$90)^(((L$7+L$8)/2-46304)/365)</x:f>
        <x:v>18672.92167391152</x:v>
      </x:c>
      <x:c r="M48" s="34" t="n">
        <x:f>'Assumptions'!$D$145*(1+'Assumptions'!$D$90)^(((M$7+M$8)/2-46304)/365)</x:f>
        <x:v>18766.357700204248</x:v>
      </x:c>
      <x:c r="N48" s="34" t="n">
        <x:f>'Assumptions'!$D$145*(1+'Assumptions'!$D$90)^(((N$7+N$8)/2-46304)/365)</x:f>
        <x:v>18859.23805140688</x:v>
      </x:c>
      <x:c r="O48" s="34" t="n">
        <x:f>'Assumptions'!$D$145*(1+'Assumptions'!$D$90)^(((O$7+O$8)/2-46304)/365)</x:f>
        <x:v>18952.06397795047</x:v>
      </x:c>
      <x:c r="P48" s="34" t="n">
        <x:f>'Assumptions'!$D$145*(1+'Assumptions'!$D$90)^(((P$7+P$8)/2-46304)/365)</x:f>
        <x:v>19046.38010738975</x:v>
      </x:c>
      <x:c r="Q48" s="34" t="n">
        <x:f>'Assumptions'!$D$145*(1+'Assumptions'!$D$90)^(((Q$7+Q$8)/2-46304)/365)</x:f>
        <x:v>19283.967479274062</x:v>
      </x:c>
      <x:c r="R48" s="34" t="n">
        <x:f>'Assumptions'!$D$145*(1+'Assumptions'!$D$90)^(((R$7+R$8)/2-46304)/365)</x:f>
        <x:v>19669.646828859546</x:v>
      </x:c>
      <x:c r="S48" s="34" t="n">
        <x:f>'Assumptions'!$D$145*(1+'Assumptions'!$D$90)^(((S$7+S$8)/2-46304)/365)</x:f>
        <x:v>20063.584020625396</x:v>
      </x:c>
      <x:c r="T48" s="34" t="n">
        <x:f>'Assumptions'!$D$145*(1+'Assumptions'!$D$90)^(((T$7+T$8)/2-46304)/365)</x:f>
        <x:v>20465.410856389764</x:v>
      </x:c>
      <x:c r="U48" s="34" t="n">
        <x:f>'Assumptions'!$D$145*(1+'Assumptions'!$D$90)^(((U$7+U$8)/2-46304)/365)</x:f>
        <x:v>20874.71907351756</x:v>
      </x:c>
      <x:c r="V48" s="34" t="n">
        <x:f>'Assumptions'!$D$145*(1+'Assumptions'!$D$90)^(((V$7+V$8)/2-46304)/365)</x:f>
        <x:v>21292.213454987912</x:v>
      </x:c>
      <x:c r="W48" s="34" t="n">
        <x:f>'Assumptions'!$D$145*(1+'Assumptions'!$D$90)^(((W$7+W$8)/2-46304)/365)</x:f>
        <x:v>21718.646875369934</x:v>
      </x:c>
      <x:c r="X48" s="34" t="n">
        <x:f>'Assumptions'!$D$145*(1+'Assumptions'!$D$90)^(((X$7+X$8)/2-46304)/365)</x:f>
        <x:v>22153.62076348694</x:v>
      </x:c>
      <x:c r="Y48" s="34" t="n">
        <x:f>'Assumptions'!$D$145*(1+'Assumptions'!$D$90)^(((Y$7+Y$8)/2-46304)/365)</x:f>
        <x:v>22596.69317875668</x:v>
      </x:c>
      <x:c r="Z48" s="34" t="n">
        <x:f>'Assumptions'!$D$145*(1+'Assumptions'!$D$90)^(((Z$7+Z$8)/2-46304)/365)</x:f>
        <x:v>23048.627042331816</x:v>
      </x:c>
      <x:c r="AA48" s="34" t="n">
        <x:f>'Assumptions'!$D$145*(1+'Assumptions'!$D$90)^(((AA$7+AA$8)/2-46304)/365)</x:f>
        <x:v>23510.23733407293</x:v>
      </x:c>
      <x:c r="AB48" s="34" t="n">
        <x:f>'Assumptions'!$D$145*(1+'Assumptions'!$D$90)^(((AB$7+AB$8)/2-46304)/365)</x:f>
        <x:v>23981.0926043132</x:v>
      </x:c>
      <x:c r="AC48" s="34" t="n">
        <x:f>'Assumptions'!$D$145*(1+'Assumptions'!$D$90)^(((AC$7+AC$8)/2-46304)/365)</x:f>
        <x:v>24460.714456399466</x:v>
      </x:c>
      <x:c r="AD48" s="34" t="n">
        <x:f>'Assumptions'!$D$145*(1+'Assumptions'!$D$90)^(((AD$7+AD$8)/2-46304)/365)</x:f>
        <x:v>24949.928745527453</x:v>
      </x:c>
      <x:c r="AE48" s="34" t="n">
        <x:f>'Assumptions'!$D$145*(1+'Assumptions'!$D$90)^(((AE$7+AE$8)/2-46304)/365)</x:f>
        <x:v>25449.61767996985</x:v>
      </x:c>
      <x:c r="AF48" s="34" t="n">
        <x:f>'Assumptions'!$D$145*(1+'Assumptions'!$D$90)^(((AF$7+AF$8)/2-46304)/365)</x:f>
        <x:v>25959.314219393847</x:v>
      </x:c>
      <x:c r="AG48" s="34" t="n">
        <x:f>'Assumptions'!$D$145*(1+'Assumptions'!$D$90)^(((AG$7+AG$8)/2-46304)/365)</x:f>
        <x:v>26478.50050378172</x:v>
      </x:c>
      <x:c r="AH48" s="34" t="n">
        <x:f>'Assumptions'!$D$145*(1+'Assumptions'!$D$90)^(((AH$7+AH$8)/2-46304)/365)</x:f>
        <x:v>27008.070513857358</x:v>
      </x:c>
      <x:c r="AI48" s="34" t="n">
        <x:f>'Assumptions'!$D$145*(1+'Assumptions'!$D$90)^(((AI$7+AI$8)/2-46304)/365)</x:f>
        <x:v>27548.979232036912</x:v>
      </x:c>
      <x:c r="AJ48" s="34" t="n">
        <x:f>'Assumptions'!$D$145*(1+'Assumptions'!$D$90)^(((AJ$7+AJ$8)/2-46304)/365)</x:f>
        <x:v>28100.72109141597</x:v>
      </x:c>
      <x:c r="AK48" s="34" t="n">
        <x:f>'Assumptions'!$D$145*(1+'Assumptions'!$D$90)^(((AK$7+AK$8)/2-46304)/365)</x:f>
        <x:v>28662.73551324429</x:v>
      </x:c>
      <x:c r="AL48" s="34" t="n">
        <x:f>'Assumptions'!$D$145*(1+'Assumptions'!$D$90)^(((AL$7+AL$8)/2-46304)/365)</x:f>
        <x:v>29235.990223509176</x:v>
      </x:c>
      <x:c r="AM48" s="34" t="n">
        <x:f>'Assumptions'!$D$145*(1+'Assumptions'!$D$90)^(((AM$7+AM$8)/2-46304)/365)</x:f>
        <x:v>29821.518981973968</x:v>
      </x:c>
      <x:c r="AN48" s="34" t="n">
        <x:f>'Assumptions'!$D$145*(1+'Assumptions'!$D$90)^(((AN$7+AN$8)/2-46304)/365)</x:f>
        <x:v>30418.77451707154</x:v>
      </x:c>
      <x:c r="AO48" s="34" t="n">
        <x:f>'Assumptions'!$D$145*(1+'Assumptions'!$D$90)^(((AO$7+AO$8)/2-46304)/365)</x:f>
        <x:v>31027.15000741297</x:v>
      </x:c>
      <x:c r="AP48" s="34" t="n">
        <x:f>'Assumptions'!$D$145*(1+'Assumptions'!$D$90)^(((AP$7+AP$8)/2-46304)/365)</x:f>
        <x:v>31647.693007561233</x:v>
      </x:c>
      <x:c r="AQ48" s="34" t="n">
        <x:f>'Assumptions'!$D$145*(1+'Assumptions'!$D$90)^(((AQ$7+AQ$8)/2-46304)/365)</x:f>
        <x:v>32281.522553040122</x:v>
      </x:c>
    </x:row>
    <x:row r="49" ht="21" customHeight="1">
      <x:c r="A49" s="2"/>
      <x:c r="B49" s="2"/>
      <x:c r="C49" s="2" t="str">
        <x:v>TCE cash revenue</x:v>
      </x:c>
      <x:c r="D49" s="2"/>
      <x:c r="E49" s="39" t="n">
        <x:f>E45*((1-E47)*E46+E47*E48)</x:f>
        <x:v>52445369.03278195</x:v>
      </x:c>
      <x:c r="F49" s="39" t="n">
        <x:f>F45*((1-F47)*F46+F47*F48)</x:f>
        <x:v>61474082.86633449</x:v>
      </x:c>
      <x:c r="G49" s="39" t="n">
        <x:f>G45*((1-G47)*G46+G47*G48)</x:f>
        <x:v>62463068.11114696</x:v>
      </x:c>
      <x:c r="H49" s="39" t="n">
        <x:f>H45*((1-H47)*H46+H47*H48)</x:f>
        <x:v>63463742.75962711</x:v>
      </x:c>
      <x:c r="I49" s="39" t="n">
        <x:f>I45*((1-I47)*I46+I47*I48)</x:f>
        <x:v>63781304.20184148</x:v>
      </x:c>
      <x:c r="J49" s="39" t="n">
        <x:f>J45*((1-J47)*J46+J47*J48)</x:f>
        <x:v>63401990.67143672</x:v>
      </x:c>
      <x:c r="K49" s="39" t="n">
        <x:f>K45*((1-K47)*K46+K47*K48)</x:f>
        <x:v>63715786.20142625</x:v>
      </x:c>
      <x:c r="L49" s="39" t="n">
        <x:f>L45*((1-L47)*L46+L47*L48)</x:f>
        <x:v>64736529.72056139</x:v>
      </x:c>
      <x:c r="M49" s="39" t="n">
        <x:f>M45*((1-M47)*M46+M47*M48)</x:f>
        <x:v>65060459.965581425</x:v>
      </x:c>
      <x:c r="N49" s="39" t="n">
        <x:f>N45*((1-N47)*N46+N47*N48)</x:f>
        <x:v>63961105.851346426</x:v>
      </x:c>
      <x:c r="O49" s="39" t="n">
        <x:f>O45*((1-O47)*O46+O47*O48)</x:f>
        <x:v>64990101.92545479</x:v>
      </x:c>
      <x:c r="P49" s="39" t="n">
        <x:f>P45*((1-P47)*P46+P47*P48)</x:f>
        <x:v>66031260.3149726</x:v>
      </x:c>
      <x:c r="Q49" s="39" t="n">
        <x:f>Q45*((1-Q47)*Q46+Q47*Q48)</x:f>
        <x:v>263647939.3141237</x:v>
      </x:c>
      <x:c r="R49" s="39" t="n">
        <x:f>R45*((1-R47)*R46+R47*R48)</x:f>
        <x:v>252737641.5340542</x:v>
      </x:c>
      <x:c r="S49" s="39" t="n">
        <x:f>S45*((1-S47)*S46+S47*S48)</x:f>
        <x:v>219042172.18677568</x:v>
      </x:c>
      <x:c r="T49" s="39" t="n">
        <x:f>T45*((1-T47)*T46+T47*T48)</x:f>
        <x:v>204387660.28422013</x:v>
      </x:c>
      <x:c r="U49" s="39" t="n">
        <x:f>U45*((1-U47)*U46+U47*U48)</x:f>
        <x:v>198249236.52777287</x:v>
      </x:c>
      <x:c r="V49" s="39" t="n">
        <x:f>V45*((1-V47)*V46+V47*V48)</x:f>
        <x:v>198699113.39705932</x:v>
      </x:c>
      <x:c r="W49" s="39" t="n">
        <x:f>W45*((1-W47)*W46+W47*W48)</x:f>
        <x:v>187186863.80219877</x:v>
      </x:c>
      <x:c r="X49" s="39" t="n">
        <x:f>X45*((1-X47)*X46+X47*X48)</x:f>
        <x:v>170462758.02404296</x:v>
      </x:c>
      <x:c r="Y49" s="39" t="n">
        <x:f>Y45*((1-Y47)*Y46+Y47*Y48)</x:f>
        <x:v>153476112.38419372</x:v>
      </x:c>
      <x:c r="Z49" s="39" t="n">
        <x:f>Z45*((1-Z47)*Z46+Z47*Z48)</x:f>
        <x:v>124512716.79240887</x:v>
      </x:c>
      <x:c r="AA49" s="39" t="n">
        <x:f>AA45*((1-AA47)*AA46+AA47*AA48)</x:f>
        <x:v>109983633.10981548</x:v>
      </x:c>
      <x:c r="AB49" s="39" t="n">
        <x:f>AB45*((1-AB47)*AB46+AB47*AB48)</x:f>
        <x:v>90282685.15379587</x:v>
      </x:c>
      <x:c r="AC49" s="39" t="n">
        <x:f>AC45*((1-AC47)*AC46+AC47*AC48)</x:f>
        <x:v>78086346.43773828</x:v>
      </x:c>
      <x:c r="AD49" s="39" t="n">
        <x:f>AD45*((1-AD47)*AD46+AD47*AD48)</x:f>
        <x:v>73536796.23634897</x:v>
      </x:c>
      <x:c r="AE49" s="39" t="n">
        <x:f>AE45*((1-AE47)*AE46+AE47*AE48)</x:f>
        <x:v>75215072.57226689</x:v>
      </x:c>
      <x:c r="AF49" s="39" t="n">
        <x:f>AF45*((1-AF47)*AF46+AF47*AF48)</x:f>
        <x:v>76511833.74738593</x:v>
      </x:c>
      <x:c r="AG49" s="39" t="n">
        <x:f>AG45*((1-AG47)*AG46+AG47*AG48)</x:f>
        <x:v>75856417.30852704</x:v>
      </x:c>
      <x:c r="AH49" s="39" t="n">
        <x:f>AH45*((1-AH47)*AH46+AH47*AH48)</x:f>
        <x:v>70758143.84958251</x:v>
      </x:c>
      <x:c r="AI49" s="39" t="n">
        <x:f>AI45*((1-AI47)*AI46+AI47*AI48)</x:f>
        <x:v>72373005.04117644</x:v>
      </x:c>
      <x:c r="AJ49" s="39" t="n">
        <x:f>AJ45*((1-AJ47)*AJ46+AJ47*AJ48)</x:f>
        <x:v>73620766.95716634</x:v>
      </x:c>
      <x:c r="AK49" s="39" t="n">
        <x:f>AK45*((1-AK47)*AK46+AK47*AK48)</x:f>
        <x:v>75093182.29630968</x:v>
      </x:c>
      <x:c r="AL49" s="39" t="n">
        <x:f>AL45*((1-AL47)*AL46+AL47*AL48)</x:f>
        <x:v>57288897.37597367</x:v>
      </x:c>
      <x:c r="AM49" s="39" t="n">
        <x:f>AM45*((1-AM47)*AM46+AM47*AM48)</x:f>
        <x:v>0</x:v>
      </x:c>
      <x:c r="AN49" s="39" t="n">
        <x:f>AN45*((1-AN47)*AN46+AN47*AN48)</x:f>
        <x:v>0</x:v>
      </x:c>
      <x:c r="AO49" s="39" t="n">
        <x:f>AO45*((1-AO47)*AO46+AO47*AO48)</x:f>
        <x:v>0</x:v>
      </x:c>
      <x:c r="AP49" s="39" t="n">
        <x:f>AP45*((1-AP47)*AP46+AP47*AP48)</x:f>
        <x:v>0</x:v>
      </x:c>
      <x:c r="AQ49" s="39" t="n">
        <x:f>AQ45*((1-AQ47)*AQ46+AQ47*AQ48)</x:f>
        <x:v>0</x:v>
      </x:c>
    </x:row>
    <x:row r="50" ht="21" customHeight="1">
      <x:c r="A50" s="2"/>
      <x:c r="B50" s="2"/>
      <x:c r="C50" s="2" t="str">
        <x:v>Vessel operating cost</x:v>
      </x:c>
      <x:c r="D50" s="2"/>
      <x:c r="E50" s="37" t="n">
        <x:f>E44*'Assumptions'!$D$60*(1+'Assumptions'!$D$90)^(((E$7+E$8)/2-46304)/365)</x:f>
        <x:v>17211173.738312345</x:v>
      </x:c>
      <x:c r="F50" s="37" t="n">
        <x:f>F44*'Assumptions'!$D$60*(1+'Assumptions'!$D$90)^(((F$7+F$8)/2-46304)/365)</x:f>
        <x:v>20174157.225484382</x:v>
      </x:c>
      <x:c r="G50" s="37" t="n">
        <x:f>G44*'Assumptions'!$D$60*(1+'Assumptions'!$D$90)^(((G$7+G$8)/2-46304)/365)</x:f>
        <x:v>20498715.85071696</x:v>
      </x:c>
      <x:c r="H50" s="37" t="n">
        <x:f>H44*'Assumptions'!$D$60*(1+'Assumptions'!$D$90)^(((H$7+H$8)/2-46304)/365)</x:f>
        <x:v>20827110.626998372</x:v>
      </x:c>
      <x:c r="I50" s="37" t="n">
        <x:f>I44*'Assumptions'!$D$60*(1+'Assumptions'!$D$90)^(((I$7+I$8)/2-46304)/365)</x:f>
        <x:v>20931325.837136835</x:v>
      </x:c>
      <x:c r="J50" s="37" t="n">
        <x:f>J44*'Assumptions'!$D$60*(1+'Assumptions'!$D$90)^(((J$7+J$8)/2-46304)/365)</x:f>
        <x:v>20806845.23582753</x:v>
      </x:c>
      <x:c r="K50" s="37" t="n">
        <x:f>K44*'Assumptions'!$D$60*(1+'Assumptions'!$D$90)^(((K$7+K$8)/2-46304)/365)</x:f>
        <x:v>20909824.573842674</x:v>
      </x:c>
      <x:c r="L50" s="37" t="n">
        <x:f>L44*'Assumptions'!$D$60*(1+'Assumptions'!$D$90)^(((L$7+L$8)/2-46304)/365)</x:f>
        <x:v>21244805.419131603</x:v>
      </x:c>
      <x:c r="M50" s="37" t="n">
        <x:f>M44*'Assumptions'!$D$60*(1+'Assumptions'!$D$90)^(((M$7+M$8)/2-46304)/365)</x:f>
        <x:v>21351110.700779047</x:v>
      </x:c>
      <x:c r="N50" s="37" t="n">
        <x:f>N44*'Assumptions'!$D$60*(1+'Assumptions'!$D$90)^(((N$7+N$8)/2-46304)/365)</x:f>
        <x:v>20990331.951215856</x:v>
      </x:c>
      <x:c r="O50" s="37" t="n">
        <x:f>O44*'Assumptions'!$D$60*(1+'Assumptions'!$D$90)^(((O$7+O$8)/2-46304)/365)</x:f>
        <x:v>21328021.065319527</x:v>
      </x:c>
      <x:c r="P50" s="37" t="n">
        <x:f>P44*'Assumptions'!$D$60*(1+'Assumptions'!$D$90)^(((P$7+P$8)/2-46304)/365)</x:f>
        <x:v>21669701.52751423</x:v>
      </x:c>
      <x:c r="Q50" s="37" t="n">
        <x:f>Q44*'Assumptions'!$D$60*(1+'Assumptions'!$D$90)^(((Q$7+Q$8)/2-46304)/365)</x:f>
        <x:v>86522233.95448023</x:v>
      </x:c>
      <x:c r="R50" s="37" t="n">
        <x:f>R44*'Assumptions'!$D$60*(1+'Assumptions'!$D$90)^(((R$7+R$8)/2-46304)/365)</x:f>
        <x:v>82941764.71396205</x:v>
      </x:c>
      <x:c r="S50" s="37" t="n">
        <x:f>S44*'Assumptions'!$D$60*(1+'Assumptions'!$D$90)^(((S$7+S$8)/2-46304)/365)</x:f>
        <x:v>71883808.82909666</x:v>
      </x:c>
      <x:c r="T50" s="37" t="n">
        <x:f>T44*'Assumptions'!$D$60*(1+'Assumptions'!$D$90)^(((T$7+T$8)/2-46304)/365)</x:f>
        <x:v>67074588.20472859</x:v>
      </x:c>
      <x:c r="U50" s="37" t="n">
        <x:f>U44*'Assumptions'!$D$60*(1+'Assumptions'!$D$90)^(((U$7+U$8)/2-46304)/365)</x:f>
        <x:v>65060120.96577066</x:v>
      </x:c>
      <x:c r="V50" s="37" t="n">
        <x:f>V44*'Assumptions'!$D$60*(1+'Assumptions'!$D$90)^(((V$7+V$8)/2-46304)/365)</x:f>
        <x:v>65207758.576124735</x:v>
      </x:c>
      <x:c r="W50" s="37" t="n">
        <x:f>W44*'Assumptions'!$D$60*(1+'Assumptions'!$D$90)^(((W$7+W$8)/2-46304)/365)</x:f>
        <x:v>61429744.77719217</x:v>
      </x:c>
      <x:c r="X50" s="37" t="n">
        <x:f>X44*'Assumptions'!$D$60*(1+'Assumptions'!$D$90)^(((X$7+X$8)/2-46304)/365)</x:f>
        <x:v>55941338.54658995</x:v>
      </x:c>
      <x:c r="Y50" s="37" t="n">
        <x:f>Y44*'Assumptions'!$D$60*(1+'Assumptions'!$D$90)^(((Y$7+Y$8)/2-46304)/365)</x:f>
        <x:v>50366773.72360537</x:v>
      </x:c>
      <x:c r="Z50" s="37" t="n">
        <x:f>Z44*'Assumptions'!$D$60*(1+'Assumptions'!$D$90)^(((Z$7+Z$8)/2-46304)/365)</x:f>
        <x:v>40861758.45199796</x:v>
      </x:c>
      <x:c r="AA50" s="37" t="n">
        <x:f>AA44*'Assumptions'!$D$60*(1+'Assumptions'!$D$90)^(((AA$7+AA$8)/2-46304)/365)</x:f>
        <x:v>36093700.029846564</x:v>
      </x:c>
      <x:c r="AB50" s="37" t="n">
        <x:f>AB44*'Assumptions'!$D$60*(1+'Assumptions'!$D$90)^(((AB$7+AB$8)/2-46304)/365)</x:f>
        <x:v>29628373.456044465</x:v>
      </x:c>
      <x:c r="AC50" s="37" t="n">
        <x:f>AC44*'Assumptions'!$D$60*(1+'Assumptions'!$D$90)^(((AC$7+AC$8)/2-46304)/365)</x:f>
        <x:v>25625859.821672626</x:v>
      </x:c>
      <x:c r="AD50" s="37" t="n">
        <x:f>AD44*'Assumptions'!$D$60*(1+'Assumptions'!$D$90)^(((AD$7+AD$8)/2-46304)/365)</x:f>
        <x:v>24132818.579111427</x:v>
      </x:c>
      <x:c r="AE50" s="37" t="n">
        <x:f>AE44*'Assumptions'!$D$60*(1+'Assumptions'!$D$90)^(((AE$7+AE$8)/2-46304)/365)</x:f>
        <x:v>24683584.187802758</x:v>
      </x:c>
      <x:c r="AF50" s="37" t="n">
        <x:f>AF44*'Assumptions'!$D$60*(1+'Assumptions'!$D$90)^(((AF$7+AF$8)/2-46304)/365)</x:f>
        <x:v>25109146.6787087</x:v>
      </x:c>
      <x:c r="AG50" s="37" t="n">
        <x:f>AG44*'Assumptions'!$D$60*(1+'Assumptions'!$D$90)^(((AG$7+AG$8)/2-46304)/365)</x:f>
        <x:v>24894056.45419154</x:v>
      </x:c>
      <x:c r="AH50" s="37" t="n">
        <x:f>AH44*'Assumptions'!$D$60*(1+'Assumptions'!$D$90)^(((AH$7+AH$8)/2-46304)/365)</x:f>
        <x:v>23220938.848469805</x:v>
      </x:c>
      <x:c r="AI50" s="37" t="n">
        <x:f>AI44*'Assumptions'!$D$60*(1+'Assumptions'!$D$90)^(((AI$7+AI$8)/2-46304)/365)</x:f>
        <x:v>23750893.295246758</x:v>
      </x:c>
      <x:c r="AJ50" s="37" t="n">
        <x:f>AJ44*'Assumptions'!$D$60*(1+'Assumptions'!$D$90)^(((AJ$7+AJ$8)/2-46304)/365)</x:f>
        <x:v>24160375.533930752</x:v>
      </x:c>
      <x:c r="AK50" s="37" t="n">
        <x:f>AK44*'Assumptions'!$D$60*(1+'Assumptions'!$D$90)^(((AK$7+AK$8)/2-46304)/365)</x:f>
        <x:v>24643583.044609368</x:v>
      </x:c>
      <x:c r="AL50" s="37" t="n">
        <x:f>AL44*'Assumptions'!$D$60*(1+'Assumptions'!$D$90)^(((AL$7+AL$8)/2-46304)/365)</x:f>
        <x:v>18800690.7797313</x:v>
      </x:c>
      <x:c r="AM50" s="37" t="n">
        <x:f>AM44*'Assumptions'!$D$60*(1+'Assumptions'!$D$90)^(((AM$7+AM$8)/2-46304)/365)</x:f>
        <x:v>0</x:v>
      </x:c>
      <x:c r="AN50" s="37" t="n">
        <x:f>AN44*'Assumptions'!$D$60*(1+'Assumptions'!$D$90)^(((AN$7+AN$8)/2-46304)/365)</x:f>
        <x:v>0</x:v>
      </x:c>
      <x:c r="AO50" s="37" t="n">
        <x:f>AO44*'Assumptions'!$D$60*(1+'Assumptions'!$D$90)^(((AO$7+AO$8)/2-46304)/365)</x:f>
        <x:v>0</x:v>
      </x:c>
      <x:c r="AP50" s="37" t="n">
        <x:f>AP44*'Assumptions'!$D$60*(1+'Assumptions'!$D$90)^(((AP$7+AP$8)/2-46304)/365)</x:f>
        <x:v>0</x:v>
      </x:c>
      <x:c r="AQ50" s="37" t="n">
        <x:f>AQ44*'Assumptions'!$D$60*(1+'Assumptions'!$D$90)^(((AQ$7+AQ$8)/2-46304)/365)</x:f>
        <x:v>0</x:v>
      </x:c>
    </x:row>
    <x:row r="51" ht="21" customHeight="1">
      <x:c r="A51" s="2"/>
      <x:c r="B51" s="2"/>
      <x:c r="C51" s="2" t="str">
        <x:v>Management fees</x:v>
      </x:c>
      <x:c r="D51" s="2"/>
      <x:c r="E51" s="37" t="n">
        <x:f>E44*'Assumptions'!$D$65*(1+'Assumptions'!$D$90)^(((E$7+E$8)/2-46304)/365)</x:f>
        <x:v>1493799.9848346561</x:v>
      </x:c>
      <x:c r="F51" s="37" t="n">
        <x:f>F44*'Assumptions'!$D$65*(1+'Assumptions'!$D$90)^(((F$7+F$8)/2-46304)/365)</x:f>
        <x:v>1750964.5893816634</x:v>
      </x:c>
      <x:c r="G51" s="37" t="n">
        <x:f>G44*'Assumptions'!$D$65*(1+'Assumptions'!$D$90)^(((G$7+G$8)/2-46304)/365)</x:f>
        <x:v>1779133.8285527928</x:v>
      </x:c>
      <x:c r="H51" s="37" t="n">
        <x:f>H44*'Assumptions'!$D$65*(1+'Assumptions'!$D$90)^(((H$7+H$8)/2-46304)/365)</x:f>
        <x:v>1807636.0166828777</x:v>
      </x:c>
      <x:c r="I51" s="37" t="n">
        <x:f>I44*'Assumptions'!$D$65*(1+'Assumptions'!$D$90)^(((I$7+I$8)/2-46304)/365)</x:f>
        <x:v>1816681.1103930082</x:v>
      </x:c>
      <x:c r="J51" s="37" t="n">
        <x:f>J44*'Assumptions'!$D$65*(1+'Assumptions'!$D$90)^(((J$7+J$8)/2-46304)/365)</x:f>
        <x:v>1805877.133675597</x:v>
      </x:c>
      <x:c r="K51" s="37" t="n">
        <x:f>K44*'Assumptions'!$D$65*(1+'Assumptions'!$D$90)^(((K$7+K$8)/2-46304)/365)</x:f>
        <x:v>1814814.9630127605</x:v>
      </x:c>
      <x:c r="L51" s="37" t="n">
        <x:f>L44*'Assumptions'!$D$65*(1+'Assumptions'!$D$90)^(((L$7+L$8)/2-46304)/365)</x:f>
        <x:v>1843888.7722265164</x:v>
      </x:c>
      <x:c r="M51" s="37" t="n">
        <x:f>M44*'Assumptions'!$D$65*(1+'Assumptions'!$D$90)^(((M$7+M$8)/2-46304)/365)</x:f>
        <x:v>1853115.268369502</x:v>
      </x:c>
      <x:c r="N51" s="37" t="n">
        <x:f>N44*'Assumptions'!$D$65*(1+'Assumptions'!$D$90)^(((N$7+N$8)/2-46304)/365)</x:f>
        <x:v>1821802.3957659046</x:v>
      </x:c>
      <x:c r="O51" s="37" t="n">
        <x:f>O44*'Assumptions'!$D$65*(1+'Assumptions'!$D$90)^(((O$7+O$8)/2-46304)/365)</x:f>
        <x:v>1851111.2622730157</x:v>
      </x:c>
      <x:c r="P51" s="37" t="n">
        <x:f>P44*'Assumptions'!$D$65*(1+'Assumptions'!$D$90)^(((P$7+P$8)/2-46304)/365)</x:f>
        <x:v>1880766.5476710466</x:v>
      </x:c>
      <x:c r="Q51" s="37" t="n">
        <x:f>Q44*'Assumptions'!$D$65*(1+'Assumptions'!$D$90)^(((Q$7+Q$8)/2-46304)/365)</x:f>
        <x:v>7509476.909256775</x:v>
      </x:c>
      <x:c r="R51" s="37" t="n">
        <x:f>R44*'Assumptions'!$D$65*(1+'Assumptions'!$D$90)^(((R$7+R$8)/2-46304)/365)</x:f>
        <x:v>7198719.20158916</x:v>
      </x:c>
      <x:c r="S51" s="37" t="n">
        <x:f>S44*'Assumptions'!$D$65*(1+'Assumptions'!$D$90)^(((S$7+S$8)/2-46304)/365)</x:f>
        <x:v>6238972.087053672</x:v>
      </x:c>
      <x:c r="T51" s="37" t="n">
        <x:f>T44*'Assumptions'!$D$65*(1+'Assumptions'!$D$90)^(((T$7+T$8)/2-46304)/365)</x:f>
        <x:v>5821568.032863236</x:v>
      </x:c>
      <x:c r="U51" s="37" t="n">
        <x:f>U44*'Assumptions'!$D$65*(1+'Assumptions'!$D$90)^(((U$7+U$8)/2-46304)/365)</x:f>
        <x:v>5646727.480048019</x:v>
      </x:c>
      <x:c r="V51" s="37" t="n">
        <x:f>V44*'Assumptions'!$D$65*(1+'Assumptions'!$D$90)^(((V$7+V$8)/2-46304)/365)</x:f>
        <x:v>5659541.310380638</x:v>
      </x:c>
      <x:c r="W51" s="37" t="n">
        <x:f>W44*'Assumptions'!$D$65*(1+'Assumptions'!$D$90)^(((W$7+W$8)/2-46304)/365)</x:f>
        <x:v>5331638.225944981</x:v>
      </x:c>
      <x:c r="X51" s="37" t="n">
        <x:f>X44*'Assumptions'!$D$65*(1+'Assumptions'!$D$90)^(((X$7+X$8)/2-46304)/365)</x:f>
        <x:v>4855285.987062524</x:v>
      </x:c>
      <x:c r="Y51" s="37" t="n">
        <x:f>Y44*'Assumptions'!$D$65*(1+'Assumptions'!$D$90)^(((Y$7+Y$8)/2-46304)/365)</x:f>
        <x:v>4371455.8326148065</x:v>
      </x:c>
      <x:c r="Z51" s="37" t="n">
        <x:f>Z44*'Assumptions'!$D$65*(1+'Assumptions'!$D$90)^(((Z$7+Z$8)/2-46304)/365)</x:f>
        <x:v>3546492.2430035966</x:v>
      </x:c>
      <x:c r="AA51" s="37" t="n">
        <x:f>AA44*'Assumptions'!$D$65*(1+'Assumptions'!$D$90)^(((AA$7+AA$8)/2-46304)/365)</x:f>
        <x:v>3132660.7573074372</x:v>
      </x:c>
      <x:c r="AB51" s="37" t="n">
        <x:f>AB44*'Assumptions'!$D$65*(1+'Assumptions'!$D$90)^(((AB$7+AB$8)/2-46304)/365)</x:f>
        <x:v>2571519.205618954</x:v>
      </x:c>
      <x:c r="AC51" s="37" t="n">
        <x:f>AC44*'Assumptions'!$D$65*(1+'Assumptions'!$D$90)^(((AC$7+AC$8)/2-46304)/365)</x:f>
        <x:v>2224131.2298055487</x:v>
      </x:c>
      <x:c r="AD51" s="37" t="n">
        <x:f>AD44*'Assumptions'!$D$65*(1+'Assumptions'!$D$90)^(((AD$7+AD$8)/2-46304)/365)</x:f>
        <x:v>2094546.5181870298</x:v>
      </x:c>
      <x:c r="AE51" s="37" t="n">
        <x:f>AE44*'Assumptions'!$D$65*(1+'Assumptions'!$D$90)^(((AE$7+AE$8)/2-46304)/365)</x:f>
        <x:v>2142348.816299862</x:v>
      </x:c>
      <x:c r="AF51" s="37" t="n">
        <x:f>AF44*'Assumptions'!$D$65*(1+'Assumptions'!$D$90)^(((AF$7+AF$8)/2-46304)/365)</x:f>
        <x:v>2179284.4287181133</x:v>
      </x:c>
      <x:c r="AG51" s="37" t="n">
        <x:f>AG44*'Assumptions'!$D$65*(1+'Assumptions'!$D$90)^(((AG$7+AG$8)/2-46304)/365)</x:f>
        <x:v>2160616.2205524733</x:v>
      </x:c>
      <x:c r="AH51" s="37" t="n">
        <x:f>AH44*'Assumptions'!$D$65*(1+'Assumptions'!$D$90)^(((AH$7+AH$8)/2-46304)/365)</x:f>
        <x:v>2015402.2396785112</x:v>
      </x:c>
      <x:c r="AI51" s="37" t="n">
        <x:f>AI44*'Assumptions'!$D$65*(1+'Assumptions'!$D$90)^(((AI$7+AI$8)/2-46304)/365)</x:f>
        <x:v>2061398.2860025489</x:v>
      </x:c>
      <x:c r="AJ51" s="37" t="n">
        <x:f>AJ44*'Assumptions'!$D$65*(1+'Assumptions'!$D$90)^(((AJ$7+AJ$8)/2-46304)/365)</x:f>
        <x:v>2096938.2538883295</x:v>
      </x:c>
      <x:c r="AK51" s="37" t="n">
        <x:f>AK44*'Assumptions'!$D$65*(1+'Assumptions'!$D$90)^(((AK$7+AK$8)/2-46304)/365)</x:f>
        <x:v>2138877.018966096</x:v>
      </x:c>
      <x:c r="AL51" s="37" t="n">
        <x:f>AL44*'Assumptions'!$D$65*(1+'Assumptions'!$D$90)^(((AL$7+AL$8)/2-46304)/365)</x:f>
        <x:v>1631758.0676747921</x:v>
      </x:c>
      <x:c r="AM51" s="37" t="n">
        <x:f>AM44*'Assumptions'!$D$65*(1+'Assumptions'!$D$90)^(((AM$7+AM$8)/2-46304)/365)</x:f>
        <x:v>0</x:v>
      </x:c>
      <x:c r="AN51" s="37" t="n">
        <x:f>AN44*'Assumptions'!$D$65*(1+'Assumptions'!$D$90)^(((AN$7+AN$8)/2-46304)/365)</x:f>
        <x:v>0</x:v>
      </x:c>
      <x:c r="AO51" s="37" t="n">
        <x:f>AO44*'Assumptions'!$D$65*(1+'Assumptions'!$D$90)^(((AO$7+AO$8)/2-46304)/365)</x:f>
        <x:v>0</x:v>
      </x:c>
      <x:c r="AP51" s="37" t="n">
        <x:f>AP44*'Assumptions'!$D$65*(1+'Assumptions'!$D$90)^(((AP$7+AP$8)/2-46304)/365)</x:f>
        <x:v>0</x:v>
      </x:c>
      <x:c r="AQ51" s="37" t="n">
        <x:f>AQ44*'Assumptions'!$D$65*(1+'Assumptions'!$D$90)^(((AQ$7+AQ$8)/2-46304)/365)</x:f>
        <x:v>0</x:v>
      </x:c>
    </x:row>
    <x:row r="52" ht="21" customHeight="1">
      <x:c r="A52" s="2"/>
      <x:c r="B52" s="2"/>
      <x:c r="C52" s="2" t="str">
        <x:v>Drydock cash budget</x:v>
      </x:c>
      <x:c r="D52" s="2"/>
      <x:c r="E52" s="37" t="n">
        <x:f>E44/365*'Assumptions'!$D$75*(1+'Assumptions'!$D$90)^(((E$7+E$8)/2-46304)/365)</x:f>
        <x:v>5160238.184658133</x:v>
      </x:c>
      <x:c r="F52" s="37" t="n">
        <x:f>F44/365*'Assumptions'!$D$75*(1+'Assumptions'!$D$90)^(((F$7+F$8)/2-46304)/365)</x:f>
        <x:v>6048597.152122483</x:v>
      </x:c>
      <x:c r="G52" s="37" t="n">
        <x:f>G44/365*'Assumptions'!$D$75*(1+'Assumptions'!$D$90)^(((G$7+G$8)/2-46304)/365)</x:f>
        <x:v>6145906.018824417</x:v>
      </x:c>
      <x:c r="H52" s="37" t="n">
        <x:f>H44/365*'Assumptions'!$D$75*(1+'Assumptions'!$D$90)^(((H$7+H$8)/2-46304)/365)</x:f>
        <x:v>6244365.036784211</x:v>
      </x:c>
      <x:c r="I52" s="37" t="n">
        <x:f>I44/365*'Assumptions'!$D$75*(1+'Assumptions'!$D$90)^(((I$7+I$8)/2-46304)/365)</x:f>
        <x:v>6275610.744657205</x:v>
      </x:c>
      <x:c r="J52" s="37" t="n">
        <x:f>J44/365*'Assumptions'!$D$75*(1+'Assumptions'!$D$90)^(((J$7+J$8)/2-46304)/365)</x:f>
        <x:v>6238289.08595501</x:v>
      </x:c>
      <x:c r="K52" s="37" t="n">
        <x:f>K44/365*'Assumptions'!$D$75*(1+'Assumptions'!$D$90)^(((K$7+K$8)/2-46304)/365)</x:f>
        <x:v>6269164.255791549</x:v>
      </x:c>
      <x:c r="L52" s="37" t="n">
        <x:f>L44/365*'Assumptions'!$D$75*(1+'Assumptions'!$D$90)^(((L$7+L$8)/2-46304)/365)</x:f>
        <x:v>6369597.90286706</x:v>
      </x:c>
      <x:c r="M52" s="37" t="n">
        <x:f>M44/365*'Assumptions'!$D$75*(1+'Assumptions'!$D$90)^(((M$7+M$8)/2-46304)/365)</x:f>
        <x:v>6401470.254045927</x:v>
      </x:c>
      <x:c r="N52" s="37" t="n">
        <x:f>N44/365*'Assumptions'!$D$75*(1+'Assumptions'!$D$90)^(((N$7+N$8)/2-46304)/365)</x:f>
        <x:v>6293301.9031818025</x:v>
      </x:c>
      <x:c r="O52" s="37" t="n">
        <x:f>O44/365*'Assumptions'!$D$75*(1+'Assumptions'!$D$90)^(((O$7+O$8)/2-46304)/365)</x:f>
        <x:v>6394547.540907379</x:v>
      </x:c>
      <x:c r="P52" s="37" t="n">
        <x:f>P44/365*'Assumptions'!$D$75*(1+'Assumptions'!$D$90)^(((P$7+P$8)/2-46304)/365)</x:f>
        <x:v>6496989.8609244</x:v>
      </x:c>
      <x:c r="Q52" s="37" t="n">
        <x:f>Q44/365*'Assumptions'!$D$75*(1+'Assumptions'!$D$90)^(((Q$7+Q$8)/2-46304)/365)</x:f>
        <x:v>25941016.1248894</x:v>
      </x:c>
      <x:c r="R52" s="37" t="n">
        <x:f>R44/365*'Assumptions'!$D$75*(1+'Assumptions'!$D$90)^(((R$7+R$8)/2-46304)/365)</x:f>
        <x:v>24867523.150218662</x:v>
      </x:c>
      <x:c r="S52" s="37" t="n">
        <x:f>S44/365*'Assumptions'!$D$75*(1+'Assumptions'!$D$90)^(((S$7+S$8)/2-46304)/365)</x:f>
        <x:v>21552137.048785765</x:v>
      </x:c>
      <x:c r="T52" s="37" t="n">
        <x:f>T44/365*'Assumptions'!$D$75*(1+'Assumptions'!$D$90)^(((T$7+T$8)/2-46304)/365)</x:f>
        <x:v>20110240.97117735</x:v>
      </x:c>
      <x:c r="U52" s="37" t="n">
        <x:f>U44/365*'Assumptions'!$D$75*(1+'Assumptions'!$D$90)^(((U$7+U$8)/2-46304)/365)</x:f>
        <x:v>19506265.267586965</x:v>
      </x:c>
      <x:c r="V52" s="37" t="n">
        <x:f>V44/365*'Assumptions'!$D$75*(1+'Assumptions'!$D$90)^(((V$7+V$8)/2-46304)/365)</x:f>
        <x:v>19550529.839313697</x:v>
      </x:c>
      <x:c r="W52" s="37" t="n">
        <x:f>W44/365*'Assumptions'!$D$75*(1+'Assumptions'!$D$90)^(((W$7+W$8)/2-46304)/365)</x:f>
        <x:v>18417809.237927865</x:v>
      </x:c>
      <x:c r="X52" s="37" t="n">
        <x:f>X44/365*'Assumptions'!$D$75*(1+'Assumptions'!$D$90)^(((X$7+X$8)/2-46304)/365)</x:f>
        <x:v>16772280.360311281</x:v>
      </x:c>
      <x:c r="Y52" s="37" t="n">
        <x:f>Y44/365*'Assumptions'!$D$75*(1+'Assumptions'!$D$90)^(((Y$7+Y$8)/2-46304)/365)</x:f>
        <x:v>15100919.493249478</x:v>
      </x:c>
      <x:c r="Z52" s="37" t="n">
        <x:f>Z44/365*'Assumptions'!$D$75*(1+'Assumptions'!$D$90)^(((Z$7+Z$8)/2-46304)/365)</x:f>
        <x:v>12251134.609541906</x:v>
      </x:c>
      <x:c r="AA52" s="37" t="n">
        <x:f>AA44/365*'Assumptions'!$D$75*(1+'Assumptions'!$D$90)^(((AA$7+AA$8)/2-46304)/365)</x:f>
        <x:v>10821579.745314555</x:v>
      </x:c>
      <x:c r="AB52" s="37" t="n">
        <x:f>AB44/365*'Assumptions'!$D$75*(1+'Assumptions'!$D$90)^(((AB$7+AB$8)/2-46304)/365)</x:f>
        <x:v>8883151.514347784</x:v>
      </x:c>
      <x:c r="AC52" s="37" t="n">
        <x:f>AC44/365*'Assumptions'!$D$75*(1+'Assumptions'!$D$90)^(((AC$7+AC$8)/2-46304)/365)</x:f>
        <x:v>7683121.580031079</x:v>
      </x:c>
      <x:c r="AD52" s="37" t="n">
        <x:f>AD44/365*'Assumptions'!$D$75*(1+'Assumptions'!$D$90)^(((AD$7+AD$8)/2-46304)/365)</x:f>
        <x:v>7235479.336202961</x:v>
      </x:c>
      <x:c r="AE52" s="37" t="n">
        <x:f>AE44/365*'Assumptions'!$D$75*(1+'Assumptions'!$D$90)^(((AE$7+AE$8)/2-46304)/365)</x:f>
        <x:v>7400609.371375343</x:v>
      </x:c>
      <x:c r="AF52" s="37" t="n">
        <x:f>AF44/365*'Assumptions'!$D$75*(1+'Assumptions'!$D$90)^(((AF$7+AF$8)/2-46304)/365)</x:f>
        <x:v>7528201.123624216</x:v>
      </x:c>
      <x:c r="AG52" s="37" t="n">
        <x:f>AG44/365*'Assumptions'!$D$75*(1+'Assumptions'!$D$90)^(((AG$7+AG$8)/2-46304)/365)</x:f>
        <x:v>7463712.97153326</x:v>
      </x:c>
      <x:c r="AH52" s="37" t="n">
        <x:f>AH44/365*'Assumptions'!$D$75*(1+'Assumptions'!$D$90)^(((AH$7+AH$8)/2-46304)/365)</x:f>
        <x:v>6962080.399127674</x:v>
      </x:c>
      <x:c r="AI52" s="37" t="n">
        <x:f>AI44/365*'Assumptions'!$D$75*(1+'Assumptions'!$D$90)^(((AI$7+AI$8)/2-46304)/365)</x:f>
        <x:v>7120970.850991533</x:v>
      </x:c>
      <x:c r="AJ52" s="37" t="n">
        <x:f>AJ44/365*'Assumptions'!$D$75*(1+'Assumptions'!$D$90)^(((AJ$7+AJ$8)/2-46304)/365)</x:f>
        <x:v>7243741.436898339</x:v>
      </x:c>
      <x:c r="AK52" s="37" t="n">
        <x:f>AK44/365*'Assumptions'!$D$75*(1+'Assumptions'!$D$90)^(((AK$7+AK$8)/2-46304)/365)</x:f>
        <x:v>7388616.265636306</x:v>
      </x:c>
      <x:c r="AL52" s="37" t="n">
        <x:f>AL44/365*'Assumptions'!$D$75*(1+'Assumptions'!$D$90)^(((AL$7+AL$8)/2-46304)/365)</x:f>
        <x:v>5636805.7132303715</x:v>
      </x:c>
      <x:c r="AM52" s="37" t="n">
        <x:f>AM44/365*'Assumptions'!$D$75*(1+'Assumptions'!$D$90)^(((AM$7+AM$8)/2-46304)/365)</x:f>
        <x:v>0</x:v>
      </x:c>
      <x:c r="AN52" s="37" t="n">
        <x:f>AN44/365*'Assumptions'!$D$75*(1+'Assumptions'!$D$90)^(((AN$7+AN$8)/2-46304)/365)</x:f>
        <x:v>0</x:v>
      </x:c>
      <x:c r="AO52" s="37" t="n">
        <x:f>AO44/365*'Assumptions'!$D$75*(1+'Assumptions'!$D$90)^(((AO$7+AO$8)/2-46304)/365)</x:f>
        <x:v>0</x:v>
      </x:c>
      <x:c r="AP52" s="37" t="n">
        <x:f>AP44/365*'Assumptions'!$D$75*(1+'Assumptions'!$D$90)^(((AP$7+AP$8)/2-46304)/365)</x:f>
        <x:v>0</x:v>
      </x:c>
      <x:c r="AQ52" s="37" t="n">
        <x:f>AQ44/365*'Assumptions'!$D$75*(1+'Assumptions'!$D$90)^(((AQ$7+AQ$8)/2-46304)/365)</x:f>
        <x:v>0</x:v>
      </x:c>
    </x:row>
    <x:row r="53" ht="21" customHeight="1">
      <x:c r="A53" s="2"/>
      <x:c r="B53" s="2"/>
      <x:c r="C53" s="2" t="str">
        <x:v>Other maintenance capex</x:v>
      </x:c>
      <x:c r="D53" s="2"/>
      <x:c r="E53" s="37" t="n">
        <x:f>E44/365*'Assumptions'!$D$80*(1+'Assumptions'!$D$90)^(((E$7+E$8)/2-46304)/365)</x:f>
        <x:v>1156605.110354409</x:v>
      </x:c>
      <x:c r="F53" s="37" t="n">
        <x:f>F44/365*'Assumptions'!$D$80*(1+'Assumptions'!$D$90)^(((F$7+F$8)/2-46304)/365)</x:f>
        <x:v>1355720.051337798</x:v>
      </x:c>
      <x:c r="G53" s="37" t="n">
        <x:f>G44/365*'Assumptions'!$D$80*(1+'Assumptions'!$D$90)^(((G$7+G$8)/2-46304)/365)</x:f>
        <x:v>1377530.6593916798</x:v>
      </x:c>
      <x:c r="H53" s="37" t="n">
        <x:f>H44/365*'Assumptions'!$D$80*(1+'Assumptions'!$D$90)^(((H$7+H$8)/2-46304)/365)</x:f>
        <x:v>1399599.059968875</x:v>
      </x:c>
      <x:c r="I53" s="37" t="n">
        <x:f>I44/365*'Assumptions'!$D$80*(1+'Assumptions'!$D$90)^(((I$7+I$8)/2-46304)/365)</x:f>
        <x:v>1406602.4082852358</x:v>
      </x:c>
      <x:c r="J53" s="37" t="n">
        <x:f>J44/365*'Assumptions'!$D$80*(1+'Assumptions'!$D$90)^(((J$7+J$8)/2-46304)/365)</x:f>
        <x:v>1398237.2089209503</x:v>
      </x:c>
      <x:c r="K53" s="37" t="n">
        <x:f>K44/365*'Assumptions'!$D$80*(1+'Assumptions'!$D$90)^(((K$7+K$8)/2-46304)/365)</x:f>
        <x:v>1405157.5056084504</x:v>
      </x:c>
      <x:c r="L53" s="37" t="n">
        <x:f>L44/365*'Assumptions'!$D$80*(1+'Assumptions'!$D$90)^(((L$7+L$8)/2-46304)/365)</x:f>
        <x:v>1427668.4954702032</x:v>
      </x:c>
      <x:c r="M53" s="37" t="n">
        <x:f>M44/365*'Assumptions'!$D$80*(1+'Assumptions'!$D$90)^(((M$7+M$8)/2-46304)/365)</x:f>
        <x:v>1434812.298320639</x:v>
      </x:c>
      <x:c r="N53" s="37" t="n">
        <x:f>N44/365*'Assumptions'!$D$80*(1+'Assumptions'!$D$90)^(((N$7+N$8)/2-46304)/365)</x:f>
        <x:v>1410567.667954542</x:v>
      </x:c>
      <x:c r="O53" s="37" t="n">
        <x:f>O44/365*'Assumptions'!$D$80*(1+'Assumptions'!$D$90)^(((O$7+O$8)/2-46304)/365)</x:f>
        <x:v>1433260.6557206195</x:v>
      </x:c>
      <x:c r="P53" s="37" t="n">
        <x:f>P44/365*'Assumptions'!$D$80*(1+'Assumptions'!$D$90)^(((P$7+P$8)/2-46304)/365)</x:f>
        <x:v>1456221.8653796073</x:v>
      </x:c>
      <x:c r="Q53" s="37" t="n">
        <x:f>Q44/365*'Assumptions'!$D$80*(1+'Assumptions'!$D$90)^(((Q$7+Q$8)/2-46304)/365)</x:f>
        <x:v>5814365.683164865</x:v>
      </x:c>
      <x:c r="R53" s="37" t="n">
        <x:f>R44/365*'Assumptions'!$D$80*(1+'Assumptions'!$D$90)^(((R$7+R$8)/2-46304)/365)</x:f>
        <x:v>5573755.188842113</x:v>
      </x:c>
      <x:c r="S53" s="37" t="n">
        <x:f>S44/365*'Assumptions'!$D$80*(1+'Assumptions'!$D$90)^(((S$7+S$8)/2-46304)/365)</x:f>
        <x:v>4830651.407486465</x:v>
      </x:c>
      <x:c r="T53" s="37" t="n">
        <x:f>T44/365*'Assumptions'!$D$80*(1+'Assumptions'!$D$90)^(((T$7+T$8)/2-46304)/365)</x:f>
        <x:v>4507467.803884578</x:v>
      </x:c>
      <x:c r="U53" s="37" t="n">
        <x:f>U44/365*'Assumptions'!$D$80*(1+'Assumptions'!$D$90)^(((U$7+U$8)/2-46304)/365)</x:f>
        <x:v>4372093.939286734</x:v>
      </x:c>
      <x:c r="V53" s="37" t="n">
        <x:f>V44/365*'Assumptions'!$D$80*(1+'Assumptions'!$D$90)^(((V$7+V$8)/2-46304)/365)</x:f>
        <x:v>4382015.308811691</x:v>
      </x:c>
      <x:c r="W53" s="37" t="n">
        <x:f>W44/365*'Assumptions'!$D$80*(1+'Assumptions'!$D$90)^(((W$7+W$8)/2-46304)/365)</x:f>
        <x:v>4128129.6567769353</x:v>
      </x:c>
      <x:c r="X53" s="37" t="n">
        <x:f>X44/365*'Assumptions'!$D$80*(1+'Assumptions'!$D$90)^(((X$7+X$8)/2-46304)/365)</x:f>
        <x:v>3759304.218690459</x:v>
      </x:c>
      <x:c r="Y53" s="37" t="n">
        <x:f>Y44/365*'Assumptions'!$D$80*(1+'Assumptions'!$D$90)^(((Y$7+Y$8)/2-46304)/365)</x:f>
        <x:v>3384688.851935228</x:v>
      </x:c>
      <x:c r="Z53" s="37" t="n">
        <x:f>Z44/365*'Assumptions'!$D$80*(1+'Assumptions'!$D$90)^(((Z$7+Z$8)/2-46304)/365)</x:f>
        <x:v>2745943.9642076683</x:v>
      </x:c>
      <x:c r="AA53" s="37" t="n">
        <x:f>AA44/365*'Assumptions'!$D$80*(1+'Assumptions'!$D$90)^(((AA$7+AA$8)/2-46304)/365)</x:f>
        <x:v>2425526.4946394693</x:v>
      </x:c>
      <x:c r="AB53" s="37" t="n">
        <x:f>AB44/365*'Assumptions'!$D$80*(1+'Assumptions'!$D$90)^(((AB$7+AB$8)/2-46304)/365)</x:f>
        <x:v>1991051.201491745</x:v>
      </x:c>
      <x:c r="AC53" s="37" t="n">
        <x:f>AC44/365*'Assumptions'!$D$80*(1+'Assumptions'!$D$90)^(((AC$7+AC$8)/2-46304)/365)</x:f>
        <x:v>1722078.9748345523</x:v>
      </x:c>
      <x:c r="AD53" s="37" t="n">
        <x:f>AD44/365*'Assumptions'!$D$80*(1+'Assumptions'!$D$90)^(((AD$7+AD$8)/2-46304)/365)</x:f>
        <x:v>1621745.3684592845</x:v>
      </x:c>
      <x:c r="AE53" s="37" t="n">
        <x:f>AE44/365*'Assumptions'!$D$80*(1+'Assumptions'!$D$90)^(((AE$7+AE$8)/2-46304)/365)</x:f>
        <x:v>1658757.2728944733</x:v>
      </x:c>
      <x:c r="AF53" s="37" t="n">
        <x:f>AF44/365*'Assumptions'!$D$80*(1+'Assumptions'!$D$90)^(((AF$7+AF$8)/2-46304)/365)</x:f>
        <x:v>1687355.4242606</x:v>
      </x:c>
      <x:c r="AG53" s="37" t="n">
        <x:f>AG44/365*'Assumptions'!$D$80*(1+'Assumptions'!$D$90)^(((AG$7+AG$8)/2-46304)/365)</x:f>
        <x:v>1672901.1832746963</x:v>
      </x:c>
      <x:c r="AH53" s="37" t="n">
        <x:f>AH44/365*'Assumptions'!$D$80*(1+'Assumptions'!$D$90)^(((AH$7+AH$8)/2-46304)/365)</x:f>
        <x:v>1560466.2963562028</x:v>
      </x:c>
      <x:c r="AI53" s="37" t="n">
        <x:f>AI44/365*'Assumptions'!$D$80*(1+'Assumptions'!$D$90)^(((AI$7+AI$8)/2-46304)/365)</x:f>
        <x:v>1596079.6734981022</x:v>
      </x:c>
      <x:c r="AJ53" s="37" t="n">
        <x:f>AJ44/365*'Assumptions'!$D$80*(1+'Assumptions'!$D$90)^(((AJ$7+AJ$8)/2-46304)/365)</x:f>
        <x:v>1623597.218615145</x:v>
      </x:c>
      <x:c r="AK53" s="37" t="n">
        <x:f>AK44/365*'Assumptions'!$D$80*(1+'Assumptions'!$D$90)^(((AK$7+AK$8)/2-46304)/365)</x:f>
        <x:v>1656069.1629874478</x:v>
      </x:c>
      <x:c r="AL53" s="37" t="n">
        <x:f>AL44/365*'Assumptions'!$D$80*(1+'Assumptions'!$D$90)^(((AL$7+AL$8)/2-46304)/365)</x:f>
        <x:v>1263421.9702068076</x:v>
      </x:c>
      <x:c r="AM53" s="37" t="n">
        <x:f>AM44/365*'Assumptions'!$D$80*(1+'Assumptions'!$D$90)^(((AM$7+AM$8)/2-46304)/365)</x:f>
        <x:v>0</x:v>
      </x:c>
      <x:c r="AN53" s="37" t="n">
        <x:f>AN44/365*'Assumptions'!$D$80*(1+'Assumptions'!$D$90)^(((AN$7+AN$8)/2-46304)/365)</x:f>
        <x:v>0</x:v>
      </x:c>
      <x:c r="AO53" s="37" t="n">
        <x:f>AO44/365*'Assumptions'!$D$80*(1+'Assumptions'!$D$90)^(((AO$7+AO$8)/2-46304)/365)</x:f>
        <x:v>0</x:v>
      </x:c>
      <x:c r="AP53" s="37" t="n">
        <x:f>AP44/365*'Assumptions'!$D$80*(1+'Assumptions'!$D$90)^(((AP$7+AP$8)/2-46304)/365)</x:f>
        <x:v>0</x:v>
      </x:c>
      <x:c r="AQ53" s="37" t="n">
        <x:f>AQ44/365*'Assumptions'!$D$80*(1+'Assumptions'!$D$90)^(((AQ$7+AQ$8)/2-46304)/365)</x:f>
        <x:v>0</x:v>
      </x:c>
    </x:row>
    <x:row r="54" ht="25" customHeight="1">
      <x:c r="A54" s="2"/>
      <x:c r="B54" s="2"/>
      <x:c r="C54" s="30" t="str">
        <x:v>Ultramax</x:v>
      </x:c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30"/>
      <x:c r="AI54" s="30"/>
      <x:c r="AJ54" s="30"/>
      <x:c r="AK54" s="30"/>
      <x:c r="AL54" s="30"/>
      <x:c r="AM54" s="30"/>
      <x:c r="AN54" s="30"/>
      <x:c r="AO54" s="30"/>
      <x:c r="AP54" s="30"/>
      <x:c r="AQ54" s="30"/>
    </x:row>
    <x:row r="55" ht="21" customHeight="1">
      <x:c r="A55" s="2"/>
      <x:c r="B55" s="2"/>
      <x:c r="C55" s="2" t="str">
        <x:v>Owned days</x:v>
      </x:c>
      <x:c r="D55" s="2"/>
      <x:c r="E55" s="5" t="n">
        <x:f>SUMIFS('Days'!E$10:E$147,'Days'!$D$10:$D$147,$C54)</x:f>
        <x:v>3901</x:v>
      </x:c>
      <x:c r="F55" s="5" t="n">
        <x:f>SUMIFS('Days'!F$10:F$147,'Days'!$D$10:$D$147,$C54)</x:f>
        <x:v>4230</x:v>
      </x:c>
      <x:c r="G55" s="5" t="n">
        <x:f>SUMIFS('Days'!G$10:G$147,'Days'!$D$10:$D$147,$C54)</x:f>
        <x:v>4277</x:v>
      </x:c>
      <x:c r="H55" s="5" t="n">
        <x:f>SUMIFS('Days'!H$10:H$147,'Days'!$D$10:$D$147,$C54)</x:f>
        <x:v>4324</x:v>
      </x:c>
      <x:c r="I55" s="5" t="n">
        <x:f>SUMIFS('Days'!I$10:I$147,'Days'!$D$10:$D$147,$C54)</x:f>
        <x:v>4324</x:v>
      </x:c>
      <x:c r="J55" s="5" t="n">
        <x:f>SUMIFS('Days'!J$10:J$147,'Days'!$D$10:$D$147,$C54)</x:f>
        <x:v>4277</x:v>
      </x:c>
      <x:c r="K55" s="5" t="n">
        <x:f>SUMIFS('Days'!K$10:K$147,'Days'!$D$10:$D$147,$C54)</x:f>
        <x:v>4277</x:v>
      </x:c>
      <x:c r="L55" s="5" t="n">
        <x:f>SUMIFS('Days'!L$10:L$147,'Days'!$D$10:$D$147,$C54)</x:f>
        <x:v>4324</x:v>
      </x:c>
      <x:c r="M55" s="5" t="n">
        <x:f>SUMIFS('Days'!M$10:M$147,'Days'!$D$10:$D$147,$C54)</x:f>
        <x:v>4324</x:v>
      </x:c>
      <x:c r="N55" s="5" t="n">
        <x:f>SUMIFS('Days'!N$10:N$147,'Days'!$D$10:$D$147,$C54)</x:f>
        <x:v>4230</x:v>
      </x:c>
      <x:c r="O55" s="5" t="n">
        <x:f>SUMIFS('Days'!O$10:O$147,'Days'!$D$10:$D$147,$C54)</x:f>
        <x:v>4277</x:v>
      </x:c>
      <x:c r="P55" s="5" t="n">
        <x:f>SUMIFS('Days'!P$10:P$147,'Days'!$D$10:$D$147,$C54)</x:f>
        <x:v>4324</x:v>
      </x:c>
      <x:c r="Q55" s="5" t="n">
        <x:f>SUMIFS('Days'!Q$10:Q$147,'Days'!$D$10:$D$147,$C54)</x:f>
        <x:v>17155</x:v>
      </x:c>
      <x:c r="R55" s="5" t="n">
        <x:f>SUMIFS('Days'!R$10:R$147,'Days'!$D$10:$D$147,$C54)</x:f>
        <x:v>17155</x:v>
      </x:c>
      <x:c r="S55" s="5" t="n">
        <x:f>SUMIFS('Days'!S$10:S$147,'Days'!$D$10:$D$147,$C54)</x:f>
        <x:v>17202</x:v>
      </x:c>
      <x:c r="T55" s="5" t="n">
        <x:f>SUMIFS('Days'!T$10:T$147,'Days'!$D$10:$D$147,$C54)</x:f>
        <x:v>17155</x:v>
      </x:c>
      <x:c r="U55" s="5" t="n">
        <x:f>SUMIFS('Days'!U$10:U$147,'Days'!$D$10:$D$147,$C54)</x:f>
        <x:v>17155</x:v>
      </x:c>
      <x:c r="V55" s="5" t="n">
        <x:f>SUMIFS('Days'!V$10:V$147,'Days'!$D$10:$D$147,$C54)</x:f>
        <x:v>17155</x:v>
      </x:c>
      <x:c r="W55" s="5" t="n">
        <x:f>SUMIFS('Days'!W$10:W$147,'Days'!$D$10:$D$147,$C54)</x:f>
        <x:v>17202</x:v>
      </x:c>
      <x:c r="X55" s="5" t="n">
        <x:f>SUMIFS('Days'!X$10:X$147,'Days'!$D$10:$D$147,$C54)</x:f>
        <x:v>17063</x:v>
      </x:c>
      <x:c r="Y55" s="5" t="n">
        <x:f>SUMIFS('Days'!Y$10:Y$147,'Days'!$D$10:$D$147,$C54)</x:f>
        <x:v>16054</x:v>
      </x:c>
      <x:c r="Z55" s="5" t="n">
        <x:f>SUMIFS('Days'!Z$10:Z$147,'Days'!$D$10:$D$147,$C54)</x:f>
        <x:v>13686</x:v>
      </x:c>
      <x:c r="AA55" s="5" t="n">
        <x:f>SUMIFS('Days'!AA$10:AA$147,'Days'!$D$10:$D$147,$C54)</x:f>
        <x:v>10968</x:v>
      </x:c>
      <x:c r="AB55" s="5" t="n">
        <x:f>SUMIFS('Days'!AB$10:AB$147,'Days'!$D$10:$D$147,$C54)</x:f>
        <x:v>3736</x:v>
      </x:c>
      <x:c r="AC55" s="5" t="n">
        <x:f>SUMIFS('Days'!AC$10:AC$147,'Days'!$D$10:$D$147,$C54)</x:f>
        <x:v>1549</x:v>
      </x:c>
      <x:c r="AD55" s="5" t="n">
        <x:f>SUMIFS('Days'!AD$10:AD$147,'Days'!$D$10:$D$147,$C54)</x:f>
        <x:v>730</x:v>
      </x:c>
      <x:c r="AE55" s="5" t="n">
        <x:f>SUMIFS('Days'!AE$10:AE$147,'Days'!$D$10:$D$147,$C54)</x:f>
        <x:v>732</x:v>
      </x:c>
      <x:c r="AF55" s="5" t="n">
        <x:f>SUMIFS('Days'!AF$10:AF$147,'Days'!$D$10:$D$147,$C54)</x:f>
        <x:v>546</x:v>
      </x:c>
      <x:c r="AG55" s="5" t="n">
        <x:f>SUMIFS('Days'!AG$10:AG$147,'Days'!$D$10:$D$147,$C54)</x:f>
        <x:v>0</x:v>
      </x:c>
      <x:c r="AH55" s="5" t="n">
        <x:f>SUMIFS('Days'!AH$10:AH$147,'Days'!$D$10:$D$147,$C54)</x:f>
        <x:v>0</x:v>
      </x:c>
      <x:c r="AI55" s="5" t="n">
        <x:f>SUMIFS('Days'!AI$10:AI$147,'Days'!$D$10:$D$147,$C54)</x:f>
        <x:v>0</x:v>
      </x:c>
      <x:c r="AJ55" s="5" t="n">
        <x:f>SUMIFS('Days'!AJ$10:AJ$147,'Days'!$D$10:$D$147,$C54)</x:f>
        <x:v>0</x:v>
      </x:c>
      <x:c r="AK55" s="5" t="n">
        <x:f>SUMIFS('Days'!AK$10:AK$147,'Days'!$D$10:$D$147,$C54)</x:f>
        <x:v>0</x:v>
      </x:c>
      <x:c r="AL55" s="5" t="n">
        <x:f>SUMIFS('Days'!AL$10:AL$147,'Days'!$D$10:$D$147,$C54)</x:f>
        <x:v>0</x:v>
      </x:c>
      <x:c r="AM55" s="5" t="n">
        <x:f>SUMIFS('Days'!AM$10:AM$147,'Days'!$D$10:$D$147,$C54)</x:f>
        <x:v>0</x:v>
      </x:c>
      <x:c r="AN55" s="5" t="n">
        <x:f>SUMIFS('Days'!AN$10:AN$147,'Days'!$D$10:$D$147,$C54)</x:f>
        <x:v>0</x:v>
      </x:c>
      <x:c r="AO55" s="5" t="n">
        <x:f>SUMIFS('Days'!AO$10:AO$147,'Days'!$D$10:$D$147,$C54)</x:f>
        <x:v>0</x:v>
      </x:c>
      <x:c r="AP55" s="5" t="n">
        <x:f>SUMIFS('Days'!AP$10:AP$147,'Days'!$D$10:$D$147,$C54)</x:f>
        <x:v>0</x:v>
      </x:c>
      <x:c r="AQ55" s="5" t="n">
        <x:f>SUMIFS('Days'!AQ$10:AQ$147,'Days'!$D$10:$D$147,$C54)</x:f>
        <x:v>0</x:v>
      </x:c>
    </x:row>
    <x:row r="56" ht="21" customHeight="1">
      <x:c r="A56" s="2"/>
      <x:c r="B56" s="2"/>
      <x:c r="C56" s="2" t="str">
        <x:v>Available days</x:v>
      </x:c>
      <x:c r="D56" s="2"/>
      <x:c r="E56" s="5" t="n">
        <x:f>E55*(1-'Assumptions'!$D$55)</x:f>
        <x:v>3705.95</x:v>
      </x:c>
      <x:c r="F56" s="5" t="n">
        <x:f>F55*(1-'Assumptions'!$D$55)</x:f>
        <x:v>4018.5</x:v>
      </x:c>
      <x:c r="G56" s="5" t="n">
        <x:f>G55*(1-'Assumptions'!$D$55)</x:f>
        <x:v>4063.1499999999996</x:v>
      </x:c>
      <x:c r="H56" s="5" t="n">
        <x:f>H55*(1-'Assumptions'!$D$55)</x:f>
        <x:v>4107.8</x:v>
      </x:c>
      <x:c r="I56" s="5" t="n">
        <x:f>I55*(1-'Assumptions'!$D$55)</x:f>
        <x:v>4107.8</x:v>
      </x:c>
      <x:c r="J56" s="5" t="n">
        <x:f>J55*(1-'Assumptions'!$D$55)</x:f>
        <x:v>4063.1499999999996</x:v>
      </x:c>
      <x:c r="K56" s="5" t="n">
        <x:f>K55*(1-'Assumptions'!$D$55)</x:f>
        <x:v>4063.1499999999996</x:v>
      </x:c>
      <x:c r="L56" s="5" t="n">
        <x:f>L55*(1-'Assumptions'!$D$55)</x:f>
        <x:v>4107.8</x:v>
      </x:c>
      <x:c r="M56" s="5" t="n">
        <x:f>M55*(1-'Assumptions'!$D$55)</x:f>
        <x:v>4107.8</x:v>
      </x:c>
      <x:c r="N56" s="5" t="n">
        <x:f>N55*(1-'Assumptions'!$D$55)</x:f>
        <x:v>4018.5</x:v>
      </x:c>
      <x:c r="O56" s="5" t="n">
        <x:f>O55*(1-'Assumptions'!$D$55)</x:f>
        <x:v>4063.1499999999996</x:v>
      </x:c>
      <x:c r="P56" s="5" t="n">
        <x:f>P55*(1-'Assumptions'!$D$55)</x:f>
        <x:v>4107.8</x:v>
      </x:c>
      <x:c r="Q56" s="5" t="n">
        <x:f>Q55*(1-'Assumptions'!$D$55)</x:f>
        <x:v>16297.25</x:v>
      </x:c>
      <x:c r="R56" s="5" t="n">
        <x:f>R55*(1-'Assumptions'!$D$55)</x:f>
        <x:v>16297.25</x:v>
      </x:c>
      <x:c r="S56" s="5" t="n">
        <x:f>S55*(1-'Assumptions'!$D$55)</x:f>
        <x:v>16341.9</x:v>
      </x:c>
      <x:c r="T56" s="5" t="n">
        <x:f>T55*(1-'Assumptions'!$D$55)</x:f>
        <x:v>16297.25</x:v>
      </x:c>
      <x:c r="U56" s="5" t="n">
        <x:f>U55*(1-'Assumptions'!$D$55)</x:f>
        <x:v>16297.25</x:v>
      </x:c>
      <x:c r="V56" s="5" t="n">
        <x:f>V55*(1-'Assumptions'!$D$55)</x:f>
        <x:v>16297.25</x:v>
      </x:c>
      <x:c r="W56" s="5" t="n">
        <x:f>W55*(1-'Assumptions'!$D$55)</x:f>
        <x:v>16341.9</x:v>
      </x:c>
      <x:c r="X56" s="5" t="n">
        <x:f>X55*(1-'Assumptions'!$D$55)</x:f>
        <x:v>16209.849999999999</x:v>
      </x:c>
      <x:c r="Y56" s="5" t="n">
        <x:f>Y55*(1-'Assumptions'!$D$55)</x:f>
        <x:v>15251.3</x:v>
      </x:c>
      <x:c r="Z56" s="5" t="n">
        <x:f>Z55*(1-'Assumptions'!$D$55)</x:f>
        <x:v>13001.699999999999</x:v>
      </x:c>
      <x:c r="AA56" s="5" t="n">
        <x:f>AA55*(1-'Assumptions'!$D$55)</x:f>
        <x:v>10419.6</x:v>
      </x:c>
      <x:c r="AB56" s="5" t="n">
        <x:f>AB55*(1-'Assumptions'!$D$55)</x:f>
        <x:v>3549.2</x:v>
      </x:c>
      <x:c r="AC56" s="5" t="n">
        <x:f>AC55*(1-'Assumptions'!$D$55)</x:f>
        <x:v>1471.55</x:v>
      </x:c>
      <x:c r="AD56" s="5" t="n">
        <x:f>AD55*(1-'Assumptions'!$D$55)</x:f>
        <x:v>693.5</x:v>
      </x:c>
      <x:c r="AE56" s="5" t="n">
        <x:f>AE55*(1-'Assumptions'!$D$55)</x:f>
        <x:v>695.4</x:v>
      </x:c>
      <x:c r="AF56" s="5" t="n">
        <x:f>AF55*(1-'Assumptions'!$D$55)</x:f>
        <x:v>518.6999999999999</x:v>
      </x:c>
      <x:c r="AG56" s="5" t="n">
        <x:f>AG55*(1-'Assumptions'!$D$55)</x:f>
        <x:v>0</x:v>
      </x:c>
      <x:c r="AH56" s="5" t="n">
        <x:f>AH55*(1-'Assumptions'!$D$55)</x:f>
        <x:v>0</x:v>
      </x:c>
      <x:c r="AI56" s="5" t="n">
        <x:f>AI55*(1-'Assumptions'!$D$55)</x:f>
        <x:v>0</x:v>
      </x:c>
      <x:c r="AJ56" s="5" t="n">
        <x:f>AJ55*(1-'Assumptions'!$D$55)</x:f>
        <x:v>0</x:v>
      </x:c>
      <x:c r="AK56" s="5" t="n">
        <x:f>AK55*(1-'Assumptions'!$D$55)</x:f>
        <x:v>0</x:v>
      </x:c>
      <x:c r="AL56" s="5" t="n">
        <x:f>AL55*(1-'Assumptions'!$D$55)</x:f>
        <x:v>0</x:v>
      </x:c>
      <x:c r="AM56" s="5" t="n">
        <x:f>AM55*(1-'Assumptions'!$D$55)</x:f>
        <x:v>0</x:v>
      </x:c>
      <x:c r="AN56" s="5" t="n">
        <x:f>AN55*(1-'Assumptions'!$D$55)</x:f>
        <x:v>0</x:v>
      </x:c>
      <x:c r="AO56" s="5" t="n">
        <x:f>AO55*(1-'Assumptions'!$D$55)</x:f>
        <x:v>0</x:v>
      </x:c>
      <x:c r="AP56" s="5" t="n">
        <x:f>AP55*(1-'Assumptions'!$D$55)</x:f>
        <x:v>0</x:v>
      </x:c>
      <x:c r="AQ56" s="5" t="n">
        <x:f>AQ55*(1-'Assumptions'!$D$55)</x:f>
        <x:v>0</x:v>
      </x:c>
    </x:row>
    <x:row r="57" ht="21" customHeight="1">
      <x:c r="A57" s="2"/>
      <x:c r="B57" s="2"/>
      <x:c r="C57" s="2" t="str">
        <x:v>Open TCE (USD/day)</x:v>
      </x:c>
      <x:c r="D57" s="2"/>
      <x:c r="E57" s="34" t="n">
        <x:f>'Assumptions'!$D$30*'Assumptions'!$D$6*(1+'Assumptions'!$D$90)^(((E$7+E$8)/2-46304)/365)</x:f>
        <x:v>16537.640733878037</x:v>
      </x:c>
      <x:c r="F57" s="34" t="n">
        <x:f>'Assumptions'!$D$30*'Assumptions'!$D$6*(1+'Assumptions'!$D$90)^(((F$7+F$8)/2-46304)/365)</x:f>
        <x:v>16615.433474118614</x:v>
      </x:c>
      <x:c r="G57" s="34" t="n">
        <x:f>'Assumptions'!$D$30*'Assumptions'!$D$6*(1+'Assumptions'!$D$90)^(((G$7+G$8)/2-46304)/365)</x:f>
        <x:v>16697.21530448495</x:v>
      </x:c>
      <x:c r="H57" s="34" t="n">
        <x:f>'Assumptions'!$D$30*'Assumptions'!$D$6*(1+'Assumptions'!$D$90)^(((H$7+H$8)/2-46304)/365)</x:f>
        <x:v>16780.31003874532</x:v>
      </x:c>
      <x:c r="I57" s="34" t="n">
        <x:f>'Assumptions'!$D$30*'Assumptions'!$D$6*(1+'Assumptions'!$D$90)^(((I$7+I$8)/2-46304)/365)</x:f>
        <x:v>16864.275768231073</x:v>
      </x:c>
      <x:c r="J57" s="34" t="n">
        <x:f>'Assumptions'!$D$30*'Assumptions'!$D$6*(1+'Assumptions'!$D$90)^(((J$7+J$8)/2-46304)/365)</x:f>
        <x:v>16948.201889317766</x:v>
      </x:c>
      <x:c r="K57" s="34" t="n">
        <x:f>'Assumptions'!$D$30*'Assumptions'!$D$6*(1+'Assumptions'!$D$90)^(((K$7+K$8)/2-46304)/365)</x:f>
        <x:v>17032.083640314966</x:v>
      </x:c>
      <x:c r="L57" s="34" t="n">
        <x:f>'Assumptions'!$D$30*'Assumptions'!$D$6*(1+'Assumptions'!$D$90)^(((L$7+L$8)/2-46304)/365)</x:f>
        <x:v>17116.84486775223</x:v>
      </x:c>
      <x:c r="M57" s="34" t="n">
        <x:f>'Assumptions'!$D$30*'Assumptions'!$D$6*(1+'Assumptions'!$D$90)^(((M$7+M$8)/2-46304)/365)</x:f>
        <x:v>17202.49455852056</x:v>
      </x:c>
      <x:c r="N57" s="34" t="n">
        <x:f>'Assumptions'!$D$30*'Assumptions'!$D$6*(1+'Assumptions'!$D$90)^(((N$7+N$8)/2-46304)/365)</x:f>
        <x:v>17287.634880456306</x:v>
      </x:c>
      <x:c r="O57" s="34" t="n">
        <x:f>'Assumptions'!$D$30*'Assumptions'!$D$6*(1+'Assumptions'!$D$90)^(((O$7+O$8)/2-46304)/365)</x:f>
        <x:v>17372.725313121264</x:v>
      </x:c>
      <x:c r="P57" s="34" t="n">
        <x:f>'Assumptions'!$D$30*'Assumptions'!$D$6*(1+'Assumptions'!$D$90)^(((P$7+P$8)/2-46304)/365)</x:f>
        <x:v>17459.18176510727</x:v>
      </x:c>
      <x:c r="Q57" s="34" t="n">
        <x:f>'Assumptions'!$D$30*'Assumptions'!$D$6*(1+'Assumptions'!$D$90)^(((Q$7+Q$8)/2-46304)/365)</x:f>
        <x:v>17676.970189334555</x:v>
      </x:c>
      <x:c r="R57" s="34" t="n">
        <x:f>'Assumptions'!$D$30*'Assumptions'!$D$6*(1+'Assumptions'!$D$90)^(((R$7+R$8)/2-46304)/365)</x:f>
        <x:v>18030.50959312125</x:v>
      </x:c>
      <x:c r="S57" s="34" t="n">
        <x:f>'Assumptions'!$D$30*'Assumptions'!$D$6*(1+'Assumptions'!$D$90)^(((S$7+S$8)/2-46304)/365)</x:f>
        <x:v>18391.618685573278</x:v>
      </x:c>
      <x:c r="T57" s="34" t="n">
        <x:f>'Assumptions'!$D$30*'Assumptions'!$D$6*(1+'Assumptions'!$D$90)^(((T$7+T$8)/2-46304)/365)</x:f>
        <x:v>18759.959951690616</x:v>
      </x:c>
      <x:c r="U57" s="34" t="n">
        <x:f>'Assumptions'!$D$30*'Assumptions'!$D$6*(1+'Assumptions'!$D$90)^(((U$7+U$8)/2-46304)/365)</x:f>
        <x:v>19135.15915072443</x:v>
      </x:c>
      <x:c r="V57" s="34" t="n">
        <x:f>'Assumptions'!$D$30*'Assumptions'!$D$6*(1+'Assumptions'!$D$90)^(((V$7+V$8)/2-46304)/365)</x:f>
        <x:v>19517.86233373892</x:v>
      </x:c>
      <x:c r="W57" s="34" t="n">
        <x:f>'Assumptions'!$D$30*'Assumptions'!$D$6*(1+'Assumptions'!$D$90)^(((W$7+W$8)/2-46304)/365)</x:f>
        <x:v>19908.759635755774</x:v>
      </x:c>
      <x:c r="X57" s="34" t="n">
        <x:f>'Assumptions'!$D$30*'Assumptions'!$D$6*(1+'Assumptions'!$D$90)^(((X$7+X$8)/2-46304)/365)</x:f>
        <x:v>20307.485699863028</x:v>
      </x:c>
      <x:c r="Y57" s="34" t="n">
        <x:f>'Assumptions'!$D$30*'Assumptions'!$D$6*(1+'Assumptions'!$D$90)^(((Y$7+Y$8)/2-46304)/365)</x:f>
        <x:v>20713.63541386029</x:v>
      </x:c>
      <x:c r="Z57" s="34" t="n">
        <x:f>'Assumptions'!$D$30*'Assumptions'!$D$6*(1+'Assumptions'!$D$90)^(((Z$7+Z$8)/2-46304)/365)</x:f>
        <x:v>21127.908122137498</x:v>
      </x:c>
      <x:c r="AA57" s="34" t="n">
        <x:f>'Assumptions'!$D$30*'Assumptions'!$D$6*(1+'Assumptions'!$D$90)^(((AA$7+AA$8)/2-46304)/365)</x:f>
        <x:v>21551.05088956685</x:v>
      </x:c>
      <x:c r="AB57" s="34" t="n">
        <x:f>'Assumptions'!$D$30*'Assumptions'!$D$6*(1+'Assumptions'!$D$90)^(((AB$7+AB$8)/2-46304)/365)</x:f>
        <x:v>21982.66822062043</x:v>
      </x:c>
      <x:c r="AC57" s="34" t="n">
        <x:f>'Assumptions'!$D$30*'Assumptions'!$D$6*(1+'Assumptions'!$D$90)^(((AC$7+AC$8)/2-46304)/365)</x:f>
        <x:v>22422.32158503284</x:v>
      </x:c>
      <x:c r="AD57" s="34" t="n">
        <x:f>'Assumptions'!$D$30*'Assumptions'!$D$6*(1+'Assumptions'!$D$90)^(((AD$7+AD$8)/2-46304)/365)</x:f>
        <x:v>22870.7680167335</x:v>
      </x:c>
      <x:c r="AE57" s="34" t="n">
        <x:f>'Assumptions'!$D$30*'Assumptions'!$D$6*(1+'Assumptions'!$D$90)^(((AE$7+AE$8)/2-46304)/365)</x:f>
        <x:v>23328.81620663903</x:v>
      </x:c>
      <x:c r="AF57" s="34" t="n">
        <x:f>'Assumptions'!$D$30*'Assumptions'!$D$6*(1+'Assumptions'!$D$90)^(((AF$7+AF$8)/2-46304)/365)</x:f>
        <x:v>23796.03803444436</x:v>
      </x:c>
      <x:c r="AG57" s="34" t="n">
        <x:f>'Assumptions'!$D$30*'Assumptions'!$D$6*(1+'Assumptions'!$D$90)^(((AG$7+AG$8)/2-46304)/365)</x:f>
        <x:v>24271.958795133243</x:v>
      </x:c>
      <x:c r="AH57" s="34" t="n">
        <x:f>'Assumptions'!$D$30*'Assumptions'!$D$6*(1+'Assumptions'!$D$90)^(((AH$7+AH$8)/2-46304)/365)</x:f>
        <x:v>24757.397971035913</x:v>
      </x:c>
      <x:c r="AI57" s="34" t="n">
        <x:f>'Assumptions'!$D$30*'Assumptions'!$D$6*(1+'Assumptions'!$D$90)^(((AI$7+AI$8)/2-46304)/365)</x:f>
        <x:v>25253.230962700505</x:v>
      </x:c>
      <x:c r="AJ57" s="34" t="n">
        <x:f>'Assumptions'!$D$30*'Assumptions'!$D$6*(1+'Assumptions'!$D$90)^(((AJ$7+AJ$8)/2-46304)/365)</x:f>
        <x:v>25758.99433379797</x:v>
      </x:c>
      <x:c r="AK57" s="34" t="n">
        <x:f>'Assumptions'!$D$30*'Assumptions'!$D$6*(1+'Assumptions'!$D$90)^(((AK$7+AK$8)/2-46304)/365)</x:f>
        <x:v>26274.174220473935</x:v>
      </x:c>
      <x:c r="AL57" s="34" t="n">
        <x:f>'Assumptions'!$D$30*'Assumptions'!$D$6*(1+'Assumptions'!$D$90)^(((AL$7+AL$8)/2-46304)/365)</x:f>
        <x:v>26799.65770488341</x:v>
      </x:c>
      <x:c r="AM57" s="34" t="n">
        <x:f>'Assumptions'!$D$30*'Assumptions'!$D$6*(1+'Assumptions'!$D$90)^(((AM$7+AM$8)/2-46304)/365)</x:f>
        <x:v>27336.392400142802</x:v>
      </x:c>
      <x:c r="AN57" s="34" t="n">
        <x:f>'Assumptions'!$D$30*'Assumptions'!$D$6*(1+'Assumptions'!$D$90)^(((AN$7+AN$8)/2-46304)/365)</x:f>
        <x:v>27883.876640648912</x:v>
      </x:c>
      <x:c r="AO57" s="34" t="n">
        <x:f>'Assumptions'!$D$30*'Assumptions'!$D$6*(1+'Assumptions'!$D$90)^(((AO$7+AO$8)/2-46304)/365)</x:f>
        <x:v>28441.55417346189</x:v>
      </x:c>
      <x:c r="AP57" s="34" t="n">
        <x:f>'Assumptions'!$D$30*'Assumptions'!$D$6*(1+'Assumptions'!$D$90)^(((AP$7+AP$8)/2-46304)/365)</x:f>
        <x:v>29010.38525693113</x:v>
      </x:c>
      <x:c r="AQ57" s="34" t="n">
        <x:f>'Assumptions'!$D$30*'Assumptions'!$D$6*(1+'Assumptions'!$D$90)^(((AQ$7+AQ$8)/2-46304)/365)</x:f>
        <x:v>29591.395673620114</x:v>
      </x:c>
    </x:row>
    <x:row r="58" ht="21" customHeight="1">
      <x:c r="A58" s="2"/>
      <x:c r="B58" s="2"/>
      <x:c r="C58" s="2" t="str">
        <x:v>Fixed share</x:v>
      </x:c>
      <x:c r="D58" s="2"/>
      <x:c r="E58" s="43" t="n">
        <x:f>'Assumptions'!$D$140</x:f>
        <x:v>0</x:v>
      </x:c>
      <x:c r="F58" s="43" t="n">
        <x:f>'Assumptions'!$D$140</x:f>
        <x:v>0</x:v>
      </x:c>
      <x:c r="G58" s="43" t="n">
        <x:f>'Assumptions'!$D$140</x:f>
        <x:v>0</x:v>
      </x:c>
      <x:c r="H58" s="43" t="n">
        <x:f>'Assumptions'!$D$140</x:f>
        <x:v>0</x:v>
      </x:c>
      <x:c r="I58" s="43" t="n">
        <x:f>'Assumptions'!$D$140</x:f>
        <x:v>0</x:v>
      </x:c>
      <x:c r="J58" s="43" t="n">
        <x:f>'Assumptions'!$D$140</x:f>
        <x:v>0</x:v>
      </x:c>
      <x:c r="K58" s="43" t="n">
        <x:f>'Assumptions'!$D$140</x:f>
        <x:v>0</x:v>
      </x:c>
      <x:c r="L58" s="43" t="n">
        <x:f>'Assumptions'!$D$140</x:f>
        <x:v>0</x:v>
      </x:c>
      <x:c r="M58" s="43" t="n">
        <x:f>'Assumptions'!$D$140</x:f>
        <x:v>0</x:v>
      </x:c>
      <x:c r="N58" s="43" t="n">
        <x:f>'Assumptions'!$D$140</x:f>
        <x:v>0</x:v>
      </x:c>
      <x:c r="O58" s="43" t="n">
        <x:f>'Assumptions'!$D$140</x:f>
        <x:v>0</x:v>
      </x:c>
      <x:c r="P58" s="43" t="n">
        <x:f>'Assumptions'!$D$140</x:f>
        <x:v>0</x:v>
      </x:c>
      <x:c r="Q58" s="43" t="n">
        <x:f>'Assumptions'!$D$140</x:f>
        <x:v>0</x:v>
      </x:c>
      <x:c r="R58" s="43" t="n">
        <x:f>'Assumptions'!$D$140</x:f>
        <x:v>0</x:v>
      </x:c>
      <x:c r="S58" s="43" t="n">
        <x:f>'Assumptions'!$D$140</x:f>
        <x:v>0</x:v>
      </x:c>
      <x:c r="T58" s="43" t="n">
        <x:f>'Assumptions'!$D$140</x:f>
        <x:v>0</x:v>
      </x:c>
      <x:c r="U58" s="43" t="n">
        <x:f>'Assumptions'!$D$140</x:f>
        <x:v>0</x:v>
      </x:c>
      <x:c r="V58" s="43" t="n">
        <x:f>'Assumptions'!$D$140</x:f>
        <x:v>0</x:v>
      </x:c>
      <x:c r="W58" s="43" t="n">
        <x:f>'Assumptions'!$D$140</x:f>
        <x:v>0</x:v>
      </x:c>
      <x:c r="X58" s="43" t="n">
        <x:f>'Assumptions'!$D$140</x:f>
        <x:v>0</x:v>
      </x:c>
      <x:c r="Y58" s="43" t="n">
        <x:f>'Assumptions'!$D$140</x:f>
        <x:v>0</x:v>
      </x:c>
      <x:c r="Z58" s="43" t="n">
        <x:f>'Assumptions'!$D$140</x:f>
        <x:v>0</x:v>
      </x:c>
      <x:c r="AA58" s="43" t="n">
        <x:f>'Assumptions'!$D$140</x:f>
        <x:v>0</x:v>
      </x:c>
      <x:c r="AB58" s="43" t="n">
        <x:f>'Assumptions'!$D$140</x:f>
        <x:v>0</x:v>
      </x:c>
      <x:c r="AC58" s="43" t="n">
        <x:f>'Assumptions'!$D$140</x:f>
        <x:v>0</x:v>
      </x:c>
      <x:c r="AD58" s="43" t="n">
        <x:f>'Assumptions'!$D$140</x:f>
        <x:v>0</x:v>
      </x:c>
      <x:c r="AE58" s="43" t="n">
        <x:f>'Assumptions'!$D$140</x:f>
        <x:v>0</x:v>
      </x:c>
      <x:c r="AF58" s="43" t="n">
        <x:f>'Assumptions'!$D$140</x:f>
        <x:v>0</x:v>
      </x:c>
      <x:c r="AG58" s="43" t="n">
        <x:f>'Assumptions'!$D$140</x:f>
        <x:v>0</x:v>
      </x:c>
      <x:c r="AH58" s="43" t="n">
        <x:f>'Assumptions'!$D$140</x:f>
        <x:v>0</x:v>
      </x:c>
      <x:c r="AI58" s="43" t="n">
        <x:f>'Assumptions'!$D$140</x:f>
        <x:v>0</x:v>
      </x:c>
      <x:c r="AJ58" s="43" t="n">
        <x:f>'Assumptions'!$D$140</x:f>
        <x:v>0</x:v>
      </x:c>
      <x:c r="AK58" s="43" t="n">
        <x:f>'Assumptions'!$D$140</x:f>
        <x:v>0</x:v>
      </x:c>
      <x:c r="AL58" s="43" t="n">
        <x:f>'Assumptions'!$D$140</x:f>
        <x:v>0</x:v>
      </x:c>
      <x:c r="AM58" s="43" t="n">
        <x:f>'Assumptions'!$D$140</x:f>
        <x:v>0</x:v>
      </x:c>
      <x:c r="AN58" s="43" t="n">
        <x:f>'Assumptions'!$D$140</x:f>
        <x:v>0</x:v>
      </x:c>
      <x:c r="AO58" s="43" t="n">
        <x:f>'Assumptions'!$D$140</x:f>
        <x:v>0</x:v>
      </x:c>
      <x:c r="AP58" s="43" t="n">
        <x:f>'Assumptions'!$D$140</x:f>
        <x:v>0</x:v>
      </x:c>
      <x:c r="AQ58" s="43" t="n">
        <x:f>'Assumptions'!$D$140</x:f>
        <x:v>0</x:v>
      </x:c>
    </x:row>
    <x:row r="59" ht="21" customHeight="1">
      <x:c r="A59" s="2"/>
      <x:c r="B59" s="2"/>
      <x:c r="C59" s="2" t="str">
        <x:v>Fixed TCE (USD/day)</x:v>
      </x:c>
      <x:c r="D59" s="2"/>
      <x:c r="E59" s="34" t="n">
        <x:f>'Assumptions'!$D$145*(1+'Assumptions'!$D$90)^(((E$7+E$8)/2-46304)/365)</x:f>
        <x:v>18041.062618776043</x:v>
      </x:c>
      <x:c r="F59" s="34" t="n">
        <x:f>'Assumptions'!$D$145*(1+'Assumptions'!$D$90)^(((F$7+F$8)/2-46304)/365)</x:f>
        <x:v>18125.927426311217</x:v>
      </x:c>
      <x:c r="G59" s="34" t="n">
        <x:f>'Assumptions'!$D$145*(1+'Assumptions'!$D$90)^(((G$7+G$8)/2-46304)/365)</x:f>
        <x:v>18215.143968529035</x:v>
      </x:c>
      <x:c r="H59" s="34" t="n">
        <x:f>'Assumptions'!$D$145*(1+'Assumptions'!$D$90)^(((H$7+H$8)/2-46304)/365)</x:f>
        <x:v>18305.79276954035</x:v>
      </x:c>
      <x:c r="I59" s="34" t="n">
        <x:f>'Assumptions'!$D$145*(1+'Assumptions'!$D$90)^(((I$7+I$8)/2-46304)/365)</x:f>
        <x:v>18397.391747161168</x:v>
      </x:c>
      <x:c r="J59" s="34" t="n">
        <x:f>'Assumptions'!$D$145*(1+'Assumptions'!$D$90)^(((J$7+J$8)/2-46304)/365)</x:f>
        <x:v>18488.94751561938</x:v>
      </x:c>
      <x:c r="K59" s="34" t="n">
        <x:f>'Assumptions'!$D$145*(1+'Assumptions'!$D$90)^(((K$7+K$8)/2-46304)/365)</x:f>
        <x:v>18580.454880343597</x:v>
      </x:c>
      <x:c r="L59" s="34" t="n">
        <x:f>'Assumptions'!$D$145*(1+'Assumptions'!$D$90)^(((L$7+L$8)/2-46304)/365)</x:f>
        <x:v>18672.92167391152</x:v>
      </x:c>
      <x:c r="M59" s="34" t="n">
        <x:f>'Assumptions'!$D$145*(1+'Assumptions'!$D$90)^(((M$7+M$8)/2-46304)/365)</x:f>
        <x:v>18766.357700204248</x:v>
      </x:c>
      <x:c r="N59" s="34" t="n">
        <x:f>'Assumptions'!$D$145*(1+'Assumptions'!$D$90)^(((N$7+N$8)/2-46304)/365)</x:f>
        <x:v>18859.23805140688</x:v>
      </x:c>
      <x:c r="O59" s="34" t="n">
        <x:f>'Assumptions'!$D$145*(1+'Assumptions'!$D$90)^(((O$7+O$8)/2-46304)/365)</x:f>
        <x:v>18952.06397795047</x:v>
      </x:c>
      <x:c r="P59" s="34" t="n">
        <x:f>'Assumptions'!$D$145*(1+'Assumptions'!$D$90)^(((P$7+P$8)/2-46304)/365)</x:f>
        <x:v>19046.38010738975</x:v>
      </x:c>
      <x:c r="Q59" s="34" t="n">
        <x:f>'Assumptions'!$D$145*(1+'Assumptions'!$D$90)^(((Q$7+Q$8)/2-46304)/365)</x:f>
        <x:v>19283.967479274062</x:v>
      </x:c>
      <x:c r="R59" s="34" t="n">
        <x:f>'Assumptions'!$D$145*(1+'Assumptions'!$D$90)^(((R$7+R$8)/2-46304)/365)</x:f>
        <x:v>19669.646828859546</x:v>
      </x:c>
      <x:c r="S59" s="34" t="n">
        <x:f>'Assumptions'!$D$145*(1+'Assumptions'!$D$90)^(((S$7+S$8)/2-46304)/365)</x:f>
        <x:v>20063.584020625396</x:v>
      </x:c>
      <x:c r="T59" s="34" t="n">
        <x:f>'Assumptions'!$D$145*(1+'Assumptions'!$D$90)^(((T$7+T$8)/2-46304)/365)</x:f>
        <x:v>20465.410856389764</x:v>
      </x:c>
      <x:c r="U59" s="34" t="n">
        <x:f>'Assumptions'!$D$145*(1+'Assumptions'!$D$90)^(((U$7+U$8)/2-46304)/365)</x:f>
        <x:v>20874.71907351756</x:v>
      </x:c>
      <x:c r="V59" s="34" t="n">
        <x:f>'Assumptions'!$D$145*(1+'Assumptions'!$D$90)^(((V$7+V$8)/2-46304)/365)</x:f>
        <x:v>21292.213454987912</x:v>
      </x:c>
      <x:c r="W59" s="34" t="n">
        <x:f>'Assumptions'!$D$145*(1+'Assumptions'!$D$90)^(((W$7+W$8)/2-46304)/365)</x:f>
        <x:v>21718.646875369934</x:v>
      </x:c>
      <x:c r="X59" s="34" t="n">
        <x:f>'Assumptions'!$D$145*(1+'Assumptions'!$D$90)^(((X$7+X$8)/2-46304)/365)</x:f>
        <x:v>22153.62076348694</x:v>
      </x:c>
      <x:c r="Y59" s="34" t="n">
        <x:f>'Assumptions'!$D$145*(1+'Assumptions'!$D$90)^(((Y$7+Y$8)/2-46304)/365)</x:f>
        <x:v>22596.69317875668</x:v>
      </x:c>
      <x:c r="Z59" s="34" t="n">
        <x:f>'Assumptions'!$D$145*(1+'Assumptions'!$D$90)^(((Z$7+Z$8)/2-46304)/365)</x:f>
        <x:v>23048.627042331816</x:v>
      </x:c>
      <x:c r="AA59" s="34" t="n">
        <x:f>'Assumptions'!$D$145*(1+'Assumptions'!$D$90)^(((AA$7+AA$8)/2-46304)/365)</x:f>
        <x:v>23510.23733407293</x:v>
      </x:c>
      <x:c r="AB59" s="34" t="n">
        <x:f>'Assumptions'!$D$145*(1+'Assumptions'!$D$90)^(((AB$7+AB$8)/2-46304)/365)</x:f>
        <x:v>23981.0926043132</x:v>
      </x:c>
      <x:c r="AC59" s="34" t="n">
        <x:f>'Assumptions'!$D$145*(1+'Assumptions'!$D$90)^(((AC$7+AC$8)/2-46304)/365)</x:f>
        <x:v>24460.714456399466</x:v>
      </x:c>
      <x:c r="AD59" s="34" t="n">
        <x:f>'Assumptions'!$D$145*(1+'Assumptions'!$D$90)^(((AD$7+AD$8)/2-46304)/365)</x:f>
        <x:v>24949.928745527453</x:v>
      </x:c>
      <x:c r="AE59" s="34" t="n">
        <x:f>'Assumptions'!$D$145*(1+'Assumptions'!$D$90)^(((AE$7+AE$8)/2-46304)/365)</x:f>
        <x:v>25449.61767996985</x:v>
      </x:c>
      <x:c r="AF59" s="34" t="n">
        <x:f>'Assumptions'!$D$145*(1+'Assumptions'!$D$90)^(((AF$7+AF$8)/2-46304)/365)</x:f>
        <x:v>25959.314219393847</x:v>
      </x:c>
      <x:c r="AG59" s="34" t="n">
        <x:f>'Assumptions'!$D$145*(1+'Assumptions'!$D$90)^(((AG$7+AG$8)/2-46304)/365)</x:f>
        <x:v>26478.50050378172</x:v>
      </x:c>
      <x:c r="AH59" s="34" t="n">
        <x:f>'Assumptions'!$D$145*(1+'Assumptions'!$D$90)^(((AH$7+AH$8)/2-46304)/365)</x:f>
        <x:v>27008.070513857358</x:v>
      </x:c>
      <x:c r="AI59" s="34" t="n">
        <x:f>'Assumptions'!$D$145*(1+'Assumptions'!$D$90)^(((AI$7+AI$8)/2-46304)/365)</x:f>
        <x:v>27548.979232036912</x:v>
      </x:c>
      <x:c r="AJ59" s="34" t="n">
        <x:f>'Assumptions'!$D$145*(1+'Assumptions'!$D$90)^(((AJ$7+AJ$8)/2-46304)/365)</x:f>
        <x:v>28100.72109141597</x:v>
      </x:c>
      <x:c r="AK59" s="34" t="n">
        <x:f>'Assumptions'!$D$145*(1+'Assumptions'!$D$90)^(((AK$7+AK$8)/2-46304)/365)</x:f>
        <x:v>28662.73551324429</x:v>
      </x:c>
      <x:c r="AL59" s="34" t="n">
        <x:f>'Assumptions'!$D$145*(1+'Assumptions'!$D$90)^(((AL$7+AL$8)/2-46304)/365)</x:f>
        <x:v>29235.990223509176</x:v>
      </x:c>
      <x:c r="AM59" s="34" t="n">
        <x:f>'Assumptions'!$D$145*(1+'Assumptions'!$D$90)^(((AM$7+AM$8)/2-46304)/365)</x:f>
        <x:v>29821.518981973968</x:v>
      </x:c>
      <x:c r="AN59" s="34" t="n">
        <x:f>'Assumptions'!$D$145*(1+'Assumptions'!$D$90)^(((AN$7+AN$8)/2-46304)/365)</x:f>
        <x:v>30418.77451707154</x:v>
      </x:c>
      <x:c r="AO59" s="34" t="n">
        <x:f>'Assumptions'!$D$145*(1+'Assumptions'!$D$90)^(((AO$7+AO$8)/2-46304)/365)</x:f>
        <x:v>31027.15000741297</x:v>
      </x:c>
      <x:c r="AP59" s="34" t="n">
        <x:f>'Assumptions'!$D$145*(1+'Assumptions'!$D$90)^(((AP$7+AP$8)/2-46304)/365)</x:f>
        <x:v>31647.693007561233</x:v>
      </x:c>
      <x:c r="AQ59" s="34" t="n">
        <x:f>'Assumptions'!$D$145*(1+'Assumptions'!$D$90)^(((AQ$7+AQ$8)/2-46304)/365)</x:f>
        <x:v>32281.522553040122</x:v>
      </x:c>
    </x:row>
    <x:row r="60" ht="21" customHeight="1">
      <x:c r="A60" s="2"/>
      <x:c r="B60" s="2"/>
      <x:c r="C60" s="2" t="str">
        <x:v>TCE cash revenue</x:v>
      </x:c>
      <x:c r="D60" s="2"/>
      <x:c r="E60" s="39" t="n">
        <x:f>E56*((1-E58)*E57+E58*E59)</x:f>
        <x:v>61287669.67771531</x:v>
      </x:c>
      <x:c r="F60" s="39" t="n">
        <x:f>F56*((1-F58)*F57+F58*F59)</x:f>
        <x:v>66769119.41574565</x:v>
      </x:c>
      <x:c r="G60" s="39" t="n">
        <x:f>G56*((1-G58)*G57+G58*G59)</x:f>
        <x:v>67843290.36441803</x:v>
      </x:c>
      <x:c r="H60" s="39" t="n">
        <x:f>H56*((1-H58)*H57+H58*H59)</x:f>
        <x:v>68930157.57715803</x:v>
      </x:c>
      <x:c r="I60" s="39" t="n">
        <x:f>I56*((1-I58)*I57+I58*I59)</x:f>
        <x:v>69275072.0007396</x:v>
      </x:c>
      <x:c r="J60" s="39" t="n">
        <x:f>J56*((1-J58)*J57+J58*J59)</x:f>
        <x:v>68863086.50658147</x:v>
      </x:c>
      <x:c r="K60" s="39" t="n">
        <x:f>K56*((1-K58)*K57+K58*K59)</x:f>
        <x:v>69203910.64314575</x:v>
      </x:c>
      <x:c r="L60" s="39" t="n">
        <x:f>L56*((1-L58)*L57+L58*L59)</x:f>
        <x:v>70312575.3477526</x:v>
      </x:c>
      <x:c r="M60" s="39" t="n">
        <x:f>M56*((1-M58)*M57+M58*M59)</x:f>
        <x:v>70664407.14749075</x:v>
      </x:c>
      <x:c r="N60" s="39" t="n">
        <x:f>N56*((1-N58)*N57+N58*N59)</x:f>
        <x:v>69470360.76711367</x:v>
      </x:c>
      <x:c r="O60" s="39" t="n">
        <x:f>O56*((1-O58)*O57+O58*O59)</x:f>
        <x:v>70587988.85600866</x:v>
      </x:c>
      <x:c r="P60" s="39" t="n">
        <x:f>P56*((1-P58)*P57+P58*P59)</x:f>
        <x:v>71718826.85470764</x:v>
      </x:c>
      <x:c r="Q60" s="39" t="n">
        <x:f>Q56*((1-Q58)*Q57+Q58*Q59)</x:f>
        <x:v>288086002.4181326</x:v>
      </x:c>
      <x:c r="R60" s="39" t="n">
        <x:f>R56*((1-R58)*R57+R58*R59)</x:f>
        <x:v>293847722.4664953</x:v>
      </x:c>
      <x:c r="S60" s="39" t="n">
        <x:f>S56*((1-S58)*S57+S58*S59)</x:f>
        <x:v>300553993.3977699</x:v>
      </x:c>
      <x:c r="T60" s="39" t="n">
        <x:f>T56*((1-T58)*T57+T58*T59)</x:f>
        <x:v>305735757.3226899</x:v>
      </x:c>
      <x:c r="U60" s="39" t="n">
        <x:f>U56*((1-U58)*U57+U58*U59)</x:f>
        <x:v>311850472.46914375</x:v>
      </x:c>
      <x:c r="V60" s="39" t="n">
        <x:f>V56*((1-V58)*V57+V58*V59)</x:f>
        <x:v>318087481.91852665</x:v>
      </x:c>
      <x:c r="W60" s="39" t="n">
        <x:f>W56*((1-W58)*W57+W58*W59)</x:f>
        <x:v>325346959.09155726</x:v>
      </x:c>
      <x:c r="X60" s="39" t="n">
        <x:f>X56*((1-X58)*X57+X58*X59)</x:f>
        <x:v>329181297.0719247</x:v>
      </x:c>
      <x:c r="Y60" s="39" t="n">
        <x:f>Y56*((1-Y58)*Y57+Y58*Y59)</x:f>
        <x:v>315909867.78740746</x:v>
      </x:c>
      <x:c r="Z60" s="39" t="n">
        <x:f>Z56*((1-Z58)*Z57+Z58*Z59)</x:f>
        <x:v>274698723.0315951</x:v>
      </x:c>
      <x:c r="AA60" s="39" t="n">
        <x:f>AA56*((1-AA58)*AA57+AA58*AA59)</x:f>
        <x:v>224553329.84893075</x:v>
      </x:c>
      <x:c r="AB60" s="39" t="n">
        <x:f>AB56*((1-AB58)*AB57+AB58*AB59)</x:f>
        <x:v>78020886.04862604</x:v>
      </x:c>
      <x:c r="AC60" s="39" t="n">
        <x:f>AC56*((1-AC58)*AC57+AC58*AC59)</x:f>
        <x:v>32995567.328455076</x:v>
      </x:c>
      <x:c r="AD60" s="39" t="n">
        <x:f>AD56*((1-AD58)*AD57+AD58*AD59)</x:f>
        <x:v>15860877.61960468</x:v>
      </x:c>
      <x:c r="AE60" s="39" t="n">
        <x:f>AE56*((1-AE58)*AE57+AE58*AE59)</x:f>
        <x:v>16222858.79009678</x:v>
      </x:c>
      <x:c r="AF60" s="39" t="n">
        <x:f>AF56*((1-AF58)*AF57+AF58*AF59)</x:f>
        <x:v>12343004.928466287</x:v>
      </x:c>
      <x:c r="AG60" s="39" t="n">
        <x:f>AG56*((1-AG58)*AG57+AG58*AG59)</x:f>
        <x:v>0</x:v>
      </x:c>
      <x:c r="AH60" s="39" t="n">
        <x:f>AH56*((1-AH58)*AH57+AH58*AH59)</x:f>
        <x:v>0</x:v>
      </x:c>
      <x:c r="AI60" s="39" t="n">
        <x:f>AI56*((1-AI58)*AI57+AI58*AI59)</x:f>
        <x:v>0</x:v>
      </x:c>
      <x:c r="AJ60" s="39" t="n">
        <x:f>AJ56*((1-AJ58)*AJ57+AJ58*AJ59)</x:f>
        <x:v>0</x:v>
      </x:c>
      <x:c r="AK60" s="39" t="n">
        <x:f>AK56*((1-AK58)*AK57+AK58*AK59)</x:f>
        <x:v>0</x:v>
      </x:c>
      <x:c r="AL60" s="39" t="n">
        <x:f>AL56*((1-AL58)*AL57+AL58*AL59)</x:f>
        <x:v>0</x:v>
      </x:c>
      <x:c r="AM60" s="39" t="n">
        <x:f>AM56*((1-AM58)*AM57+AM58*AM59)</x:f>
        <x:v>0</x:v>
      </x:c>
      <x:c r="AN60" s="39" t="n">
        <x:f>AN56*((1-AN58)*AN57+AN58*AN59)</x:f>
        <x:v>0</x:v>
      </x:c>
      <x:c r="AO60" s="39" t="n">
        <x:f>AO56*((1-AO58)*AO57+AO58*AO59)</x:f>
        <x:v>0</x:v>
      </x:c>
      <x:c r="AP60" s="39" t="n">
        <x:f>AP56*((1-AP58)*AP57+AP58*AP59)</x:f>
        <x:v>0</x:v>
      </x:c>
      <x:c r="AQ60" s="39" t="n">
        <x:f>AQ56*((1-AQ58)*AQ57+AQ58*AQ59)</x:f>
        <x:v>0</x:v>
      </x:c>
    </x:row>
    <x:row r="61" ht="21" customHeight="1">
      <x:c r="A61" s="2"/>
      <x:c r="B61" s="2"/>
      <x:c r="C61" s="2" t="str">
        <x:v>Vessel operating cost</x:v>
      </x:c>
      <x:c r="D61" s="2"/>
      <x:c r="E61" s="37" t="n">
        <x:f>E55*'Assumptions'!$D$60*(1+'Assumptions'!$D$90)^(((E$7+E$8)/2-46304)/365)</x:f>
        <x:v>20722465.66455446</x:v>
      </x:c>
      <x:c r="F61" s="37" t="n">
        <x:f>F55*'Assumptions'!$D$60*(1+'Assumptions'!$D$90)^(((F$7+F$8)/2-46304)/365)</x:f>
        <x:v>22575842.60947062</x:v>
      </x:c>
      <x:c r="G61" s="37" t="n">
        <x:f>G55*'Assumptions'!$D$60*(1+'Assumptions'!$D$90)^(((G$7+G$8)/2-46304)/365)</x:f>
        <x:v>22939039.166278504</x:v>
      </x:c>
      <x:c r="H61" s="37" t="n">
        <x:f>H55*'Assumptions'!$D$60*(1+'Assumptions'!$D$90)^(((H$7+H$8)/2-46304)/365)</x:f>
        <x:v>23306528.558783896</x:v>
      </x:c>
      <x:c r="I61" s="37" t="n">
        <x:f>I55*'Assumptions'!$D$60*(1+'Assumptions'!$D$90)^(((I$7+I$8)/2-46304)/365)</x:f>
        <x:v>23423150.341557886</x:v>
      </x:c>
      <x:c r="J61" s="37" t="n">
        <x:f>J55*'Assumptions'!$D$60*(1+'Assumptions'!$D$90)^(((J$7+J$8)/2-46304)/365)</x:f>
        <x:v>23283850.621045094</x:v>
      </x:c>
      <x:c r="K61" s="37" t="n">
        <x:f>K55*'Assumptions'!$D$60*(1+'Assumptions'!$D$90)^(((K$7+K$8)/2-46304)/365)</x:f>
        <x:v>23399089.40406204</x:v>
      </x:c>
      <x:c r="L61" s="37" t="n">
        <x:f>L55*'Assumptions'!$D$60*(1+'Assumptions'!$D$90)^(((L$7+L$8)/2-46304)/365)</x:f>
        <x:v>23773948.921409175</x:v>
      </x:c>
      <x:c r="M61" s="37" t="n">
        <x:f>M55*'Assumptions'!$D$60*(1+'Assumptions'!$D$90)^(((M$7+M$8)/2-46304)/365)</x:f>
        <x:v>23892909.59372893</x:v>
      </x:c>
      <x:c r="N61" s="37" t="n">
        <x:f>N55*'Assumptions'!$D$60*(1+'Assumptions'!$D$90)^(((N$7+N$8)/2-46304)/365)</x:f>
        <x:v>23489180.993027266</x:v>
      </x:c>
      <x:c r="O61" s="37" t="n">
        <x:f>O55*'Assumptions'!$D$60*(1+'Assumptions'!$D$90)^(((O$7+O$8)/2-46304)/365)</x:f>
        <x:v>23867071.192143284</x:v>
      </x:c>
      <x:c r="P61" s="37" t="n">
        <x:f>P55*'Assumptions'!$D$60*(1+'Assumptions'!$D$90)^(((P$7+P$8)/2-46304)/365)</x:f>
        <x:v>24249427.899837352</x:v>
      </x:c>
      <x:c r="Q61" s="37" t="n">
        <x:f>Q55*'Assumptions'!$D$60*(1+'Assumptions'!$D$90)^(((Q$7+Q$8)/2-46304)/365)</x:f>
        <x:v>97407069.39815648</x:v>
      </x:c>
      <x:c r="R61" s="37" t="n">
        <x:f>R55*'Assumptions'!$D$60*(1+'Assumptions'!$D$90)^(((R$7+R$8)/2-46304)/365)</x:f>
        <x:v>99355210.78611961</x:v>
      </x:c>
      <x:c r="S61" s="37" t="n">
        <x:f>S55*'Assumptions'!$D$60*(1+'Assumptions'!$D$90)^(((S$7+S$8)/2-46304)/365)</x:f>
        <x:v>101622721.85060164</x:v>
      </x:c>
      <x:c r="T61" s="37" t="n">
        <x:f>T55*'Assumptions'!$D$60*(1+'Assumptions'!$D$90)^(((T$7+T$8)/2-46304)/365)</x:f>
        <x:v>103374769.621069</x:v>
      </x:c>
      <x:c r="U61" s="37" t="n">
        <x:f>U55*'Assumptions'!$D$60*(1+'Assumptions'!$D$90)^(((U$7+U$8)/2-46304)/365)</x:f>
        <x:v>105442265.01349038</x:v>
      </x:c>
      <x:c r="V61" s="37" t="n">
        <x:f>V55*'Assumptions'!$D$60*(1+'Assumptions'!$D$90)^(((V$7+V$8)/2-46304)/365)</x:f>
        <x:v>107551110.31376019</x:v>
      </x:c>
      <x:c r="W61" s="37" t="n">
        <x:f>W55*'Assumptions'!$D$60*(1+'Assumptions'!$D$90)^(((W$7+W$8)/2-46304)/365)</x:f>
        <x:v>110005670.37864457</x:v>
      </x:c>
      <x:c r="X61" s="37" t="n">
        <x:f>X55*'Assumptions'!$D$60*(1+'Assumptions'!$D$90)^(((X$7+X$8)/2-46304)/365)</x:f>
        <x:v>111302129.15350564</x:v>
      </x:c>
      <x:c r="Y61" s="37" t="n">
        <x:f>Y55*'Assumptions'!$D$60*(1+'Assumptions'!$D$90)^(((Y$7+Y$8)/2-46304)/365)</x:f>
        <x:v>106814819.73035148</x:v>
      </x:c>
      <x:c r="Z61" s="37" t="n">
        <x:f>Z55*'Assumptions'!$D$60*(1+'Assumptions'!$D$90)^(((Z$7+Z$8)/2-46304)/365)</x:f>
        <x:v>92880588.96762067</x:v>
      </x:c>
      <x:c r="AA61" s="37" t="n">
        <x:f>AA55*'Assumptions'!$D$60*(1+'Assumptions'!$D$90)^(((AA$7+AA$8)/2-46304)/365)</x:f>
        <x:v>75925527.79581071</x:v>
      </x:c>
      <x:c r="AB61" s="37" t="n">
        <x:f>AB55*'Assumptions'!$D$60*(1+'Assumptions'!$D$90)^(((AB$7+AB$8)/2-46304)/365)</x:f>
        <x:v>26380267.69108249</x:v>
      </x:c>
      <x:c r="AC61" s="37" t="n">
        <x:f>AC55*'Assumptions'!$D$60*(1+'Assumptions'!$D$90)^(((AC$7+AC$8)/2-46304)/365)</x:f>
        <x:v>11156395.970705705</x:v>
      </x:c>
      <x:c r="AD61" s="37" t="n">
        <x:f>AD55*'Assumptions'!$D$60*(1+'Assumptions'!$D$90)^(((AD$7+AD$8)/2-46304)/365)</x:f>
        <x:v>5362848.573135873</x:v>
      </x:c>
      <x:c r="AE61" s="37" t="n">
        <x:f>AE55*'Assumptions'!$D$60*(1+'Assumptions'!$D$90)^(((AE$7+AE$8)/2-46304)/365)</x:f>
        <x:v>5485240.930622836</x:v>
      </x:c>
      <x:c r="AF61" s="37" t="n">
        <x:f>AF55*'Assumptions'!$D$60*(1+'Assumptions'!$D$90)^(((AF$7+AF$8)/2-46304)/365)</x:f>
        <x:v>4173392.4160045506</x:v>
      </x:c>
      <x:c r="AG61" s="37" t="n">
        <x:f>AG55*'Assumptions'!$D$60*(1+'Assumptions'!$D$90)^(((AG$7+AG$8)/2-46304)/365)</x:f>
        <x:v>0</x:v>
      </x:c>
      <x:c r="AH61" s="37" t="n">
        <x:f>AH55*'Assumptions'!$D$60*(1+'Assumptions'!$D$90)^(((AH$7+AH$8)/2-46304)/365)</x:f>
        <x:v>0</x:v>
      </x:c>
      <x:c r="AI61" s="37" t="n">
        <x:f>AI55*'Assumptions'!$D$60*(1+'Assumptions'!$D$90)^(((AI$7+AI$8)/2-46304)/365)</x:f>
        <x:v>0</x:v>
      </x:c>
      <x:c r="AJ61" s="37" t="n">
        <x:f>AJ55*'Assumptions'!$D$60*(1+'Assumptions'!$D$90)^(((AJ$7+AJ$8)/2-46304)/365)</x:f>
        <x:v>0</x:v>
      </x:c>
      <x:c r="AK61" s="37" t="n">
        <x:f>AK55*'Assumptions'!$D$60*(1+'Assumptions'!$D$90)^(((AK$7+AK$8)/2-46304)/365)</x:f>
        <x:v>0</x:v>
      </x:c>
      <x:c r="AL61" s="37" t="n">
        <x:f>AL55*'Assumptions'!$D$60*(1+'Assumptions'!$D$90)^(((AL$7+AL$8)/2-46304)/365)</x:f>
        <x:v>0</x:v>
      </x:c>
      <x:c r="AM61" s="37" t="n">
        <x:f>AM55*'Assumptions'!$D$60*(1+'Assumptions'!$D$90)^(((AM$7+AM$8)/2-46304)/365)</x:f>
        <x:v>0</x:v>
      </x:c>
      <x:c r="AN61" s="37" t="n">
        <x:f>AN55*'Assumptions'!$D$60*(1+'Assumptions'!$D$90)^(((AN$7+AN$8)/2-46304)/365)</x:f>
        <x:v>0</x:v>
      </x:c>
      <x:c r="AO61" s="37" t="n">
        <x:f>AO55*'Assumptions'!$D$60*(1+'Assumptions'!$D$90)^(((AO$7+AO$8)/2-46304)/365)</x:f>
        <x:v>0</x:v>
      </x:c>
      <x:c r="AP61" s="37" t="n">
        <x:f>AP55*'Assumptions'!$D$60*(1+'Assumptions'!$D$90)^(((AP$7+AP$8)/2-46304)/365)</x:f>
        <x:v>0</x:v>
      </x:c>
      <x:c r="AQ61" s="37" t="n">
        <x:f>AQ55*'Assumptions'!$D$60*(1+'Assumptions'!$D$90)^(((AQ$7+AQ$8)/2-46304)/365)</x:f>
        <x:v>0</x:v>
      </x:c>
    </x:row>
    <x:row r="62" ht="21" customHeight="1">
      <x:c r="A62" s="2"/>
      <x:c r="B62" s="2"/>
      <x:c r="C62" s="2" t="str">
        <x:v>Management fees</x:v>
      </x:c>
      <x:c r="D62" s="2"/>
      <x:c r="E62" s="37" t="n">
        <x:f>E55*'Assumptions'!$D$65*(1+'Assumptions'!$D$90)^(((E$7+E$8)/2-46304)/365)</x:f>
        <x:v>1798553.6237160475</x:v>
      </x:c>
      <x:c r="F62" s="37" t="n">
        <x:f>F55*'Assumptions'!$D$65*(1+'Assumptions'!$D$90)^(((F$7+F$8)/2-46304)/365)</x:f>
        <x:v>1959412.7547842425</x:v>
      </x:c>
      <x:c r="G62" s="37" t="n">
        <x:f>G55*'Assumptions'!$D$65*(1+'Assumptions'!$D$90)^(((G$7+G$8)/2-46304)/365)</x:f>
        <x:v>1990935.4748090776</x:v>
      </x:c>
      <x:c r="H62" s="37" t="n">
        <x:f>H55*'Assumptions'!$D$65*(1+'Assumptions'!$D$90)^(((H$7+H$8)/2-46304)/365)</x:f>
        <x:v>2022830.7805736966</x:v>
      </x:c>
      <x:c r="I62" s="37" t="n">
        <x:f>I55*'Assumptions'!$D$65*(1+'Assumptions'!$D$90)^(((I$7+I$8)/2-46304)/365)</x:f>
        <x:v>2032952.6711540807</x:v>
      </x:c>
      <x:c r="J62" s="37" t="n">
        <x:f>J55*'Assumptions'!$D$65*(1+'Assumptions'!$D$90)^(((J$7+J$8)/2-46304)/365)</x:f>
        <x:v>2020862.5067322156</x:v>
      </x:c>
      <x:c r="K62" s="37" t="n">
        <x:f>K55*'Assumptions'!$D$65*(1+'Assumptions'!$D$90)^(((K$7+K$8)/2-46304)/365)</x:f>
        <x:v>2030864.3633714225</x:v>
      </x:c>
      <x:c r="L62" s="37" t="n">
        <x:f>L55*'Assumptions'!$D$65*(1+'Assumptions'!$D$90)^(((L$7+L$8)/2-46304)/365)</x:f>
        <x:v>2063399.3403487208</x:v>
      </x:c>
      <x:c r="M62" s="37" t="n">
        <x:f>M55*'Assumptions'!$D$65*(1+'Assumptions'!$D$90)^(((M$7+M$8)/2-46304)/365)</x:f>
        <x:v>2073724.228889681</x:v>
      </x:c>
      <x:c r="N62" s="37" t="n">
        <x:f>N55*'Assumptions'!$D$65*(1+'Assumptions'!$D$90)^(((N$7+N$8)/2-46304)/365)</x:f>
        <x:v>2038683.6333570837</x:v>
      </x:c>
      <x:c r="O62" s="37" t="n">
        <x:f>O55*'Assumptions'!$D$65*(1+'Assumptions'!$D$90)^(((O$7+O$8)/2-46304)/365)</x:f>
        <x:v>2071481.6506388509</x:v>
      </x:c>
      <x:c r="P62" s="37" t="n">
        <x:f>P55*'Assumptions'!$D$65*(1+'Assumptions'!$D$90)^(((P$7+P$8)/2-46304)/365)</x:f>
        <x:v>2104667.327155695</x:v>
      </x:c>
      <x:c r="Q62" s="37" t="n">
        <x:f>Q55*'Assumptions'!$D$65*(1+'Assumptions'!$D$90)^(((Q$7+Q$8)/2-46304)/365)</x:f>
        <x:v>8454198.476066412</x:v>
      </x:c>
      <x:c r="R62" s="37" t="n">
        <x:f>R55*'Assumptions'!$D$65*(1+'Assumptions'!$D$90)^(((R$7+R$8)/2-46304)/365)</x:f>
        <x:v>8623282.445587741</x:v>
      </x:c>
      <x:c r="S62" s="37" t="n">
        <x:f>S55*'Assumptions'!$D$65*(1+'Assumptions'!$D$90)^(((S$7+S$8)/2-46304)/365)</x:f>
        <x:v>8820085.292693727</x:v>
      </x:c>
      <x:c r="T62" s="37" t="n">
        <x:f>T55*'Assumptions'!$D$65*(1+'Assumptions'!$D$90)^(((T$7+T$8)/2-46304)/365)</x:f>
        <x:v>8972149.816168252</x:v>
      </x:c>
      <x:c r="U62" s="37" t="n">
        <x:f>U55*'Assumptions'!$D$65*(1+'Assumptions'!$D$90)^(((U$7+U$8)/2-46304)/365)</x:f>
        <x:v>9151592.812491618</x:v>
      </x:c>
      <x:c r="V62" s="37" t="n">
        <x:f>V55*'Assumptions'!$D$65*(1+'Assumptions'!$D$90)^(((V$7+V$8)/2-46304)/365)</x:f>
        <x:v>9334624.668741452</x:v>
      </x:c>
      <x:c r="W62" s="37" t="n">
        <x:f>W55*'Assumptions'!$D$65*(1+'Assumptions'!$D$90)^(((W$7+W$8)/2-46304)/365)</x:f>
        <x:v>9547661.957391793</x:v>
      </x:c>
      <x:c r="X62" s="37" t="n">
        <x:f>X55*'Assumptions'!$D$65*(1+'Assumptions'!$D$90)^(((X$7+X$8)/2-46304)/365)</x:f>
        <x:v>9660184.794455206</x:v>
      </x:c>
      <x:c r="Y62" s="37" t="n">
        <x:f>Y55*'Assumptions'!$D$65*(1+'Assumptions'!$D$90)^(((Y$7+Y$8)/2-46304)/365)</x:f>
        <x:v>9270720.203011638</x:v>
      </x:c>
      <x:c r="Z62" s="37" t="n">
        <x:f>Z55*'Assumptions'!$D$65*(1+'Assumptions'!$D$90)^(((Z$7+Z$8)/2-46304)/365)</x:f>
        <x:v>8061334.13681236</x:v>
      </x:c>
      <x:c r="AA62" s="37" t="n">
        <x:f>AA55*'Assumptions'!$D$65*(1+'Assumptions'!$D$90)^(((AA$7+AA$8)/2-46304)/365)</x:f>
        <x:v>6589762.789825082</x:v>
      </x:c>
      <x:c r="AB62" s="37" t="n">
        <x:f>AB55*'Assumptions'!$D$65*(1+'Assumptions'!$D$90)^(((AB$7+AB$8)/2-46304)/365)</x:f>
        <x:v>2289608.1392260273</x:v>
      </x:c>
      <x:c r="AC62" s="37" t="n">
        <x:f>AC55*'Assumptions'!$D$65*(1+'Assumptions'!$D$90)^(((AC$7+AC$8)/2-46304)/365)</x:f>
        <x:v>968290.971042382</x:v>
      </x:c>
      <x:c r="AD62" s="37" t="n">
        <x:f>AD55*'Assumptions'!$D$65*(1+'Assumptions'!$D$90)^(((AD$7+AD$8)/2-46304)/365)</x:f>
        <x:v>465454.7818193399</x:v>
      </x:c>
      <x:c r="AE62" s="37" t="n">
        <x:f>AE55*'Assumptions'!$D$65*(1+'Assumptions'!$D$90)^(((AE$7+AE$8)/2-46304)/365)</x:f>
        <x:v>476077.5147333027</x:v>
      </x:c>
      <x:c r="AF62" s="37" t="n">
        <x:f>AF55*'Assumptions'!$D$65*(1+'Assumptions'!$D$90)^(((AF$7+AF$8)/2-46304)/365)</x:f>
        <x:v>362218.96440794214</x:v>
      </x:c>
      <x:c r="AG62" s="37" t="n">
        <x:f>AG55*'Assumptions'!$D$65*(1+'Assumptions'!$D$90)^(((AG$7+AG$8)/2-46304)/365)</x:f>
        <x:v>0</x:v>
      </x:c>
      <x:c r="AH62" s="37" t="n">
        <x:f>AH55*'Assumptions'!$D$65*(1+'Assumptions'!$D$90)^(((AH$7+AH$8)/2-46304)/365)</x:f>
        <x:v>0</x:v>
      </x:c>
      <x:c r="AI62" s="37" t="n">
        <x:f>AI55*'Assumptions'!$D$65*(1+'Assumptions'!$D$90)^(((AI$7+AI$8)/2-46304)/365)</x:f>
        <x:v>0</x:v>
      </x:c>
      <x:c r="AJ62" s="37" t="n">
        <x:f>AJ55*'Assumptions'!$D$65*(1+'Assumptions'!$D$90)^(((AJ$7+AJ$8)/2-46304)/365)</x:f>
        <x:v>0</x:v>
      </x:c>
      <x:c r="AK62" s="37" t="n">
        <x:f>AK55*'Assumptions'!$D$65*(1+'Assumptions'!$D$90)^(((AK$7+AK$8)/2-46304)/365)</x:f>
        <x:v>0</x:v>
      </x:c>
      <x:c r="AL62" s="37" t="n">
        <x:f>AL55*'Assumptions'!$D$65*(1+'Assumptions'!$D$90)^(((AL$7+AL$8)/2-46304)/365)</x:f>
        <x:v>0</x:v>
      </x:c>
      <x:c r="AM62" s="37" t="n">
        <x:f>AM55*'Assumptions'!$D$65*(1+'Assumptions'!$D$90)^(((AM$7+AM$8)/2-46304)/365)</x:f>
        <x:v>0</x:v>
      </x:c>
      <x:c r="AN62" s="37" t="n">
        <x:f>AN55*'Assumptions'!$D$65*(1+'Assumptions'!$D$90)^(((AN$7+AN$8)/2-46304)/365)</x:f>
        <x:v>0</x:v>
      </x:c>
      <x:c r="AO62" s="37" t="n">
        <x:f>AO55*'Assumptions'!$D$65*(1+'Assumptions'!$D$90)^(((AO$7+AO$8)/2-46304)/365)</x:f>
        <x:v>0</x:v>
      </x:c>
      <x:c r="AP62" s="37" t="n">
        <x:f>AP55*'Assumptions'!$D$65*(1+'Assumptions'!$D$90)^(((AP$7+AP$8)/2-46304)/365)</x:f>
        <x:v>0</x:v>
      </x:c>
      <x:c r="AQ62" s="37" t="n">
        <x:f>AQ55*'Assumptions'!$D$65*(1+'Assumptions'!$D$90)^(((AQ$7+AQ$8)/2-46304)/365)</x:f>
        <x:v>0</x:v>
      </x:c>
    </x:row>
    <x:row r="63" ht="21" customHeight="1">
      <x:c r="A63" s="2"/>
      <x:c r="B63" s="2"/>
      <x:c r="C63" s="2" t="str">
        <x:v>Drydock cash budget</x:v>
      </x:c>
      <x:c r="D63" s="2"/>
      <x:c r="E63" s="37" t="n">
        <x:f>E55/365*'Assumptions'!$D$75*(1+'Assumptions'!$D$90)^(((E$7+E$8)/2-46304)/365)</x:f>
        <x:v>6212990.480972648</x:v>
      </x:c>
      <x:c r="F63" s="37" t="n">
        <x:f>F55/365*'Assumptions'!$D$75*(1+'Assumptions'!$D$90)^(((F$7+F$8)/2-46304)/365)</x:f>
        <x:v>6768668.2416608725</x:v>
      </x:c>
      <x:c r="G63" s="37" t="n">
        <x:f>G55/365*'Assumptions'!$D$75*(1+'Assumptions'!$D$90)^(((G$7+G$8)/2-46304)/365)</x:f>
        <x:v>6877561.497255896</x:v>
      </x:c>
      <x:c r="H63" s="37" t="n">
        <x:f>H55/365*'Assumptions'!$D$75*(1+'Assumptions'!$D$90)^(((H$7+H$8)/2-46304)/365)</x:f>
        <x:v>6987741.82687757</x:v>
      </x:c>
      <x:c r="I63" s="37" t="n">
        <x:f>I55/365*'Assumptions'!$D$75*(1+'Assumptions'!$D$90)^(((I$7+I$8)/2-46304)/365)</x:f>
        <x:v>7022707.2618783</x:v>
      </x:c>
      <x:c r="J63" s="37" t="n">
        <x:f>J55/365*'Assumptions'!$D$75*(1+'Assumptions'!$D$90)^(((J$7+J$8)/2-46304)/365)</x:f>
        <x:v>6980942.548568702</x:v>
      </x:c>
      <x:c r="K63" s="37" t="n">
        <x:f>K55/365*'Assumptions'!$D$75*(1+'Assumptions'!$D$90)^(((K$7+K$8)/2-46304)/365)</x:f>
        <x:v>7015493.333861971</x:v>
      </x:c>
      <x:c r="L63" s="37" t="n">
        <x:f>L55/365*'Assumptions'!$D$75*(1+'Assumptions'!$D$90)^(((L$7+L$8)/2-46304)/365)</x:f>
        <x:v>7127883.367494091</x:v>
      </x:c>
      <x:c r="M63" s="37" t="n">
        <x:f>M55/365*'Assumptions'!$D$75*(1+'Assumptions'!$D$90)^(((M$7+M$8)/2-46304)/365)</x:f>
        <x:v>7163550.046194252</x:v>
      </x:c>
      <x:c r="N63" s="37" t="n">
        <x:f>N55/365*'Assumptions'!$D$75*(1+'Assumptions'!$D$90)^(((N$7+N$8)/2-46304)/365)</x:f>
        <x:v>7042504.5107034445</x:v>
      </x:c>
      <x:c r="O63" s="37" t="n">
        <x:f>O55/365*'Assumptions'!$D$75*(1+'Assumptions'!$D$90)^(((O$7+O$8)/2-46304)/365)</x:f>
        <x:v>7155803.200539211</x:v>
      </x:c>
      <x:c r="P63" s="37" t="n">
        <x:f>P55/365*'Assumptions'!$D$75*(1+'Assumptions'!$D$90)^(((P$7+P$8)/2-46304)/365)</x:f>
        <x:v>7270441.034843972</x:v>
      </x:c>
      <x:c r="Q63" s="37" t="n">
        <x:f>Q55/365*'Assumptions'!$D$75*(1+'Assumptions'!$D$90)^(((Q$7+Q$8)/2-46304)/365)</x:f>
        <x:v>29204497.415833943</x:v>
      </x:c>
      <x:c r="R63" s="37" t="n">
        <x:f>R55/365*'Assumptions'!$D$75*(1+'Assumptions'!$D$90)^(((R$7+R$8)/2-46304)/365)</x:f>
        <x:v>29788587.36415062</x:v>
      </x:c>
      <x:c r="S63" s="37" t="n">
        <x:f>S55/365*'Assumptions'!$D$75*(1+'Assumptions'!$D$90)^(((S$7+S$8)/2-46304)/365)</x:f>
        <x:v>30468430.433367256</x:v>
      </x:c>
      <x:c r="T63" s="37" t="n">
        <x:f>T55/365*'Assumptions'!$D$75*(1+'Assumptions'!$D$90)^(((T$7+T$8)/2-46304)/365)</x:f>
        <x:v>30993727.774732497</x:v>
      </x:c>
      <x:c r="U63" s="37" t="n">
        <x:f>U55/365*'Assumptions'!$D$75*(1+'Assumptions'!$D$90)^(((U$7+U$8)/2-46304)/365)</x:f>
        <x:v>31613602.33022715</x:v>
      </x:c>
      <x:c r="V63" s="37" t="n">
        <x:f>V55/365*'Assumptions'!$D$75*(1+'Assumptions'!$D$90)^(((V$7+V$8)/2-46304)/365)</x:f>
        <x:v>32245874.376831695</x:v>
      </x:c>
      <x:c r="W63" s="37" t="n">
        <x:f>W55/365*'Assumptions'!$D$75*(1+'Assumptions'!$D$90)^(((W$7+W$8)/2-46304)/365)</x:f>
        <x:v>32981798.304271825</x:v>
      </x:c>
      <x:c r="X63" s="37" t="n">
        <x:f>X55/365*'Assumptions'!$D$75*(1+'Assumptions'!$D$90)^(((X$7+X$8)/2-46304)/365)</x:f>
        <x:v>33370501.37453258</x:v>
      </x:c>
      <x:c r="Y63" s="37" t="n">
        <x:f>Y55/365*'Assumptions'!$D$75*(1+'Assumptions'!$D$90)^(((Y$7+Y$8)/2-46304)/365)</x:f>
        <x:v>32025120.415406488</x:v>
      </x:c>
      <x:c r="Z63" s="37" t="n">
        <x:f>Z55/365*'Assumptions'!$D$75*(1+'Assumptions'!$D$90)^(((Z$7+Z$8)/2-46304)/365)</x:f>
        <x:v>27847372.241519768</x:v>
      </x:c>
      <x:c r="AA63" s="37" t="n">
        <x:f>AA55/365*'Assumptions'!$D$75*(1+'Assumptions'!$D$90)^(((AA$7+AA$8)/2-46304)/365)</x:f>
        <x:v>22763921.489568476</x:v>
      </x:c>
      <x:c r="AB63" s="37" t="n">
        <x:f>AB55/365*'Assumptions'!$D$75*(1+'Assumptions'!$D$90)^(((AB$7+AB$8)/2-46304)/365)</x:f>
        <x:v>7909307.449381154</x:v>
      </x:c>
      <x:c r="AC63" s="37" t="n">
        <x:f>AC55/365*'Assumptions'!$D$75*(1+'Assumptions'!$D$90)^(((AC$7+AC$8)/2-46304)/365)</x:f>
        <x:v>3344900.3168825586</x:v>
      </x:c>
      <x:c r="AD63" s="37" t="n">
        <x:f>AD55/365*'Assumptions'!$D$75*(1+'Assumptions'!$D$90)^(((AD$7+AD$8)/2-46304)/365)</x:f>
        <x:v>1607884.2969339914</x:v>
      </x:c>
      <x:c r="AE63" s="37" t="n">
        <x:f>AE55/365*'Assumptions'!$D$75*(1+'Assumptions'!$D$90)^(((AE$7+AE$8)/2-46304)/365)</x:f>
        <x:v>1644579.8603056318</x:v>
      </x:c>
      <x:c r="AF63" s="37" t="n">
        <x:f>AF55/365*'Assumptions'!$D$75*(1+'Assumptions'!$D$90)^(((AF$7+AF$8)/2-46304)/365)</x:f>
        <x:v>1251262.6525110567</x:v>
      </x:c>
      <x:c r="AG63" s="37" t="n">
        <x:f>AG55/365*'Assumptions'!$D$75*(1+'Assumptions'!$D$90)^(((AG$7+AG$8)/2-46304)/365)</x:f>
        <x:v>0</x:v>
      </x:c>
      <x:c r="AH63" s="37" t="n">
        <x:f>AH55/365*'Assumptions'!$D$75*(1+'Assumptions'!$D$90)^(((AH$7+AH$8)/2-46304)/365)</x:f>
        <x:v>0</x:v>
      </x:c>
      <x:c r="AI63" s="37" t="n">
        <x:f>AI55/365*'Assumptions'!$D$75*(1+'Assumptions'!$D$90)^(((AI$7+AI$8)/2-46304)/365)</x:f>
        <x:v>0</x:v>
      </x:c>
      <x:c r="AJ63" s="37" t="n">
        <x:f>AJ55/365*'Assumptions'!$D$75*(1+'Assumptions'!$D$90)^(((AJ$7+AJ$8)/2-46304)/365)</x:f>
        <x:v>0</x:v>
      </x:c>
      <x:c r="AK63" s="37" t="n">
        <x:f>AK55/365*'Assumptions'!$D$75*(1+'Assumptions'!$D$90)^(((AK$7+AK$8)/2-46304)/365)</x:f>
        <x:v>0</x:v>
      </x:c>
      <x:c r="AL63" s="37" t="n">
        <x:f>AL55/365*'Assumptions'!$D$75*(1+'Assumptions'!$D$90)^(((AL$7+AL$8)/2-46304)/365)</x:f>
        <x:v>0</x:v>
      </x:c>
      <x:c r="AM63" s="37" t="n">
        <x:f>AM55/365*'Assumptions'!$D$75*(1+'Assumptions'!$D$90)^(((AM$7+AM$8)/2-46304)/365)</x:f>
        <x:v>0</x:v>
      </x:c>
      <x:c r="AN63" s="37" t="n">
        <x:f>AN55/365*'Assumptions'!$D$75*(1+'Assumptions'!$D$90)^(((AN$7+AN$8)/2-46304)/365)</x:f>
        <x:v>0</x:v>
      </x:c>
      <x:c r="AO63" s="37" t="n">
        <x:f>AO55/365*'Assumptions'!$D$75*(1+'Assumptions'!$D$90)^(((AO$7+AO$8)/2-46304)/365)</x:f>
        <x:v>0</x:v>
      </x:c>
      <x:c r="AP63" s="37" t="n">
        <x:f>AP55/365*'Assumptions'!$D$75*(1+'Assumptions'!$D$90)^(((AP$7+AP$8)/2-46304)/365)</x:f>
        <x:v>0</x:v>
      </x:c>
      <x:c r="AQ63" s="37" t="n">
        <x:f>AQ55/365*'Assumptions'!$D$75*(1+'Assumptions'!$D$90)^(((AQ$7+AQ$8)/2-46304)/365)</x:f>
        <x:v>0</x:v>
      </x:c>
    </x:row>
    <x:row r="64" ht="21" customHeight="1">
      <x:c r="A64" s="2"/>
      <x:c r="B64" s="2"/>
      <x:c r="C64" s="2" t="str">
        <x:v>Other maintenance capex</x:v>
      </x:c>
      <x:c r="D64" s="2"/>
      <x:c r="E64" s="37" t="n">
        <x:f>E55/365*'Assumptions'!$D$80*(1+'Assumptions'!$D$90)^(((E$7+E$8)/2-46304)/365)</x:f>
        <x:v>1392566.831942145</x:v>
      </x:c>
      <x:c r="F64" s="37" t="n">
        <x:f>F55/365*'Assumptions'!$D$80*(1+'Assumptions'!$D$90)^(((F$7+F$8)/2-46304)/365)</x:f>
        <x:v>1517115.2955446786</x:v>
      </x:c>
      <x:c r="G64" s="37" t="n">
        <x:f>G55/365*'Assumptions'!$D$80*(1+'Assumptions'!$D$90)^(((G$7+G$8)/2-46304)/365)</x:f>
        <x:v>1541522.404557356</x:v>
      </x:c>
      <x:c r="H64" s="37" t="n">
        <x:f>H55/365*'Assumptions'!$D$80*(1+'Assumptions'!$D$90)^(((H$7+H$8)/2-46304)/365)</x:f>
        <x:v>1566217.9956794553</x:v>
      </x:c>
      <x:c r="I64" s="37" t="n">
        <x:f>I55/365*'Assumptions'!$D$80*(1+'Assumptions'!$D$90)^(((I$7+I$8)/2-46304)/365)</x:f>
        <x:v>1574055.07593824</x:v>
      </x:c>
      <x:c r="J64" s="37" t="n">
        <x:f>J55/365*'Assumptions'!$D$80*(1+'Assumptions'!$D$90)^(((J$7+J$8)/2-46304)/365)</x:f>
        <x:v>1564694.019506778</x:v>
      </x:c>
      <x:c r="K64" s="37" t="n">
        <x:f>K55/365*'Assumptions'!$D$80*(1+'Assumptions'!$D$90)^(((K$7+K$8)/2-46304)/365)</x:f>
        <x:v>1572438.161038028</x:v>
      </x:c>
      <x:c r="L64" s="37" t="n">
        <x:f>L55/365*'Assumptions'!$D$80*(1+'Assumptions'!$D$90)^(((L$7+L$8)/2-46304)/365)</x:f>
        <x:v>1597629.0306452273</x:v>
      </x:c>
      <x:c r="M64" s="37" t="n">
        <x:f>M55/365*'Assumptions'!$D$80*(1+'Assumptions'!$D$90)^(((M$7+M$8)/2-46304)/365)</x:f>
        <x:v>1605623.2862159528</x:v>
      </x:c>
      <x:c r="N64" s="37" t="n">
        <x:f>N55/365*'Assumptions'!$D$80*(1+'Assumptions'!$D$90)^(((N$7+N$8)/2-46304)/365)</x:f>
        <x:v>1578492.3903300825</x:v>
      </x:c>
      <x:c r="O64" s="37" t="n">
        <x:f>O55/365*'Assumptions'!$D$80*(1+'Assumptions'!$D$90)^(((O$7+O$8)/2-46304)/365)</x:f>
        <x:v>1603886.9242587886</x:v>
      </x:c>
      <x:c r="P64" s="37" t="n">
        <x:f>P55/365*'Assumptions'!$D$80*(1+'Assumptions'!$D$90)^(((P$7+P$8)/2-46304)/365)</x:f>
        <x:v>1629581.6112581317</x:v>
      </x:c>
      <x:c r="Q64" s="37" t="n">
        <x:f>Q55/365*'Assumptions'!$D$80*(1+'Assumptions'!$D$90)^(((Q$7+Q$8)/2-46304)/365)</x:f>
        <x:v>6545835.627686918</x:v>
      </x:c>
      <x:c r="R64" s="37" t="n">
        <x:f>R55/365*'Assumptions'!$D$80*(1+'Assumptions'!$D$90)^(((R$7+R$8)/2-46304)/365)</x:f>
        <x:v>6676752.340240656</x:v>
      </x:c>
      <x:c r="S64" s="37" t="n">
        <x:f>S55/365*'Assumptions'!$D$80*(1+'Assumptions'!$D$90)^(((S$7+S$8)/2-46304)/365)</x:f>
        <x:v>6829130.959203006</x:v>
      </x:c>
      <x:c r="T64" s="37" t="n">
        <x:f>T55/365*'Assumptions'!$D$80*(1+'Assumptions'!$D$90)^(((T$7+T$8)/2-46304)/365)</x:f>
        <x:v>6946870.018474525</x:v>
      </x:c>
      <x:c r="U64" s="37" t="n">
        <x:f>U55/365*'Assumptions'!$D$80*(1+'Assumptions'!$D$90)^(((U$7+U$8)/2-46304)/365)</x:f>
        <x:v>7085807.418844016</x:v>
      </x:c>
      <x:c r="V64" s="37" t="n">
        <x:f>V55/365*'Assumptions'!$D$80*(1+'Assumptions'!$D$90)^(((V$7+V$8)/2-46304)/365)</x:f>
        <x:v>7227523.567220897</x:v>
      </x:c>
      <x:c r="W64" s="37" t="n">
        <x:f>W55/365*'Assumptions'!$D$80*(1+'Assumptions'!$D$90)^(((W$7+W$8)/2-46304)/365)</x:f>
        <x:v>7392472.033716099</x:v>
      </x:c>
      <x:c r="X64" s="37" t="n">
        <x:f>X55/365*'Assumptions'!$D$80*(1+'Assumptions'!$D$90)^(((X$7+X$8)/2-46304)/365)</x:f>
        <x:v>7479595.135671095</x:v>
      </x:c>
      <x:c r="Y64" s="37" t="n">
        <x:f>Y55/365*'Assumptions'!$D$80*(1+'Assumptions'!$D$90)^(((Y$7+Y$8)/2-46304)/365)</x:f>
        <x:v>7178044.231039386</x:v>
      </x:c>
      <x:c r="Z64" s="37" t="n">
        <x:f>Z55/365*'Assumptions'!$D$80*(1+'Assumptions'!$D$90)^(((Z$7+Z$8)/2-46304)/365)</x:f>
        <x:v>6241652.398961327</x:v>
      </x:c>
      <x:c r="AA64" s="37" t="n">
        <x:f>AA55/365*'Assumptions'!$D$80*(1+'Assumptions'!$D$90)^(((AA$7+AA$8)/2-46304)/365)</x:f>
        <x:v>5102258.264903279</x:v>
      </x:c>
      <x:c r="AB64" s="37" t="n">
        <x:f>AB55/365*'Assumptions'!$D$80*(1+'Assumptions'!$D$90)^(((AB$7+AB$8)/2-46304)/365)</x:f>
        <x:v>1772775.807619914</x:v>
      </x:c>
      <x:c r="AC64" s="37" t="n">
        <x:f>AC55/365*'Assumptions'!$D$80*(1+'Assumptions'!$D$90)^(((AC$7+AC$8)/2-46304)/365)</x:f>
        <x:v>749719.0365426423</x:v>
      </x:c>
      <x:c r="AD64" s="37" t="n">
        <x:f>AD55/365*'Assumptions'!$D$80*(1+'Assumptions'!$D$90)^(((AD$7+AD$8)/2-46304)/365)</x:f>
        <x:v>360387.85965761874</x:v>
      </x:c>
      <x:c r="AE64" s="37" t="n">
        <x:f>AE55/365*'Assumptions'!$D$80*(1+'Assumptions'!$D$90)^(((AE$7+AE$8)/2-46304)/365)</x:f>
        <x:v>368612.727309883</x:v>
      </x:c>
      <x:c r="AF64" s="37" t="n">
        <x:f>AF55/365*'Assumptions'!$D$80*(1+'Assumptions'!$D$90)^(((AF$7+AF$8)/2-46304)/365)</x:f>
        <x:v>280455.4221145472</x:v>
      </x:c>
      <x:c r="AG64" s="37" t="n">
        <x:f>AG55/365*'Assumptions'!$D$80*(1+'Assumptions'!$D$90)^(((AG$7+AG$8)/2-46304)/365)</x:f>
        <x:v>0</x:v>
      </x:c>
      <x:c r="AH64" s="37" t="n">
        <x:f>AH55/365*'Assumptions'!$D$80*(1+'Assumptions'!$D$90)^(((AH$7+AH$8)/2-46304)/365)</x:f>
        <x:v>0</x:v>
      </x:c>
      <x:c r="AI64" s="37" t="n">
        <x:f>AI55/365*'Assumptions'!$D$80*(1+'Assumptions'!$D$90)^(((AI$7+AI$8)/2-46304)/365)</x:f>
        <x:v>0</x:v>
      </x:c>
      <x:c r="AJ64" s="37" t="n">
        <x:f>AJ55/365*'Assumptions'!$D$80*(1+'Assumptions'!$D$90)^(((AJ$7+AJ$8)/2-46304)/365)</x:f>
        <x:v>0</x:v>
      </x:c>
      <x:c r="AK64" s="37" t="n">
        <x:f>AK55/365*'Assumptions'!$D$80*(1+'Assumptions'!$D$90)^(((AK$7+AK$8)/2-46304)/365)</x:f>
        <x:v>0</x:v>
      </x:c>
      <x:c r="AL64" s="37" t="n">
        <x:f>AL55/365*'Assumptions'!$D$80*(1+'Assumptions'!$D$90)^(((AL$7+AL$8)/2-46304)/365)</x:f>
        <x:v>0</x:v>
      </x:c>
      <x:c r="AM64" s="37" t="n">
        <x:f>AM55/365*'Assumptions'!$D$80*(1+'Assumptions'!$D$90)^(((AM$7+AM$8)/2-46304)/365)</x:f>
        <x:v>0</x:v>
      </x:c>
      <x:c r="AN64" s="37" t="n">
        <x:f>AN55/365*'Assumptions'!$D$80*(1+'Assumptions'!$D$90)^(((AN$7+AN$8)/2-46304)/365)</x:f>
        <x:v>0</x:v>
      </x:c>
      <x:c r="AO64" s="37" t="n">
        <x:f>AO55/365*'Assumptions'!$D$80*(1+'Assumptions'!$D$90)^(((AO$7+AO$8)/2-46304)/365)</x:f>
        <x:v>0</x:v>
      </x:c>
      <x:c r="AP64" s="37" t="n">
        <x:f>AP55/365*'Assumptions'!$D$80*(1+'Assumptions'!$D$90)^(((AP$7+AP$8)/2-46304)/365)</x:f>
        <x:v>0</x:v>
      </x:c>
      <x:c r="AQ64" s="37" t="n">
        <x:f>AQ55/365*'Assumptions'!$D$80*(1+'Assumptions'!$D$90)^(((AQ$7+AQ$8)/2-46304)/365)</x:f>
        <x:v>0</x:v>
      </x:c>
    </x:row>
    <x:row r="65" ht="25" customHeight="1">
      <x:c r="A65" s="2"/>
      <x:c r="B65" s="2"/>
      <x:c r="C65" s="30" t="str">
        <x:v>Supramax</x:v>
      </x:c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30"/>
      <x:c r="AI65" s="30"/>
      <x:c r="AJ65" s="30"/>
      <x:c r="AK65" s="30"/>
      <x:c r="AL65" s="30"/>
      <x:c r="AM65" s="30"/>
      <x:c r="AN65" s="30"/>
      <x:c r="AO65" s="30"/>
      <x:c r="AP65" s="30"/>
      <x:c r="AQ65" s="30"/>
    </x:row>
    <x:row r="66" ht="21" customHeight="1">
      <x:c r="A66" s="2"/>
      <x:c r="B66" s="2"/>
      <x:c r="C66" s="2" t="str">
        <x:v>Owned days</x:v>
      </x:c>
      <x:c r="D66" s="2"/>
      <x:c r="E66" s="5" t="n">
        <x:f>SUMIFS('Days'!E$10:E$147,'Days'!$D$10:$D$147,$C65)</x:f>
        <x:v>913</x:v>
      </x:c>
      <x:c r="F66" s="5" t="n">
        <x:f>SUMIFS('Days'!F$10:F$147,'Days'!$D$10:$D$147,$C65)</x:f>
        <x:v>990</x:v>
      </x:c>
      <x:c r="G66" s="5" t="n">
        <x:f>SUMIFS('Days'!G$10:G$147,'Days'!$D$10:$D$147,$C65)</x:f>
        <x:v>1001</x:v>
      </x:c>
      <x:c r="H66" s="5" t="n">
        <x:f>SUMIFS('Days'!H$10:H$147,'Days'!$D$10:$D$147,$C65)</x:f>
        <x:v>1012</x:v>
      </x:c>
      <x:c r="I66" s="5" t="n">
        <x:f>SUMIFS('Days'!I$10:I$147,'Days'!$D$10:$D$147,$C65)</x:f>
        <x:v>1012</x:v>
      </x:c>
      <x:c r="J66" s="5" t="n">
        <x:f>SUMIFS('Days'!J$10:J$147,'Days'!$D$10:$D$147,$C65)</x:f>
        <x:v>1001</x:v>
      </x:c>
      <x:c r="K66" s="5" t="n">
        <x:f>SUMIFS('Days'!K$10:K$147,'Days'!$D$10:$D$147,$C65)</x:f>
        <x:v>1001</x:v>
      </x:c>
      <x:c r="L66" s="5" t="n">
        <x:f>SUMIFS('Days'!L$10:L$147,'Days'!$D$10:$D$147,$C65)</x:f>
        <x:v>1012</x:v>
      </x:c>
      <x:c r="M66" s="5" t="n">
        <x:f>SUMIFS('Days'!M$10:M$147,'Days'!$D$10:$D$147,$C65)</x:f>
        <x:v>1012</x:v>
      </x:c>
      <x:c r="N66" s="5" t="n">
        <x:f>SUMIFS('Days'!N$10:N$147,'Days'!$D$10:$D$147,$C65)</x:f>
        <x:v>990</x:v>
      </x:c>
      <x:c r="O66" s="5" t="n">
        <x:f>SUMIFS('Days'!O$10:O$147,'Days'!$D$10:$D$147,$C65)</x:f>
        <x:v>1001</x:v>
      </x:c>
      <x:c r="P66" s="5" t="n">
        <x:f>SUMIFS('Days'!P$10:P$147,'Days'!$D$10:$D$147,$C65)</x:f>
        <x:v>1012</x:v>
      </x:c>
      <x:c r="Q66" s="5" t="n">
        <x:f>SUMIFS('Days'!Q$10:Q$147,'Days'!$D$10:$D$147,$C65)</x:f>
        <x:v>4015</x:v>
      </x:c>
      <x:c r="R66" s="5" t="n">
        <x:f>SUMIFS('Days'!R$10:R$147,'Days'!$D$10:$D$147,$C65)</x:f>
        <x:v>4015</x:v>
      </x:c>
      <x:c r="S66" s="5" t="n">
        <x:f>SUMIFS('Days'!S$10:S$147,'Days'!$D$10:$D$147,$C65)</x:f>
        <x:v>4026</x:v>
      </x:c>
      <x:c r="T66" s="5" t="n">
        <x:f>SUMIFS('Days'!T$10:T$147,'Days'!$D$10:$D$147,$C65)</x:f>
        <x:v>4015</x:v>
      </x:c>
      <x:c r="U66" s="5" t="n">
        <x:f>SUMIFS('Days'!U$10:U$147,'Days'!$D$10:$D$147,$C65)</x:f>
        <x:v>4015</x:v>
      </x:c>
      <x:c r="V66" s="5" t="n">
        <x:f>SUMIFS('Days'!V$10:V$147,'Days'!$D$10:$D$147,$C65)</x:f>
        <x:v>3187</x:v>
      </x:c>
      <x:c r="W66" s="5" t="n">
        <x:f>SUMIFS('Days'!W$10:W$147,'Days'!$D$10:$D$147,$C65)</x:f>
        <x:v>732</x:v>
      </x:c>
      <x:c r="X66" s="5" t="n">
        <x:f>SUMIFS('Days'!X$10:X$147,'Days'!$D$10:$D$147,$C65)</x:f>
        <x:v>730</x:v>
      </x:c>
      <x:c r="Y66" s="5" t="n">
        <x:f>SUMIFS('Days'!Y$10:Y$147,'Days'!$D$10:$D$147,$C65)</x:f>
        <x:v>546</x:v>
      </x:c>
      <x:c r="Z66" s="5" t="n">
        <x:f>SUMIFS('Days'!Z$10:Z$147,'Days'!$D$10:$D$147,$C65)</x:f>
        <x:v>0</x:v>
      </x:c>
      <x:c r="AA66" s="5" t="n">
        <x:f>SUMIFS('Days'!AA$10:AA$147,'Days'!$D$10:$D$147,$C65)</x:f>
        <x:v>0</x:v>
      </x:c>
      <x:c r="AB66" s="5" t="n">
        <x:f>SUMIFS('Days'!AB$10:AB$147,'Days'!$D$10:$D$147,$C65)</x:f>
        <x:v>0</x:v>
      </x:c>
      <x:c r="AC66" s="5" t="n">
        <x:f>SUMIFS('Days'!AC$10:AC$147,'Days'!$D$10:$D$147,$C65)</x:f>
        <x:v>0</x:v>
      </x:c>
      <x:c r="AD66" s="5" t="n">
        <x:f>SUMIFS('Days'!AD$10:AD$147,'Days'!$D$10:$D$147,$C65)</x:f>
        <x:v>0</x:v>
      </x:c>
      <x:c r="AE66" s="5" t="n">
        <x:f>SUMIFS('Days'!AE$10:AE$147,'Days'!$D$10:$D$147,$C65)</x:f>
        <x:v>0</x:v>
      </x:c>
      <x:c r="AF66" s="5" t="n">
        <x:f>SUMIFS('Days'!AF$10:AF$147,'Days'!$D$10:$D$147,$C65)</x:f>
        <x:v>0</x:v>
      </x:c>
      <x:c r="AG66" s="5" t="n">
        <x:f>SUMIFS('Days'!AG$10:AG$147,'Days'!$D$10:$D$147,$C65)</x:f>
        <x:v>0</x:v>
      </x:c>
      <x:c r="AH66" s="5" t="n">
        <x:f>SUMIFS('Days'!AH$10:AH$147,'Days'!$D$10:$D$147,$C65)</x:f>
        <x:v>0</x:v>
      </x:c>
      <x:c r="AI66" s="5" t="n">
        <x:f>SUMIFS('Days'!AI$10:AI$147,'Days'!$D$10:$D$147,$C65)</x:f>
        <x:v>0</x:v>
      </x:c>
      <x:c r="AJ66" s="5" t="n">
        <x:f>SUMIFS('Days'!AJ$10:AJ$147,'Days'!$D$10:$D$147,$C65)</x:f>
        <x:v>0</x:v>
      </x:c>
      <x:c r="AK66" s="5" t="n">
        <x:f>SUMIFS('Days'!AK$10:AK$147,'Days'!$D$10:$D$147,$C65)</x:f>
        <x:v>0</x:v>
      </x:c>
      <x:c r="AL66" s="5" t="n">
        <x:f>SUMIFS('Days'!AL$10:AL$147,'Days'!$D$10:$D$147,$C65)</x:f>
        <x:v>0</x:v>
      </x:c>
      <x:c r="AM66" s="5" t="n">
        <x:f>SUMIFS('Days'!AM$10:AM$147,'Days'!$D$10:$D$147,$C65)</x:f>
        <x:v>0</x:v>
      </x:c>
      <x:c r="AN66" s="5" t="n">
        <x:f>SUMIFS('Days'!AN$10:AN$147,'Days'!$D$10:$D$147,$C65)</x:f>
        <x:v>0</x:v>
      </x:c>
      <x:c r="AO66" s="5" t="n">
        <x:f>SUMIFS('Days'!AO$10:AO$147,'Days'!$D$10:$D$147,$C65)</x:f>
        <x:v>0</x:v>
      </x:c>
      <x:c r="AP66" s="5" t="n">
        <x:f>SUMIFS('Days'!AP$10:AP$147,'Days'!$D$10:$D$147,$C65)</x:f>
        <x:v>0</x:v>
      </x:c>
      <x:c r="AQ66" s="5" t="n">
        <x:f>SUMIFS('Days'!AQ$10:AQ$147,'Days'!$D$10:$D$147,$C65)</x:f>
        <x:v>0</x:v>
      </x:c>
    </x:row>
    <x:row r="67" ht="21" customHeight="1">
      <x:c r="A67" s="2"/>
      <x:c r="B67" s="2"/>
      <x:c r="C67" s="2" t="str">
        <x:v>Available days</x:v>
      </x:c>
      <x:c r="D67" s="2"/>
      <x:c r="E67" s="5" t="n">
        <x:f>E66*(1-'Assumptions'!$D$55)</x:f>
        <x:v>867.3499999999999</x:v>
      </x:c>
      <x:c r="F67" s="5" t="n">
        <x:f>F66*(1-'Assumptions'!$D$55)</x:f>
        <x:v>940.5</x:v>
      </x:c>
      <x:c r="G67" s="5" t="n">
        <x:f>G66*(1-'Assumptions'!$D$55)</x:f>
        <x:v>950.9499999999999</x:v>
      </x:c>
      <x:c r="H67" s="5" t="n">
        <x:f>H66*(1-'Assumptions'!$D$55)</x:f>
        <x:v>961.4</x:v>
      </x:c>
      <x:c r="I67" s="5" t="n">
        <x:f>I66*(1-'Assumptions'!$D$55)</x:f>
        <x:v>961.4</x:v>
      </x:c>
      <x:c r="J67" s="5" t="n">
        <x:f>J66*(1-'Assumptions'!$D$55)</x:f>
        <x:v>950.9499999999999</x:v>
      </x:c>
      <x:c r="K67" s="5" t="n">
        <x:f>K66*(1-'Assumptions'!$D$55)</x:f>
        <x:v>950.9499999999999</x:v>
      </x:c>
      <x:c r="L67" s="5" t="n">
        <x:f>L66*(1-'Assumptions'!$D$55)</x:f>
        <x:v>961.4</x:v>
      </x:c>
      <x:c r="M67" s="5" t="n">
        <x:f>M66*(1-'Assumptions'!$D$55)</x:f>
        <x:v>961.4</x:v>
      </x:c>
      <x:c r="N67" s="5" t="n">
        <x:f>N66*(1-'Assumptions'!$D$55)</x:f>
        <x:v>940.5</x:v>
      </x:c>
      <x:c r="O67" s="5" t="n">
        <x:f>O66*(1-'Assumptions'!$D$55)</x:f>
        <x:v>950.9499999999999</x:v>
      </x:c>
      <x:c r="P67" s="5" t="n">
        <x:f>P66*(1-'Assumptions'!$D$55)</x:f>
        <x:v>961.4</x:v>
      </x:c>
      <x:c r="Q67" s="5" t="n">
        <x:f>Q66*(1-'Assumptions'!$D$55)</x:f>
        <x:v>3814.25</x:v>
      </x:c>
      <x:c r="R67" s="5" t="n">
        <x:f>R66*(1-'Assumptions'!$D$55)</x:f>
        <x:v>3814.25</x:v>
      </x:c>
      <x:c r="S67" s="5" t="n">
        <x:f>S66*(1-'Assumptions'!$D$55)</x:f>
        <x:v>3824.7</x:v>
      </x:c>
      <x:c r="T67" s="5" t="n">
        <x:f>T66*(1-'Assumptions'!$D$55)</x:f>
        <x:v>3814.25</x:v>
      </x:c>
      <x:c r="U67" s="5" t="n">
        <x:f>U66*(1-'Assumptions'!$D$55)</x:f>
        <x:v>3814.25</x:v>
      </x:c>
      <x:c r="V67" s="5" t="n">
        <x:f>V66*(1-'Assumptions'!$D$55)</x:f>
        <x:v>3027.6499999999996</x:v>
      </x:c>
      <x:c r="W67" s="5" t="n">
        <x:f>W66*(1-'Assumptions'!$D$55)</x:f>
        <x:v>695.4</x:v>
      </x:c>
      <x:c r="X67" s="5" t="n">
        <x:f>X66*(1-'Assumptions'!$D$55)</x:f>
        <x:v>693.5</x:v>
      </x:c>
      <x:c r="Y67" s="5" t="n">
        <x:f>Y66*(1-'Assumptions'!$D$55)</x:f>
        <x:v>518.6999999999999</x:v>
      </x:c>
      <x:c r="Z67" s="5" t="n">
        <x:f>Z66*(1-'Assumptions'!$D$55)</x:f>
        <x:v>0</x:v>
      </x:c>
      <x:c r="AA67" s="5" t="n">
        <x:f>AA66*(1-'Assumptions'!$D$55)</x:f>
        <x:v>0</x:v>
      </x:c>
      <x:c r="AB67" s="5" t="n">
        <x:f>AB66*(1-'Assumptions'!$D$55)</x:f>
        <x:v>0</x:v>
      </x:c>
      <x:c r="AC67" s="5" t="n">
        <x:f>AC66*(1-'Assumptions'!$D$55)</x:f>
        <x:v>0</x:v>
      </x:c>
      <x:c r="AD67" s="5" t="n">
        <x:f>AD66*(1-'Assumptions'!$D$55)</x:f>
        <x:v>0</x:v>
      </x:c>
      <x:c r="AE67" s="5" t="n">
        <x:f>AE66*(1-'Assumptions'!$D$55)</x:f>
        <x:v>0</x:v>
      </x:c>
      <x:c r="AF67" s="5" t="n">
        <x:f>AF66*(1-'Assumptions'!$D$55)</x:f>
        <x:v>0</x:v>
      </x:c>
      <x:c r="AG67" s="5" t="n">
        <x:f>AG66*(1-'Assumptions'!$D$55)</x:f>
        <x:v>0</x:v>
      </x:c>
      <x:c r="AH67" s="5" t="n">
        <x:f>AH66*(1-'Assumptions'!$D$55)</x:f>
        <x:v>0</x:v>
      </x:c>
      <x:c r="AI67" s="5" t="n">
        <x:f>AI66*(1-'Assumptions'!$D$55)</x:f>
        <x:v>0</x:v>
      </x:c>
      <x:c r="AJ67" s="5" t="n">
        <x:f>AJ66*(1-'Assumptions'!$D$55)</x:f>
        <x:v>0</x:v>
      </x:c>
      <x:c r="AK67" s="5" t="n">
        <x:f>AK66*(1-'Assumptions'!$D$55)</x:f>
        <x:v>0</x:v>
      </x:c>
      <x:c r="AL67" s="5" t="n">
        <x:f>AL66*(1-'Assumptions'!$D$55)</x:f>
        <x:v>0</x:v>
      </x:c>
      <x:c r="AM67" s="5" t="n">
        <x:f>AM66*(1-'Assumptions'!$D$55)</x:f>
        <x:v>0</x:v>
      </x:c>
      <x:c r="AN67" s="5" t="n">
        <x:f>AN66*(1-'Assumptions'!$D$55)</x:f>
        <x:v>0</x:v>
      </x:c>
      <x:c r="AO67" s="5" t="n">
        <x:f>AO66*(1-'Assumptions'!$D$55)</x:f>
        <x:v>0</x:v>
      </x:c>
      <x:c r="AP67" s="5" t="n">
        <x:f>AP66*(1-'Assumptions'!$D$55)</x:f>
        <x:v>0</x:v>
      </x:c>
      <x:c r="AQ67" s="5" t="n">
        <x:f>AQ66*(1-'Assumptions'!$D$55)</x:f>
        <x:v>0</x:v>
      </x:c>
    </x:row>
    <x:row r="68" ht="21" customHeight="1">
      <x:c r="A68" s="2"/>
      <x:c r="B68" s="2"/>
      <x:c r="C68" s="2" t="str">
        <x:v>Open TCE (USD/day)</x:v>
      </x:c>
      <x:c r="D68" s="2"/>
      <x:c r="E68" s="34" t="n">
        <x:f>'Assumptions'!$D$35*'Assumptions'!$D$6*(1+'Assumptions'!$D$90)^(((E$7+E$8)/2-46304)/365)</x:f>
        <x:v>14533.0782206807</x:v>
      </x:c>
      <x:c r="F68" s="34" t="n">
        <x:f>'Assumptions'!$D$35*'Assumptions'!$D$6*(1+'Assumptions'!$D$90)^(((F$7+F$8)/2-46304)/365)</x:f>
        <x:v>14601.441537861812</x:v>
      </x:c>
      <x:c r="G68" s="34" t="n">
        <x:f>'Assumptions'!$D$35*'Assumptions'!$D$6*(1+'Assumptions'!$D$90)^(((G$7+G$8)/2-46304)/365)</x:f>
        <x:v>14673.310419092835</x:v>
      </x:c>
      <x:c r="H68" s="34" t="n">
        <x:f>'Assumptions'!$D$35*'Assumptions'!$D$6*(1+'Assumptions'!$D$90)^(((H$7+H$8)/2-46304)/365)</x:f>
        <x:v>14746.33306435195</x:v>
      </x:c>
      <x:c r="I68" s="34" t="n">
        <x:f>'Assumptions'!$D$35*'Assumptions'!$D$6*(1+'Assumptions'!$D$90)^(((I$7+I$8)/2-46304)/365)</x:f>
        <x:v>14820.12112965761</x:v>
      </x:c>
      <x:c r="J68" s="34" t="n">
        <x:f>'Assumptions'!$D$35*'Assumptions'!$D$6*(1+'Assumptions'!$D$90)^(((J$7+J$8)/2-46304)/365)</x:f>
        <x:v>14893.874387582278</x:v>
      </x:c>
      <x:c r="K68" s="34" t="n">
        <x:f>'Assumptions'!$D$35*'Assumptions'!$D$6*(1+'Assumptions'!$D$90)^(((K$7+K$8)/2-46304)/365)</x:f>
        <x:v>14967.58865361012</x:v>
      </x:c>
      <x:c r="L68" s="34" t="n">
        <x:f>'Assumptions'!$D$35*'Assumptions'!$D$6*(1+'Assumptions'!$D$90)^(((L$7+L$8)/2-46304)/365)</x:f>
        <x:v>15042.07579287317</x:v>
      </x:c>
      <x:c r="M68" s="34" t="n">
        <x:f>'Assumptions'!$D$35*'Assumptions'!$D$6*(1+'Assumptions'!$D$90)^(((M$7+M$8)/2-46304)/365)</x:f>
        <x:v>15117.34370294231</x:v>
      </x:c>
      <x:c r="N68" s="34" t="n">
        <x:f>'Assumptions'!$D$35*'Assumptions'!$D$6*(1+'Assumptions'!$D$90)^(((N$7+N$8)/2-46304)/365)</x:f>
        <x:v>15192.16398585554</x:v>
      </x:c>
      <x:c r="O68" s="34" t="n">
        <x:f>'Assumptions'!$D$35*'Assumptions'!$D$6*(1+'Assumptions'!$D$90)^(((O$7+O$8)/2-46304)/365)</x:f>
        <x:v>15266.940426682324</x:v>
      </x:c>
      <x:c r="P68" s="34" t="n">
        <x:f>'Assumptions'!$D$35*'Assumptions'!$D$6*(1+'Assumptions'!$D$90)^(((P$7+P$8)/2-46304)/365)</x:f>
        <x:v>15342.917308730632</x:v>
      </x:c>
      <x:c r="Q68" s="34" t="n">
        <x:f>'Assumptions'!$D$35*'Assumptions'!$D$6*(1+'Assumptions'!$D$90)^(((Q$7+Q$8)/2-46304)/365)</x:f>
        <x:v>15534.307136081883</x:v>
      </x:c>
      <x:c r="R68" s="34" t="n">
        <x:f>'Assumptions'!$D$35*'Assumptions'!$D$6*(1+'Assumptions'!$D$90)^(((R$7+R$8)/2-46304)/365)</x:f>
        <x:v>15844.993278803522</x:v>
      </x:c>
      <x:c r="S68" s="34" t="n">
        <x:f>'Assumptions'!$D$35*'Assumptions'!$D$6*(1+'Assumptions'!$D$90)^(((S$7+S$8)/2-46304)/365)</x:f>
        <x:v>16162.331572170457</x:v>
      </x:c>
      <x:c r="T68" s="34" t="n">
        <x:f>'Assumptions'!$D$35*'Assumptions'!$D$6*(1+'Assumptions'!$D$90)^(((T$7+T$8)/2-46304)/365)</x:f>
        <x:v>16486.025412091753</x:v>
      </x:c>
      <x:c r="U68" s="34" t="n">
        <x:f>'Assumptions'!$D$35*'Assumptions'!$D$6*(1+'Assumptions'!$D$90)^(((U$7+U$8)/2-46304)/365)</x:f>
        <x:v>16815.74592033359</x:v>
      </x:c>
      <x:c r="V68" s="34" t="n">
        <x:f>'Assumptions'!$D$35*'Assumptions'!$D$6*(1+'Assumptions'!$D$90)^(((V$7+V$8)/2-46304)/365)</x:f>
        <x:v>17152.060838740264</x:v>
      </x:c>
      <x:c r="W68" s="34" t="n">
        <x:f>'Assumptions'!$D$35*'Assumptions'!$D$6*(1+'Assumptions'!$D$90)^(((W$7+W$8)/2-46304)/365)</x:f>
        <x:v>17495.576649603558</x:v>
      </x:c>
      <x:c r="X68" s="34" t="n">
        <x:f>'Assumptions'!$D$35*'Assumptions'!$D$6*(1+'Assumptions'!$D$90)^(((X$7+X$8)/2-46304)/365)</x:f>
        <x:v>17845.97228169781</x:v>
      </x:c>
      <x:c r="Y68" s="34" t="n">
        <x:f>'Assumptions'!$D$35*'Assumptions'!$D$6*(1+'Assumptions'!$D$90)^(((Y$7+Y$8)/2-46304)/365)</x:f>
        <x:v>18202.89172733177</x:v>
      </x:c>
      <x:c r="Z68" s="34" t="n">
        <x:f>'Assumptions'!$D$35*'Assumptions'!$D$6*(1+'Assumptions'!$D$90)^(((Z$7+Z$8)/2-46304)/365)</x:f>
        <x:v>18566.949561878406</x:v>
      </x:c>
      <x:c r="AA68" s="34" t="n">
        <x:f>'Assumptions'!$D$35*'Assumptions'!$D$6*(1+'Assumptions'!$D$90)^(((AA$7+AA$8)/2-46304)/365)</x:f>
        <x:v>18938.80229689208</x:v>
      </x:c>
      <x:c r="AB68" s="34" t="n">
        <x:f>'Assumptions'!$D$35*'Assumptions'!$D$6*(1+'Assumptions'!$D$90)^(((AB$7+AB$8)/2-46304)/365)</x:f>
        <x:v>19318.102375696744</x:v>
      </x:c>
      <x:c r="AC68" s="34" t="n">
        <x:f>'Assumptions'!$D$35*'Assumptions'!$D$6*(1+'Assumptions'!$D$90)^(((AC$7+AC$8)/2-46304)/365)</x:f>
        <x:v>19704.46442321068</x:v>
      </x:c>
      <x:c r="AD68" s="34" t="n">
        <x:f>'Assumptions'!$D$35*'Assumptions'!$D$6*(1+'Assumptions'!$D$90)^(((AD$7+AD$8)/2-46304)/365)</x:f>
        <x:v>20098.553711674893</x:v>
      </x:c>
      <x:c r="AE68" s="34" t="n">
        <x:f>'Assumptions'!$D$35*'Assumptions'!$D$6*(1+'Assumptions'!$D$90)^(((AE$7+AE$8)/2-46304)/365)</x:f>
        <x:v>20501.080908864602</x:v>
      </x:c>
      <x:c r="AF68" s="34" t="n">
        <x:f>'Assumptions'!$D$35*'Assumptions'!$D$6*(1+'Assumptions'!$D$90)^(((AF$7+AF$8)/2-46304)/365)</x:f>
        <x:v>20911.669787845043</x:v>
      </x:c>
      <x:c r="AG68" s="34" t="n">
        <x:f>'Assumptions'!$D$35*'Assumptions'!$D$6*(1+'Assumptions'!$D$90)^(((AG$7+AG$8)/2-46304)/365)</x:f>
        <x:v>21329.903183601942</x:v>
      </x:c>
      <x:c r="AH68" s="34" t="n">
        <x:f>'Assumptions'!$D$35*'Assumptions'!$D$6*(1+'Assumptions'!$D$90)^(((AH$7+AH$8)/2-46304)/365)</x:f>
        <x:v>21756.501247273984</x:v>
      </x:c>
      <x:c r="AI68" s="34" t="n">
        <x:f>'Assumptions'!$D$35*'Assumptions'!$D$6*(1+'Assumptions'!$D$90)^(((AI$7+AI$8)/2-46304)/365)</x:f>
        <x:v>22192.23327025196</x:v>
      </x:c>
      <x:c r="AJ68" s="34" t="n">
        <x:f>'Assumptions'!$D$35*'Assumptions'!$D$6*(1+'Assumptions'!$D$90)^(((AJ$7+AJ$8)/2-46304)/365)</x:f>
        <x:v>22636.69199030731</x:v>
      </x:c>
      <x:c r="AK68" s="34" t="n">
        <x:f>'Assumptions'!$D$35*'Assumptions'!$D$6*(1+'Assumptions'!$D$90)^(((AK$7+AK$8)/2-46304)/365)</x:f>
        <x:v>23089.425830113458</x:v>
      </x:c>
      <x:c r="AL68" s="34" t="n">
        <x:f>'Assumptions'!$D$35*'Assumptions'!$D$6*(1+'Assumptions'!$D$90)^(((AL$7+AL$8)/2-46304)/365)</x:f>
        <x:v>23551.214346715726</x:v>
      </x:c>
      <x:c r="AM68" s="34" t="n">
        <x:f>'Assumptions'!$D$35*'Assumptions'!$D$6*(1+'Assumptions'!$D$90)^(((AM$7+AM$8)/2-46304)/365)</x:f>
        <x:v>24022.890291034586</x:v>
      </x:c>
      <x:c r="AN68" s="34" t="n">
        <x:f>'Assumptions'!$D$35*'Assumptions'!$D$6*(1+'Assumptions'!$D$90)^(((AN$7+AN$8)/2-46304)/365)</x:f>
        <x:v>24504.01280541874</x:v>
      </x:c>
      <x:c r="AO68" s="34" t="n">
        <x:f>'Assumptions'!$D$35*'Assumptions'!$D$6*(1+'Assumptions'!$D$90)^(((AO$7+AO$8)/2-46304)/365)</x:f>
        <x:v>24994.093061527114</x:v>
      </x:c>
      <x:c r="AP68" s="34" t="n">
        <x:f>'Assumptions'!$D$35*'Assumptions'!$D$6*(1+'Assumptions'!$D$90)^(((AP$7+AP$8)/2-46304)/365)</x:f>
        <x:v>25493.974922757658</x:v>
      </x:c>
      <x:c r="AQ68" s="34" t="n">
        <x:f>'Assumptions'!$D$35*'Assumptions'!$D$6*(1+'Assumptions'!$D$90)^(((AQ$7+AQ$8)/2-46304)/365)</x:f>
        <x:v>26004.559834393433</x:v>
      </x:c>
    </x:row>
    <x:row r="69" ht="21" customHeight="1">
      <x:c r="A69" s="2"/>
      <x:c r="B69" s="2"/>
      <x:c r="C69" s="2" t="str">
        <x:v>Fixed share</x:v>
      </x:c>
      <x:c r="D69" s="2"/>
      <x:c r="E69" s="43" t="n">
        <x:f>'Assumptions'!$D$140</x:f>
        <x:v>0</x:v>
      </x:c>
      <x:c r="F69" s="43" t="n">
        <x:f>'Assumptions'!$D$140</x:f>
        <x:v>0</x:v>
      </x:c>
      <x:c r="G69" s="43" t="n">
        <x:f>'Assumptions'!$D$140</x:f>
        <x:v>0</x:v>
      </x:c>
      <x:c r="H69" s="43" t="n">
        <x:f>'Assumptions'!$D$140</x:f>
        <x:v>0</x:v>
      </x:c>
      <x:c r="I69" s="43" t="n">
        <x:f>'Assumptions'!$D$140</x:f>
        <x:v>0</x:v>
      </x:c>
      <x:c r="J69" s="43" t="n">
        <x:f>'Assumptions'!$D$140</x:f>
        <x:v>0</x:v>
      </x:c>
      <x:c r="K69" s="43" t="n">
        <x:f>'Assumptions'!$D$140</x:f>
        <x:v>0</x:v>
      </x:c>
      <x:c r="L69" s="43" t="n">
        <x:f>'Assumptions'!$D$140</x:f>
        <x:v>0</x:v>
      </x:c>
      <x:c r="M69" s="43" t="n">
        <x:f>'Assumptions'!$D$140</x:f>
        <x:v>0</x:v>
      </x:c>
      <x:c r="N69" s="43" t="n">
        <x:f>'Assumptions'!$D$140</x:f>
        <x:v>0</x:v>
      </x:c>
      <x:c r="O69" s="43" t="n">
        <x:f>'Assumptions'!$D$140</x:f>
        <x:v>0</x:v>
      </x:c>
      <x:c r="P69" s="43" t="n">
        <x:f>'Assumptions'!$D$140</x:f>
        <x:v>0</x:v>
      </x:c>
      <x:c r="Q69" s="43" t="n">
        <x:f>'Assumptions'!$D$140</x:f>
        <x:v>0</x:v>
      </x:c>
      <x:c r="R69" s="43" t="n">
        <x:f>'Assumptions'!$D$140</x:f>
        <x:v>0</x:v>
      </x:c>
      <x:c r="S69" s="43" t="n">
        <x:f>'Assumptions'!$D$140</x:f>
        <x:v>0</x:v>
      </x:c>
      <x:c r="T69" s="43" t="n">
        <x:f>'Assumptions'!$D$140</x:f>
        <x:v>0</x:v>
      </x:c>
      <x:c r="U69" s="43" t="n">
        <x:f>'Assumptions'!$D$140</x:f>
        <x:v>0</x:v>
      </x:c>
      <x:c r="V69" s="43" t="n">
        <x:f>'Assumptions'!$D$140</x:f>
        <x:v>0</x:v>
      </x:c>
      <x:c r="W69" s="43" t="n">
        <x:f>'Assumptions'!$D$140</x:f>
        <x:v>0</x:v>
      </x:c>
      <x:c r="X69" s="43" t="n">
        <x:f>'Assumptions'!$D$140</x:f>
        <x:v>0</x:v>
      </x:c>
      <x:c r="Y69" s="43" t="n">
        <x:f>'Assumptions'!$D$140</x:f>
        <x:v>0</x:v>
      </x:c>
      <x:c r="Z69" s="43" t="n">
        <x:f>'Assumptions'!$D$140</x:f>
        <x:v>0</x:v>
      </x:c>
      <x:c r="AA69" s="43" t="n">
        <x:f>'Assumptions'!$D$140</x:f>
        <x:v>0</x:v>
      </x:c>
      <x:c r="AB69" s="43" t="n">
        <x:f>'Assumptions'!$D$140</x:f>
        <x:v>0</x:v>
      </x:c>
      <x:c r="AC69" s="43" t="n">
        <x:f>'Assumptions'!$D$140</x:f>
        <x:v>0</x:v>
      </x:c>
      <x:c r="AD69" s="43" t="n">
        <x:f>'Assumptions'!$D$140</x:f>
        <x:v>0</x:v>
      </x:c>
      <x:c r="AE69" s="43" t="n">
        <x:f>'Assumptions'!$D$140</x:f>
        <x:v>0</x:v>
      </x:c>
      <x:c r="AF69" s="43" t="n">
        <x:f>'Assumptions'!$D$140</x:f>
        <x:v>0</x:v>
      </x:c>
      <x:c r="AG69" s="43" t="n">
        <x:f>'Assumptions'!$D$140</x:f>
        <x:v>0</x:v>
      </x:c>
      <x:c r="AH69" s="43" t="n">
        <x:f>'Assumptions'!$D$140</x:f>
        <x:v>0</x:v>
      </x:c>
      <x:c r="AI69" s="43" t="n">
        <x:f>'Assumptions'!$D$140</x:f>
        <x:v>0</x:v>
      </x:c>
      <x:c r="AJ69" s="43" t="n">
        <x:f>'Assumptions'!$D$140</x:f>
        <x:v>0</x:v>
      </x:c>
      <x:c r="AK69" s="43" t="n">
        <x:f>'Assumptions'!$D$140</x:f>
        <x:v>0</x:v>
      </x:c>
      <x:c r="AL69" s="43" t="n">
        <x:f>'Assumptions'!$D$140</x:f>
        <x:v>0</x:v>
      </x:c>
      <x:c r="AM69" s="43" t="n">
        <x:f>'Assumptions'!$D$140</x:f>
        <x:v>0</x:v>
      </x:c>
      <x:c r="AN69" s="43" t="n">
        <x:f>'Assumptions'!$D$140</x:f>
        <x:v>0</x:v>
      </x:c>
      <x:c r="AO69" s="43" t="n">
        <x:f>'Assumptions'!$D$140</x:f>
        <x:v>0</x:v>
      </x:c>
      <x:c r="AP69" s="43" t="n">
        <x:f>'Assumptions'!$D$140</x:f>
        <x:v>0</x:v>
      </x:c>
      <x:c r="AQ69" s="43" t="n">
        <x:f>'Assumptions'!$D$140</x:f>
        <x:v>0</x:v>
      </x:c>
    </x:row>
    <x:row r="70" ht="21" customHeight="1">
      <x:c r="A70" s="2"/>
      <x:c r="B70" s="2"/>
      <x:c r="C70" s="2" t="str">
        <x:v>Fixed TCE (USD/day)</x:v>
      </x:c>
      <x:c r="D70" s="2"/>
      <x:c r="E70" s="34" t="n">
        <x:f>'Assumptions'!$D$145*(1+'Assumptions'!$D$90)^(((E$7+E$8)/2-46304)/365)</x:f>
        <x:v>18041.062618776043</x:v>
      </x:c>
      <x:c r="F70" s="34" t="n">
        <x:f>'Assumptions'!$D$145*(1+'Assumptions'!$D$90)^(((F$7+F$8)/2-46304)/365)</x:f>
        <x:v>18125.927426311217</x:v>
      </x:c>
      <x:c r="G70" s="34" t="n">
        <x:f>'Assumptions'!$D$145*(1+'Assumptions'!$D$90)^(((G$7+G$8)/2-46304)/365)</x:f>
        <x:v>18215.143968529035</x:v>
      </x:c>
      <x:c r="H70" s="34" t="n">
        <x:f>'Assumptions'!$D$145*(1+'Assumptions'!$D$90)^(((H$7+H$8)/2-46304)/365)</x:f>
        <x:v>18305.79276954035</x:v>
      </x:c>
      <x:c r="I70" s="34" t="n">
        <x:f>'Assumptions'!$D$145*(1+'Assumptions'!$D$90)^(((I$7+I$8)/2-46304)/365)</x:f>
        <x:v>18397.391747161168</x:v>
      </x:c>
      <x:c r="J70" s="34" t="n">
        <x:f>'Assumptions'!$D$145*(1+'Assumptions'!$D$90)^(((J$7+J$8)/2-46304)/365)</x:f>
        <x:v>18488.94751561938</x:v>
      </x:c>
      <x:c r="K70" s="34" t="n">
        <x:f>'Assumptions'!$D$145*(1+'Assumptions'!$D$90)^(((K$7+K$8)/2-46304)/365)</x:f>
        <x:v>18580.454880343597</x:v>
      </x:c>
      <x:c r="L70" s="34" t="n">
        <x:f>'Assumptions'!$D$145*(1+'Assumptions'!$D$90)^(((L$7+L$8)/2-46304)/365)</x:f>
        <x:v>18672.92167391152</x:v>
      </x:c>
      <x:c r="M70" s="34" t="n">
        <x:f>'Assumptions'!$D$145*(1+'Assumptions'!$D$90)^(((M$7+M$8)/2-46304)/365)</x:f>
        <x:v>18766.357700204248</x:v>
      </x:c>
      <x:c r="N70" s="34" t="n">
        <x:f>'Assumptions'!$D$145*(1+'Assumptions'!$D$90)^(((N$7+N$8)/2-46304)/365)</x:f>
        <x:v>18859.23805140688</x:v>
      </x:c>
      <x:c r="O70" s="34" t="n">
        <x:f>'Assumptions'!$D$145*(1+'Assumptions'!$D$90)^(((O$7+O$8)/2-46304)/365)</x:f>
        <x:v>18952.06397795047</x:v>
      </x:c>
      <x:c r="P70" s="34" t="n">
        <x:f>'Assumptions'!$D$145*(1+'Assumptions'!$D$90)^(((P$7+P$8)/2-46304)/365)</x:f>
        <x:v>19046.38010738975</x:v>
      </x:c>
      <x:c r="Q70" s="34" t="n">
        <x:f>'Assumptions'!$D$145*(1+'Assumptions'!$D$90)^(((Q$7+Q$8)/2-46304)/365)</x:f>
        <x:v>19283.967479274062</x:v>
      </x:c>
      <x:c r="R70" s="34" t="n">
        <x:f>'Assumptions'!$D$145*(1+'Assumptions'!$D$90)^(((R$7+R$8)/2-46304)/365)</x:f>
        <x:v>19669.646828859546</x:v>
      </x:c>
      <x:c r="S70" s="34" t="n">
        <x:f>'Assumptions'!$D$145*(1+'Assumptions'!$D$90)^(((S$7+S$8)/2-46304)/365)</x:f>
        <x:v>20063.584020625396</x:v>
      </x:c>
      <x:c r="T70" s="34" t="n">
        <x:f>'Assumptions'!$D$145*(1+'Assumptions'!$D$90)^(((T$7+T$8)/2-46304)/365)</x:f>
        <x:v>20465.410856389764</x:v>
      </x:c>
      <x:c r="U70" s="34" t="n">
        <x:f>'Assumptions'!$D$145*(1+'Assumptions'!$D$90)^(((U$7+U$8)/2-46304)/365)</x:f>
        <x:v>20874.71907351756</x:v>
      </x:c>
      <x:c r="V70" s="34" t="n">
        <x:f>'Assumptions'!$D$145*(1+'Assumptions'!$D$90)^(((V$7+V$8)/2-46304)/365)</x:f>
        <x:v>21292.213454987912</x:v>
      </x:c>
      <x:c r="W70" s="34" t="n">
        <x:f>'Assumptions'!$D$145*(1+'Assumptions'!$D$90)^(((W$7+W$8)/2-46304)/365)</x:f>
        <x:v>21718.646875369934</x:v>
      </x:c>
      <x:c r="X70" s="34" t="n">
        <x:f>'Assumptions'!$D$145*(1+'Assumptions'!$D$90)^(((X$7+X$8)/2-46304)/365)</x:f>
        <x:v>22153.62076348694</x:v>
      </x:c>
      <x:c r="Y70" s="34" t="n">
        <x:f>'Assumptions'!$D$145*(1+'Assumptions'!$D$90)^(((Y$7+Y$8)/2-46304)/365)</x:f>
        <x:v>22596.69317875668</x:v>
      </x:c>
      <x:c r="Z70" s="34" t="n">
        <x:f>'Assumptions'!$D$145*(1+'Assumptions'!$D$90)^(((Z$7+Z$8)/2-46304)/365)</x:f>
        <x:v>23048.627042331816</x:v>
      </x:c>
      <x:c r="AA70" s="34" t="n">
        <x:f>'Assumptions'!$D$145*(1+'Assumptions'!$D$90)^(((AA$7+AA$8)/2-46304)/365)</x:f>
        <x:v>23510.23733407293</x:v>
      </x:c>
      <x:c r="AB70" s="34" t="n">
        <x:f>'Assumptions'!$D$145*(1+'Assumptions'!$D$90)^(((AB$7+AB$8)/2-46304)/365)</x:f>
        <x:v>23981.0926043132</x:v>
      </x:c>
      <x:c r="AC70" s="34" t="n">
        <x:f>'Assumptions'!$D$145*(1+'Assumptions'!$D$90)^(((AC$7+AC$8)/2-46304)/365)</x:f>
        <x:v>24460.714456399466</x:v>
      </x:c>
      <x:c r="AD70" s="34" t="n">
        <x:f>'Assumptions'!$D$145*(1+'Assumptions'!$D$90)^(((AD$7+AD$8)/2-46304)/365)</x:f>
        <x:v>24949.928745527453</x:v>
      </x:c>
      <x:c r="AE70" s="34" t="n">
        <x:f>'Assumptions'!$D$145*(1+'Assumptions'!$D$90)^(((AE$7+AE$8)/2-46304)/365)</x:f>
        <x:v>25449.61767996985</x:v>
      </x:c>
      <x:c r="AF70" s="34" t="n">
        <x:f>'Assumptions'!$D$145*(1+'Assumptions'!$D$90)^(((AF$7+AF$8)/2-46304)/365)</x:f>
        <x:v>25959.314219393847</x:v>
      </x:c>
      <x:c r="AG70" s="34" t="n">
        <x:f>'Assumptions'!$D$145*(1+'Assumptions'!$D$90)^(((AG$7+AG$8)/2-46304)/365)</x:f>
        <x:v>26478.50050378172</x:v>
      </x:c>
      <x:c r="AH70" s="34" t="n">
        <x:f>'Assumptions'!$D$145*(1+'Assumptions'!$D$90)^(((AH$7+AH$8)/2-46304)/365)</x:f>
        <x:v>27008.070513857358</x:v>
      </x:c>
      <x:c r="AI70" s="34" t="n">
        <x:f>'Assumptions'!$D$145*(1+'Assumptions'!$D$90)^(((AI$7+AI$8)/2-46304)/365)</x:f>
        <x:v>27548.979232036912</x:v>
      </x:c>
      <x:c r="AJ70" s="34" t="n">
        <x:f>'Assumptions'!$D$145*(1+'Assumptions'!$D$90)^(((AJ$7+AJ$8)/2-46304)/365)</x:f>
        <x:v>28100.72109141597</x:v>
      </x:c>
      <x:c r="AK70" s="34" t="n">
        <x:f>'Assumptions'!$D$145*(1+'Assumptions'!$D$90)^(((AK$7+AK$8)/2-46304)/365)</x:f>
        <x:v>28662.73551324429</x:v>
      </x:c>
      <x:c r="AL70" s="34" t="n">
        <x:f>'Assumptions'!$D$145*(1+'Assumptions'!$D$90)^(((AL$7+AL$8)/2-46304)/365)</x:f>
        <x:v>29235.990223509176</x:v>
      </x:c>
      <x:c r="AM70" s="34" t="n">
        <x:f>'Assumptions'!$D$145*(1+'Assumptions'!$D$90)^(((AM$7+AM$8)/2-46304)/365)</x:f>
        <x:v>29821.518981973968</x:v>
      </x:c>
      <x:c r="AN70" s="34" t="n">
        <x:f>'Assumptions'!$D$145*(1+'Assumptions'!$D$90)^(((AN$7+AN$8)/2-46304)/365)</x:f>
        <x:v>30418.77451707154</x:v>
      </x:c>
      <x:c r="AO70" s="34" t="n">
        <x:f>'Assumptions'!$D$145*(1+'Assumptions'!$D$90)^(((AO$7+AO$8)/2-46304)/365)</x:f>
        <x:v>31027.15000741297</x:v>
      </x:c>
      <x:c r="AP70" s="34" t="n">
        <x:f>'Assumptions'!$D$145*(1+'Assumptions'!$D$90)^(((AP$7+AP$8)/2-46304)/365)</x:f>
        <x:v>31647.693007561233</x:v>
      </x:c>
      <x:c r="AQ70" s="34" t="n">
        <x:f>'Assumptions'!$D$145*(1+'Assumptions'!$D$90)^(((AQ$7+AQ$8)/2-46304)/365)</x:f>
        <x:v>32281.522553040122</x:v>
      </x:c>
    </x:row>
    <x:row r="71" ht="21" customHeight="1">
      <x:c r="A71" s="2"/>
      <x:c r="B71" s="2"/>
      <x:c r="C71" s="2" t="str">
        <x:v>TCE cash revenue</x:v>
      </x:c>
      <x:c r="D71" s="2"/>
      <x:c r="E71" s="39" t="n">
        <x:f>E67*((1-E69)*E68+E69*E70)</x:f>
        <x:v>12605265.394707404</x:v>
      </x:c>
      <x:c r="F71" s="39" t="n">
        <x:f>F67*((1-F69)*F68+F69*F70)</x:f>
        <x:v>13732655.766359035</x:v>
      </x:c>
      <x:c r="G71" s="39" t="n">
        <x:f>G67*((1-G69)*G68+G69*G70)</x:f>
        <x:v>13953584.54303633</x:v>
      </x:c>
      <x:c r="H71" s="39" t="n">
        <x:f>H67*((1-H69)*H68+H69*H70)</x:f>
        <x:v>14177124.608067963</x:v>
      </x:c>
      <x:c r="I71" s="39" t="n">
        <x:f>I67*((1-I69)*I68+I69*I70)</x:f>
        <x:v>14248064.454052825</x:v>
      </x:c>
      <x:c r="J71" s="39" t="n">
        <x:f>J67*((1-J69)*J68+J69*J70)</x:f>
        <x:v>14163329.848871367</x:v>
      </x:c>
      <x:c r="K71" s="39" t="n">
        <x:f>K67*((1-K69)*K68+K69*K70)</x:f>
        <x:v>14233428.430150542</x:v>
      </x:c>
      <x:c r="L71" s="39" t="n">
        <x:f>L67*((1-L69)*L68+L69*L70)</x:f>
        <x:v>14461451.667268265</x:v>
      </x:c>
      <x:c r="M71" s="39" t="n">
        <x:f>M67*((1-M69)*M68+M69*M70)</x:f>
        <x:v>14533814.236008735</x:v>
      </x:c>
      <x:c r="N71" s="39" t="n">
        <x:f>N67*((1-N69)*N68+N69*N70)</x:f>
        <x:v>14288230.228697136</x:v>
      </x:c>
      <x:c r="O71" s="39" t="n">
        <x:f>O67*((1-O69)*O68+O69*O70)</x:f>
        <x:v>14518096.998753555</x:v>
      </x:c>
      <x:c r="P71" s="39" t="n">
        <x:f>P67*((1-P69)*P68+P69*P70)</x:f>
        <x:v>14750680.70061363</x:v>
      </x:c>
      <x:c r="Q71" s="39" t="n">
        <x:f>Q67*((1-Q69)*Q68+Q69*Q70)</x:f>
        <x:v>59251730.99380032</x:v>
      </x:c>
      <x:c r="R71" s="39" t="n">
        <x:f>R67*((1-R69)*R68+R69*R70)</x:f>
        <x:v>60436765.61367633</x:v>
      </x:c>
      <x:c r="S71" s="39" t="n">
        <x:f>S67*((1-S69)*S68+S69*S70)</x:f>
        <x:v>61816069.56408034</x:v>
      </x:c>
      <x:c r="T71" s="39" t="n">
        <x:f>T67*((1-T69)*T68+T69*T70)</x:f>
        <x:v>62881822.42807097</x:v>
      </x:c>
      <x:c r="U71" s="39" t="n">
        <x:f>U67*((1-U69)*U68+U69*U70)</x:f>
        <x:v>64139458.87663239</x:v>
      </x:c>
      <x:c r="V71" s="39" t="n">
        <x:f>V67*((1-V69)*V68+V69*V70)</x:f>
        <x:v>51930436.99841195</x:v>
      </x:c>
      <x:c r="W71" s="39" t="n">
        <x:f>W67*((1-W69)*W68+W69*W70)</x:f>
        <x:v>12166424.002134314</x:v>
      </x:c>
      <x:c r="X71" s="39" t="n">
        <x:f>X67*((1-X69)*X68+X69*X70)</x:f>
        <x:v>12376181.777357431</x:v>
      </x:c>
      <x:c r="Y71" s="39" t="n">
        <x:f>Y67*((1-Y69)*Y68+Y69*Y70)</x:f>
        <x:v>9441839.938966988</x:v>
      </x:c>
      <x:c r="Z71" s="39" t="n">
        <x:f>Z67*((1-Z69)*Z68+Z69*Z70)</x:f>
        <x:v>0</x:v>
      </x:c>
      <x:c r="AA71" s="39" t="n">
        <x:f>AA67*((1-AA69)*AA68+AA69*AA70)</x:f>
        <x:v>0</x:v>
      </x:c>
      <x:c r="AB71" s="39" t="n">
        <x:f>AB67*((1-AB69)*AB68+AB69*AB70)</x:f>
        <x:v>0</x:v>
      </x:c>
      <x:c r="AC71" s="39" t="n">
        <x:f>AC67*((1-AC69)*AC68+AC69*AC70)</x:f>
        <x:v>0</x:v>
      </x:c>
      <x:c r="AD71" s="39" t="n">
        <x:f>AD67*((1-AD69)*AD68+AD69*AD70)</x:f>
        <x:v>0</x:v>
      </x:c>
      <x:c r="AE71" s="39" t="n">
        <x:f>AE67*((1-AE69)*AE68+AE69*AE70)</x:f>
        <x:v>0</x:v>
      </x:c>
      <x:c r="AF71" s="39" t="n">
        <x:f>AF67*((1-AF69)*AF68+AF69*AF70)</x:f>
        <x:v>0</x:v>
      </x:c>
      <x:c r="AG71" s="39" t="n">
        <x:f>AG67*((1-AG69)*AG68+AG69*AG70)</x:f>
        <x:v>0</x:v>
      </x:c>
      <x:c r="AH71" s="39" t="n">
        <x:f>AH67*((1-AH69)*AH68+AH69*AH70)</x:f>
        <x:v>0</x:v>
      </x:c>
      <x:c r="AI71" s="39" t="n">
        <x:f>AI67*((1-AI69)*AI68+AI69*AI70)</x:f>
        <x:v>0</x:v>
      </x:c>
      <x:c r="AJ71" s="39" t="n">
        <x:f>AJ67*((1-AJ69)*AJ68+AJ69*AJ70)</x:f>
        <x:v>0</x:v>
      </x:c>
      <x:c r="AK71" s="39" t="n">
        <x:f>AK67*((1-AK69)*AK68+AK69*AK70)</x:f>
        <x:v>0</x:v>
      </x:c>
      <x:c r="AL71" s="39" t="n">
        <x:f>AL67*((1-AL69)*AL68+AL69*AL70)</x:f>
        <x:v>0</x:v>
      </x:c>
      <x:c r="AM71" s="39" t="n">
        <x:f>AM67*((1-AM69)*AM68+AM69*AM70)</x:f>
        <x:v>0</x:v>
      </x:c>
      <x:c r="AN71" s="39" t="n">
        <x:f>AN67*((1-AN69)*AN68+AN69*AN70)</x:f>
        <x:v>0</x:v>
      </x:c>
      <x:c r="AO71" s="39" t="n">
        <x:f>AO67*((1-AO69)*AO68+AO69*AO70)</x:f>
        <x:v>0</x:v>
      </x:c>
      <x:c r="AP71" s="39" t="n">
        <x:f>AP67*((1-AP69)*AP68+AP69*AP70)</x:f>
        <x:v>0</x:v>
      </x:c>
      <x:c r="AQ71" s="39" t="n">
        <x:f>AQ67*((1-AQ69)*AQ68+AQ69*AQ70)</x:f>
        <x:v>0</x:v>
      </x:c>
    </x:row>
    <x:row r="72" ht="21" customHeight="1">
      <x:c r="A72" s="2"/>
      <x:c r="B72" s="2"/>
      <x:c r="C72" s="2" t="str">
        <x:v>Vessel operating cost</x:v>
      </x:c>
      <x:c r="D72" s="2"/>
      <x:c r="E72" s="37" t="n">
        <x:f>E66*'Assumptions'!$D$60*(1+'Assumptions'!$D$90)^(((E$7+E$8)/2-46304)/365)</x:f>
        <x:v>4849938.772555299</x:v>
      </x:c>
      <x:c r="F72" s="37" t="n">
        <x:f>F66*'Assumptions'!$D$60*(1+'Assumptions'!$D$90)^(((F$7+F$8)/2-46304)/365)</x:f>
        <x:v>5283707.844769719</x:v>
      </x:c>
      <x:c r="G72" s="37" t="n">
        <x:f>G66*'Assumptions'!$D$60*(1+'Assumptions'!$D$90)^(((G$7+G$8)/2-46304)/365)</x:f>
        <x:v>5368711.294235394</x:v>
      </x:c>
      <x:c r="H72" s="37" t="n">
        <x:f>H66*'Assumptions'!$D$60*(1+'Assumptions'!$D$90)^(((H$7+H$8)/2-46304)/365)</x:f>
        <x:v>5454719.449928146</x:v>
      </x:c>
      <x:c r="I72" s="37" t="n">
        <x:f>I66*'Assumptions'!$D$60*(1+'Assumptions'!$D$90)^(((I$7+I$8)/2-46304)/365)</x:f>
        <x:v>5482013.909726313</x:v>
      </x:c>
      <x:c r="J72" s="37" t="n">
        <x:f>J66*'Assumptions'!$D$60*(1+'Assumptions'!$D$90)^(((J$7+J$8)/2-46304)/365)</x:f>
        <x:v>5449411.847478638</x:v>
      </x:c>
      <x:c r="K72" s="37" t="n">
        <x:f>K66*'Assumptions'!$D$60*(1+'Assumptions'!$D$90)^(((K$7+K$8)/2-46304)/365)</x:f>
        <x:v>5476382.626482605</x:v>
      </x:c>
      <x:c r="L72" s="37" t="n">
        <x:f>L66*'Assumptions'!$D$60*(1+'Assumptions'!$D$90)^(((L$7+L$8)/2-46304)/365)</x:f>
        <x:v>5564115.705010657</x:v>
      </x:c>
      <x:c r="M72" s="37" t="n">
        <x:f>M66*'Assumptions'!$D$60*(1+'Assumptions'!$D$90)^(((M$7+M$8)/2-46304)/365)</x:f>
        <x:v>5591957.56448975</x:v>
      </x:c>
      <x:c r="N72" s="37" t="n">
        <x:f>N66*'Assumptions'!$D$60*(1+'Assumptions'!$D$90)^(((N$7+N$8)/2-46304)/365)</x:f>
        <x:v>5497467.891985105</x:v>
      </x:c>
      <x:c r="O72" s="37" t="n">
        <x:f>O66*'Assumptions'!$D$60*(1+'Assumptions'!$D$90)^(((O$7+O$8)/2-46304)/365)</x:f>
        <x:v>5585910.279012257</x:v>
      </x:c>
      <x:c r="P72" s="37" t="n">
        <x:f>P66*'Assumptions'!$D$60*(1+'Assumptions'!$D$90)^(((P$7+P$8)/2-46304)/365)</x:f>
        <x:v>5675398.01911087</x:v>
      </x:c>
      <x:c r="Q72" s="37" t="n">
        <x:f>Q66*'Assumptions'!$D$60*(1+'Assumptions'!$D$90)^(((Q$7+Q$8)/2-46304)/365)</x:f>
        <x:v>22797399.220845133</x:v>
      </x:c>
      <x:c r="R72" s="37" t="n">
        <x:f>R66*'Assumptions'!$D$60*(1+'Assumptions'!$D$90)^(((R$7+R$8)/2-46304)/365)</x:f>
        <x:v>23253347.20526204</x:v>
      </x:c>
      <x:c r="S72" s="37" t="n">
        <x:f>S66*'Assumptions'!$D$60*(1+'Assumptions'!$D$90)^(((S$7+S$8)/2-46304)/365)</x:f>
        <x:v>23784041.284183364</x:v>
      </x:c>
      <x:c r="T72" s="37" t="n">
        <x:f>T66*'Assumptions'!$D$60*(1+'Assumptions'!$D$90)^(((T$7+T$8)/2-46304)/365)</x:f>
        <x:v>24194095.017697</x:v>
      </x:c>
      <x:c r="U72" s="37" t="n">
        <x:f>U66*'Assumptions'!$D$60*(1+'Assumptions'!$D$90)^(((U$7+U$8)/2-46304)/365)</x:f>
        <x:v>24677976.91805094</x:v>
      </x:c>
      <x:c r="V72" s="37" t="n">
        <x:f>V66*'Assumptions'!$D$60*(1+'Assumptions'!$D$90)^(((V$7+V$8)/2-46304)/365)</x:f>
        <x:v>19980494.81608591</x:v>
      </x:c>
      <x:c r="W72" s="37" t="n">
        <x:f>W66*'Assumptions'!$D$60*(1+'Assumptions'!$D$90)^(((W$7+W$8)/2-46304)/365)</x:f>
        <x:v>4681092.356538067</x:v>
      </x:c>
      <x:c r="X72" s="37" t="n">
        <x:f>X66*'Assumptions'!$D$60*(1+'Assumptions'!$D$90)^(((X$7+X$8)/2-46304)/365)</x:f>
        <x:v>4761797.707440609</x:v>
      </x:c>
      <x:c r="Y72" s="37" t="n">
        <x:f>Y66*'Assumptions'!$D$60*(1+'Assumptions'!$D$90)^(((Y$7+Y$8)/2-46304)/365)</x:f>
        <x:v>3632795.0400381153</x:v>
      </x:c>
      <x:c r="Z72" s="37" t="n">
        <x:f>Z66*'Assumptions'!$D$60*(1+'Assumptions'!$D$90)^(((Z$7+Z$8)/2-46304)/365)</x:f>
        <x:v>0</x:v>
      </x:c>
      <x:c r="AA72" s="37" t="n">
        <x:f>AA66*'Assumptions'!$D$60*(1+'Assumptions'!$D$90)^(((AA$7+AA$8)/2-46304)/365)</x:f>
        <x:v>0</x:v>
      </x:c>
      <x:c r="AB72" s="37" t="n">
        <x:f>AB66*'Assumptions'!$D$60*(1+'Assumptions'!$D$90)^(((AB$7+AB$8)/2-46304)/365)</x:f>
        <x:v>0</x:v>
      </x:c>
      <x:c r="AC72" s="37" t="n">
        <x:f>AC66*'Assumptions'!$D$60*(1+'Assumptions'!$D$90)^(((AC$7+AC$8)/2-46304)/365)</x:f>
        <x:v>0</x:v>
      </x:c>
      <x:c r="AD72" s="37" t="n">
        <x:f>AD66*'Assumptions'!$D$60*(1+'Assumptions'!$D$90)^(((AD$7+AD$8)/2-46304)/365)</x:f>
        <x:v>0</x:v>
      </x:c>
      <x:c r="AE72" s="37" t="n">
        <x:f>AE66*'Assumptions'!$D$60*(1+'Assumptions'!$D$90)^(((AE$7+AE$8)/2-46304)/365)</x:f>
        <x:v>0</x:v>
      </x:c>
      <x:c r="AF72" s="37" t="n">
        <x:f>AF66*'Assumptions'!$D$60*(1+'Assumptions'!$D$90)^(((AF$7+AF$8)/2-46304)/365)</x:f>
        <x:v>0</x:v>
      </x:c>
      <x:c r="AG72" s="37" t="n">
        <x:f>AG66*'Assumptions'!$D$60*(1+'Assumptions'!$D$90)^(((AG$7+AG$8)/2-46304)/365)</x:f>
        <x:v>0</x:v>
      </x:c>
      <x:c r="AH72" s="37" t="n">
        <x:f>AH66*'Assumptions'!$D$60*(1+'Assumptions'!$D$90)^(((AH$7+AH$8)/2-46304)/365)</x:f>
        <x:v>0</x:v>
      </x:c>
      <x:c r="AI72" s="37" t="n">
        <x:f>AI66*'Assumptions'!$D$60*(1+'Assumptions'!$D$90)^(((AI$7+AI$8)/2-46304)/365)</x:f>
        <x:v>0</x:v>
      </x:c>
      <x:c r="AJ72" s="37" t="n">
        <x:f>AJ66*'Assumptions'!$D$60*(1+'Assumptions'!$D$90)^(((AJ$7+AJ$8)/2-46304)/365)</x:f>
        <x:v>0</x:v>
      </x:c>
      <x:c r="AK72" s="37" t="n">
        <x:f>AK66*'Assumptions'!$D$60*(1+'Assumptions'!$D$90)^(((AK$7+AK$8)/2-46304)/365)</x:f>
        <x:v>0</x:v>
      </x:c>
      <x:c r="AL72" s="37" t="n">
        <x:f>AL66*'Assumptions'!$D$60*(1+'Assumptions'!$D$90)^(((AL$7+AL$8)/2-46304)/365)</x:f>
        <x:v>0</x:v>
      </x:c>
      <x:c r="AM72" s="37" t="n">
        <x:f>AM66*'Assumptions'!$D$60*(1+'Assumptions'!$D$90)^(((AM$7+AM$8)/2-46304)/365)</x:f>
        <x:v>0</x:v>
      </x:c>
      <x:c r="AN72" s="37" t="n">
        <x:f>AN66*'Assumptions'!$D$60*(1+'Assumptions'!$D$90)^(((AN$7+AN$8)/2-46304)/365)</x:f>
        <x:v>0</x:v>
      </x:c>
      <x:c r="AO72" s="37" t="n">
        <x:f>AO66*'Assumptions'!$D$60*(1+'Assumptions'!$D$90)^(((AO$7+AO$8)/2-46304)/365)</x:f>
        <x:v>0</x:v>
      </x:c>
      <x:c r="AP72" s="37" t="n">
        <x:f>AP66*'Assumptions'!$D$60*(1+'Assumptions'!$D$90)^(((AP$7+AP$8)/2-46304)/365)</x:f>
        <x:v>0</x:v>
      </x:c>
      <x:c r="AQ72" s="37" t="n">
        <x:f>AQ66*'Assumptions'!$D$60*(1+'Assumptions'!$D$90)^(((AQ$7+AQ$8)/2-46304)/365)</x:f>
        <x:v>0</x:v>
      </x:c>
    </x:row>
    <x:row r="73" ht="21" customHeight="1">
      <x:c r="A73" s="2"/>
      <x:c r="B73" s="2"/>
      <x:c r="C73" s="2" t="str">
        <x:v>Management fees</x:v>
      </x:c>
      <x:c r="D73" s="2"/>
      <x:c r="E73" s="37" t="n">
        <x:f>E66*'Assumptions'!$D$65*(1+'Assumptions'!$D$90)^(((E$7+E$8)/2-46304)/365)</x:f>
        <x:v>420938.08214630897</x:v>
      </x:c>
      <x:c r="F73" s="37" t="n">
        <x:f>F66*'Assumptions'!$D$65*(1+'Assumptions'!$D$90)^(((F$7+F$8)/2-46304)/365)</x:f>
        <x:v>458585.96388567373</x:v>
      </x:c>
      <x:c r="G73" s="37" t="n">
        <x:f>G66*'Assumptions'!$D$65*(1+'Assumptions'!$D$90)^(((G$7+G$8)/2-46304)/365)</x:f>
        <x:v>465963.62176382664</x:v>
      </x:c>
      <x:c r="H73" s="37" t="n">
        <x:f>H66*'Assumptions'!$D$65*(1+'Assumptions'!$D$90)^(((H$7+H$8)/2-46304)/365)</x:f>
        <x:v>473428.48055980133</x:v>
      </x:c>
      <x:c r="I73" s="37" t="n">
        <x:f>I66*'Assumptions'!$D$65*(1+'Assumptions'!$D$90)^(((I$7+I$8)/2-46304)/365)</x:f>
        <x:v>475797.4336743593</x:v>
      </x:c>
      <x:c r="J73" s="37" t="n">
        <x:f>J66*'Assumptions'!$D$65*(1+'Assumptions'!$D$90)^(((J$7+J$8)/2-46304)/365)</x:f>
        <x:v>472967.8207245611</x:v>
      </x:c>
      <x:c r="K73" s="37" t="n">
        <x:f>K66*'Assumptions'!$D$65*(1+'Assumptions'!$D$90)^(((K$7+K$8)/2-46304)/365)</x:f>
        <x:v>475308.6807890563</x:v>
      </x:c>
      <x:c r="L73" s="37" t="n">
        <x:f>L66*'Assumptions'!$D$65*(1+'Assumptions'!$D$90)^(((L$7+L$8)/2-46304)/365)</x:f>
        <x:v>482923.2498688495</x:v>
      </x:c>
      <x:c r="M73" s="37" t="n">
        <x:f>M66*'Assumptions'!$D$65*(1+'Assumptions'!$D$90)^(((M$7+M$8)/2-46304)/365)</x:f>
        <x:v>485339.7131443934</x:v>
      </x:c>
      <x:c r="N73" s="37" t="n">
        <x:f>N66*'Assumptions'!$D$65*(1+'Assumptions'!$D$90)^(((N$7+N$8)/2-46304)/365)</x:f>
        <x:v>477138.72270059405</x:v>
      </x:c>
      <x:c r="O73" s="37" t="n">
        <x:f>O66*'Assumptions'!$D$65*(1+'Assumptions'!$D$90)^(((O$7+O$8)/2-46304)/365)</x:f>
        <x:v>484814.8544048374</x:v>
      </x:c>
      <x:c r="P73" s="37" t="n">
        <x:f>P66*'Assumptions'!$D$65*(1+'Assumptions'!$D$90)^(((P$7+P$8)/2-46304)/365)</x:f>
        <x:v>492581.7148662265</x:v>
      </x:c>
      <x:c r="Q73" s="37" t="n">
        <x:f>Q66*'Assumptions'!$D$65*(1+'Assumptions'!$D$90)^(((Q$7+Q$8)/2-46304)/365)</x:f>
        <x:v>1978642.1965261814</x:v>
      </x:c>
      <x:c r="R73" s="37" t="n">
        <x:f>R66*'Assumptions'!$D$65*(1+'Assumptions'!$D$90)^(((R$7+R$8)/2-46304)/365)</x:f>
        <x:v>2018215.0404567053</x:v>
      </x:c>
      <x:c r="S73" s="37" t="n">
        <x:f>S66*'Assumptions'!$D$65*(1+'Assumptions'!$D$90)^(((S$7+S$8)/2-46304)/365)</x:f>
        <x:v>2064275.2812687447</x:v>
      </x:c>
      <x:c r="T73" s="37" t="n">
        <x:f>T66*'Assumptions'!$D$65*(1+'Assumptions'!$D$90)^(((T$7+T$8)/2-46304)/365)</x:f>
        <x:v>2099864.8505925694</x:v>
      </x:c>
      <x:c r="U73" s="37" t="n">
        <x:f>U66*'Assumptions'!$D$65*(1+'Assumptions'!$D$90)^(((U$7+U$8)/2-46304)/365)</x:f>
        <x:v>2141862.1476044212</x:v>
      </x:c>
      <x:c r="V73" s="37" t="n">
        <x:f>V66*'Assumptions'!$D$65*(1+'Assumptions'!$D$90)^(((V$7+V$8)/2-46304)/365)</x:f>
        <x:v>1734156.1538489657</x:v>
      </x:c>
      <x:c r="W73" s="37" t="n">
        <x:f>W66*'Assumptions'!$D$65*(1+'Assumptions'!$D$90)^(((W$7+W$8)/2-46304)/365)</x:f>
        <x:v>406283.4875485869</x:v>
      </x:c>
      <x:c r="X73" s="37" t="n">
        <x:f>X66*'Assumptions'!$D$65*(1+'Assumptions'!$D$90)^(((X$7+X$8)/2-46304)/365)</x:f>
        <x:v>413288.10290993965</x:v>
      </x:c>
      <x:c r="Y73" s="37" t="n">
        <x:f>Y66*'Assumptions'!$D$65*(1+'Assumptions'!$D$90)^(((Y$7+Y$8)/2-46304)/365)</x:f>
        <x:v>315299.19215425156</x:v>
      </x:c>
      <x:c r="Z73" s="37" t="n">
        <x:f>Z66*'Assumptions'!$D$65*(1+'Assumptions'!$D$90)^(((Z$7+Z$8)/2-46304)/365)</x:f>
        <x:v>0</x:v>
      </x:c>
      <x:c r="AA73" s="37" t="n">
        <x:f>AA66*'Assumptions'!$D$65*(1+'Assumptions'!$D$90)^(((AA$7+AA$8)/2-46304)/365)</x:f>
        <x:v>0</x:v>
      </x:c>
      <x:c r="AB73" s="37" t="n">
        <x:f>AB66*'Assumptions'!$D$65*(1+'Assumptions'!$D$90)^(((AB$7+AB$8)/2-46304)/365)</x:f>
        <x:v>0</x:v>
      </x:c>
      <x:c r="AC73" s="37" t="n">
        <x:f>AC66*'Assumptions'!$D$65*(1+'Assumptions'!$D$90)^(((AC$7+AC$8)/2-46304)/365)</x:f>
        <x:v>0</x:v>
      </x:c>
      <x:c r="AD73" s="37" t="n">
        <x:f>AD66*'Assumptions'!$D$65*(1+'Assumptions'!$D$90)^(((AD$7+AD$8)/2-46304)/365)</x:f>
        <x:v>0</x:v>
      </x:c>
      <x:c r="AE73" s="37" t="n">
        <x:f>AE66*'Assumptions'!$D$65*(1+'Assumptions'!$D$90)^(((AE$7+AE$8)/2-46304)/365)</x:f>
        <x:v>0</x:v>
      </x:c>
      <x:c r="AF73" s="37" t="n">
        <x:f>AF66*'Assumptions'!$D$65*(1+'Assumptions'!$D$90)^(((AF$7+AF$8)/2-46304)/365)</x:f>
        <x:v>0</x:v>
      </x:c>
      <x:c r="AG73" s="37" t="n">
        <x:f>AG66*'Assumptions'!$D$65*(1+'Assumptions'!$D$90)^(((AG$7+AG$8)/2-46304)/365)</x:f>
        <x:v>0</x:v>
      </x:c>
      <x:c r="AH73" s="37" t="n">
        <x:f>AH66*'Assumptions'!$D$65*(1+'Assumptions'!$D$90)^(((AH$7+AH$8)/2-46304)/365)</x:f>
        <x:v>0</x:v>
      </x:c>
      <x:c r="AI73" s="37" t="n">
        <x:f>AI66*'Assumptions'!$D$65*(1+'Assumptions'!$D$90)^(((AI$7+AI$8)/2-46304)/365)</x:f>
        <x:v>0</x:v>
      </x:c>
      <x:c r="AJ73" s="37" t="n">
        <x:f>AJ66*'Assumptions'!$D$65*(1+'Assumptions'!$D$90)^(((AJ$7+AJ$8)/2-46304)/365)</x:f>
        <x:v>0</x:v>
      </x:c>
      <x:c r="AK73" s="37" t="n">
        <x:f>AK66*'Assumptions'!$D$65*(1+'Assumptions'!$D$90)^(((AK$7+AK$8)/2-46304)/365)</x:f>
        <x:v>0</x:v>
      </x:c>
      <x:c r="AL73" s="37" t="n">
        <x:f>AL66*'Assumptions'!$D$65*(1+'Assumptions'!$D$90)^(((AL$7+AL$8)/2-46304)/365)</x:f>
        <x:v>0</x:v>
      </x:c>
      <x:c r="AM73" s="37" t="n">
        <x:f>AM66*'Assumptions'!$D$65*(1+'Assumptions'!$D$90)^(((AM$7+AM$8)/2-46304)/365)</x:f>
        <x:v>0</x:v>
      </x:c>
      <x:c r="AN73" s="37" t="n">
        <x:f>AN66*'Assumptions'!$D$65*(1+'Assumptions'!$D$90)^(((AN$7+AN$8)/2-46304)/365)</x:f>
        <x:v>0</x:v>
      </x:c>
      <x:c r="AO73" s="37" t="n">
        <x:f>AO66*'Assumptions'!$D$65*(1+'Assumptions'!$D$90)^(((AO$7+AO$8)/2-46304)/365)</x:f>
        <x:v>0</x:v>
      </x:c>
      <x:c r="AP73" s="37" t="n">
        <x:f>AP66*'Assumptions'!$D$65*(1+'Assumptions'!$D$90)^(((AP$7+AP$8)/2-46304)/365)</x:f>
        <x:v>0</x:v>
      </x:c>
      <x:c r="AQ73" s="37" t="n">
        <x:f>AQ66*'Assumptions'!$D$65*(1+'Assumptions'!$D$90)^(((AQ$7+AQ$8)/2-46304)/365)</x:f>
        <x:v>0</x:v>
      </x:c>
    </x:row>
    <x:row r="74" ht="21" customHeight="1">
      <x:c r="A74" s="2"/>
      <x:c r="B74" s="2"/>
      <x:c r="C74" s="2" t="str">
        <x:v>Drydock cash budget</x:v>
      </x:c>
      <x:c r="D74" s="2"/>
      <x:c r="E74" s="37" t="n">
        <x:f>E66/365*'Assumptions'!$D$75*(1+'Assumptions'!$D$90)^(((E$7+E$8)/2-46304)/365)</x:f>
        <x:v>1454104.155121258</x:v>
      </x:c>
      <x:c r="F74" s="37" t="n">
        <x:f>F66/365*'Assumptions'!$D$75*(1+'Assumptions'!$D$90)^(((F$7+F$8)/2-46304)/365)</x:f>
        <x:v>1584156.3969844596</x:v>
      </x:c>
      <x:c r="G74" s="37" t="n">
        <x:f>G66/365*'Assumptions'!$D$75*(1+'Assumptions'!$D$90)^(((G$7+G$8)/2-46304)/365)</x:f>
        <x:v>1609642.0525492523</x:v>
      </x:c>
      <x:c r="H74" s="37" t="n">
        <x:f>H66/365*'Assumptions'!$D$75*(1+'Assumptions'!$D$90)^(((H$7+H$8)/2-46304)/365)</x:f>
        <x:v>1635428.9382053888</x:v>
      </x:c>
      <x:c r="I74" s="37" t="n">
        <x:f>I66/365*'Assumptions'!$D$75*(1+'Assumptions'!$D$90)^(((I$7+I$8)/2-46304)/365)</x:f>
        <x:v>1643612.337886411</x:v>
      </x:c>
      <x:c r="J74" s="37" t="n">
        <x:f>J66/365*'Assumptions'!$D$75*(1+'Assumptions'!$D$90)^(((J$7+J$8)/2-46304)/365)</x:f>
        <x:v>1633837.6177501217</x:v>
      </x:c>
      <x:c r="K74" s="37" t="n">
        <x:f>K66/365*'Assumptions'!$D$75*(1+'Assumptions'!$D$90)^(((K$7+K$8)/2-46304)/365)</x:f>
        <x:v>1641923.9717549293</x:v>
      </x:c>
      <x:c r="L74" s="37" t="n">
        <x:f>L66/365*'Assumptions'!$D$75*(1+'Assumptions'!$D$90)^(((L$7+L$8)/2-46304)/365)</x:f>
        <x:v>1668228.0221794683</x:v>
      </x:c>
      <x:c r="M74" s="37" t="n">
        <x:f>M66/365*'Assumptions'!$D$75*(1+'Assumptions'!$D$90)^(((M$7+M$8)/2-46304)/365)</x:f>
        <x:v>1676575.5427263144</x:v>
      </x:c>
      <x:c r="N74" s="37" t="n">
        <x:f>N66/365*'Assumptions'!$D$75*(1+'Assumptions'!$D$90)^(((N$7+N$8)/2-46304)/365)</x:f>
        <x:v>1648245.736547615</x:v>
      </x:c>
      <x:c r="O74" s="37" t="n">
        <x:f>O66/365*'Assumptions'!$D$75*(1+'Assumptions'!$D$90)^(((O$7+O$8)/2-46304)/365)</x:f>
        <x:v>1674762.451190028</x:v>
      </x:c>
      <x:c r="P74" s="37" t="n">
        <x:f>P66/365*'Assumptions'!$D$75*(1+'Assumptions'!$D$90)^(((P$7+P$8)/2-46304)/365)</x:f>
        <x:v>1701592.5826230575</x:v>
      </x:c>
      <x:c r="Q74" s="37" t="n">
        <x:f>Q66/365*'Assumptions'!$D$75*(1+'Assumptions'!$D$90)^(((Q$7+Q$8)/2-46304)/365)</x:f>
        <x:v>6835095.1398760285</x:v>
      </x:c>
      <x:c r="R74" s="37" t="n">
        <x:f>R66/365*'Assumptions'!$D$75*(1+'Assumptions'!$D$90)^(((R$7+R$8)/2-46304)/365)</x:f>
        <x:v>6971797.04267355</x:v>
      </x:c>
      <x:c r="S74" s="37" t="n">
        <x:f>S66/365*'Assumptions'!$D$75*(1+'Assumptions'!$D$90)^(((S$7+S$8)/2-46304)/365)</x:f>
        <x:v>7130909.250362549</x:v>
      </x:c>
      <x:c r="T74" s="37" t="n">
        <x:f>T66/365*'Assumptions'!$D$75*(1+'Assumptions'!$D$90)^(((T$7+T$8)/2-46304)/365)</x:f>
        <x:v>7253851.181320372</x:v>
      </x:c>
      <x:c r="U74" s="37" t="n">
        <x:f>U66/365*'Assumptions'!$D$75*(1+'Assumptions'!$D$90)^(((U$7+U$8)/2-46304)/365)</x:f>
        <x:v>7398928.20494678</x:v>
      </x:c>
      <x:c r="V74" s="37" t="n">
        <x:f>V66/365*'Assumptions'!$D$75*(1+'Assumptions'!$D$90)^(((V$7+V$8)/2-46304)/365)</x:f>
        <x:v>5990533.467733175</x:v>
      </x:c>
      <x:c r="W74" s="37" t="n">
        <x:f>W66/365*'Assumptions'!$D$75*(1+'Assumptions'!$D$90)^(((W$7+W$8)/2-46304)/365)</x:f>
        <x:v>1403480.7789051842</x:v>
      </x:c>
      <x:c r="X74" s="37" t="n">
        <x:f>X66/365*'Assumptions'!$D$75*(1+'Assumptions'!$D$90)^(((X$7+X$8)/2-46304)/365)</x:f>
        <x:v>1427677.782535825</x:v>
      </x:c>
      <x:c r="Y74" s="37" t="n">
        <x:f>Y66/365*'Assumptions'!$D$75*(1+'Assumptions'!$D$90)^(((Y$7+Y$8)/2-46304)/365)</x:f>
        <x:v>1089181.2474655502</x:v>
      </x:c>
      <x:c r="Z74" s="37" t="n">
        <x:f>Z66/365*'Assumptions'!$D$75*(1+'Assumptions'!$D$90)^(((Z$7+Z$8)/2-46304)/365)</x:f>
        <x:v>0</x:v>
      </x:c>
      <x:c r="AA74" s="37" t="n">
        <x:f>AA66/365*'Assumptions'!$D$75*(1+'Assumptions'!$D$90)^(((AA$7+AA$8)/2-46304)/365)</x:f>
        <x:v>0</x:v>
      </x:c>
      <x:c r="AB74" s="37" t="n">
        <x:f>AB66/365*'Assumptions'!$D$75*(1+'Assumptions'!$D$90)^(((AB$7+AB$8)/2-46304)/365)</x:f>
        <x:v>0</x:v>
      </x:c>
      <x:c r="AC74" s="37" t="n">
        <x:f>AC66/365*'Assumptions'!$D$75*(1+'Assumptions'!$D$90)^(((AC$7+AC$8)/2-46304)/365)</x:f>
        <x:v>0</x:v>
      </x:c>
      <x:c r="AD74" s="37" t="n">
        <x:f>AD66/365*'Assumptions'!$D$75*(1+'Assumptions'!$D$90)^(((AD$7+AD$8)/2-46304)/365)</x:f>
        <x:v>0</x:v>
      </x:c>
      <x:c r="AE74" s="37" t="n">
        <x:f>AE66/365*'Assumptions'!$D$75*(1+'Assumptions'!$D$90)^(((AE$7+AE$8)/2-46304)/365)</x:f>
        <x:v>0</x:v>
      </x:c>
      <x:c r="AF74" s="37" t="n">
        <x:f>AF66/365*'Assumptions'!$D$75*(1+'Assumptions'!$D$90)^(((AF$7+AF$8)/2-46304)/365)</x:f>
        <x:v>0</x:v>
      </x:c>
      <x:c r="AG74" s="37" t="n">
        <x:f>AG66/365*'Assumptions'!$D$75*(1+'Assumptions'!$D$90)^(((AG$7+AG$8)/2-46304)/365)</x:f>
        <x:v>0</x:v>
      </x:c>
      <x:c r="AH74" s="37" t="n">
        <x:f>AH66/365*'Assumptions'!$D$75*(1+'Assumptions'!$D$90)^(((AH$7+AH$8)/2-46304)/365)</x:f>
        <x:v>0</x:v>
      </x:c>
      <x:c r="AI74" s="37" t="n">
        <x:f>AI66/365*'Assumptions'!$D$75*(1+'Assumptions'!$D$90)^(((AI$7+AI$8)/2-46304)/365)</x:f>
        <x:v>0</x:v>
      </x:c>
      <x:c r="AJ74" s="37" t="n">
        <x:f>AJ66/365*'Assumptions'!$D$75*(1+'Assumptions'!$D$90)^(((AJ$7+AJ$8)/2-46304)/365)</x:f>
        <x:v>0</x:v>
      </x:c>
      <x:c r="AK74" s="37" t="n">
        <x:f>AK66/365*'Assumptions'!$D$75*(1+'Assumptions'!$D$90)^(((AK$7+AK$8)/2-46304)/365)</x:f>
        <x:v>0</x:v>
      </x:c>
      <x:c r="AL74" s="37" t="n">
        <x:f>AL66/365*'Assumptions'!$D$75*(1+'Assumptions'!$D$90)^(((AL$7+AL$8)/2-46304)/365)</x:f>
        <x:v>0</x:v>
      </x:c>
      <x:c r="AM74" s="37" t="n">
        <x:f>AM66/365*'Assumptions'!$D$75*(1+'Assumptions'!$D$90)^(((AM$7+AM$8)/2-46304)/365)</x:f>
        <x:v>0</x:v>
      </x:c>
      <x:c r="AN74" s="37" t="n">
        <x:f>AN66/365*'Assumptions'!$D$75*(1+'Assumptions'!$D$90)^(((AN$7+AN$8)/2-46304)/365)</x:f>
        <x:v>0</x:v>
      </x:c>
      <x:c r="AO74" s="37" t="n">
        <x:f>AO66/365*'Assumptions'!$D$75*(1+'Assumptions'!$D$90)^(((AO$7+AO$8)/2-46304)/365)</x:f>
        <x:v>0</x:v>
      </x:c>
      <x:c r="AP74" s="37" t="n">
        <x:f>AP66/365*'Assumptions'!$D$75*(1+'Assumptions'!$D$90)^(((AP$7+AP$8)/2-46304)/365)</x:f>
        <x:v>0</x:v>
      </x:c>
      <x:c r="AQ74" s="37" t="n">
        <x:f>AQ66/365*'Assumptions'!$D$75*(1+'Assumptions'!$D$90)^(((AQ$7+AQ$8)/2-46304)/365)</x:f>
        <x:v>0</x:v>
      </x:c>
    </x:row>
    <x:row r="75" ht="21" customHeight="1">
      <x:c r="A75" s="2"/>
      <x:c r="B75" s="2"/>
      <x:c r="C75" s="2" t="str">
        <x:v>Other maintenance capex</x:v>
      </x:c>
      <x:c r="D75" s="2"/>
      <x:c r="E75" s="37" t="n">
        <x:f>E66/365*'Assumptions'!$D$80*(1+'Assumptions'!$D$90)^(((E$7+E$8)/2-46304)/365)</x:f>
        <x:v>325919.8968375234</x:v>
      </x:c>
      <x:c r="F75" s="37" t="n">
        <x:f>F66/365*'Assumptions'!$D$80*(1+'Assumptions'!$D$90)^(((F$7+F$8)/2-46304)/365)</x:f>
        <x:v>355069.5372551375</x:v>
      </x:c>
      <x:c r="G75" s="37" t="n">
        <x:f>G66/365*'Assumptions'!$D$80*(1+'Assumptions'!$D$90)^(((G$7+G$8)/2-46304)/365)</x:f>
        <x:v>360781.83936448756</x:v>
      </x:c>
      <x:c r="H75" s="37" t="n">
        <x:f>H66/365*'Assumptions'!$D$80*(1+'Assumptions'!$D$90)^(((H$7+H$8)/2-46304)/365)</x:f>
        <x:v>366561.6585632768</x:v>
      </x:c>
      <x:c r="I75" s="37" t="n">
        <x:f>I66/365*'Assumptions'!$D$80*(1+'Assumptions'!$D$90)^(((I$7+I$8)/2-46304)/365)</x:f>
        <x:v>368395.86883660936</x:v>
      </x:c>
      <x:c r="J75" s="37" t="n">
        <x:f>J66/365*'Assumptions'!$D$80*(1+'Assumptions'!$D$90)^(((J$7+J$8)/2-46304)/365)</x:f>
        <x:v>366204.98328882037</x:v>
      </x:c>
      <x:c r="K75" s="37" t="n">
        <x:f>K66/365*'Assumptions'!$D$80*(1+'Assumptions'!$D$90)^(((K$7+K$8)/2-46304)/365)</x:f>
        <x:v>368017.4419450704</x:v>
      </x:c>
      <x:c r="L75" s="37" t="n">
        <x:f>L66/365*'Assumptions'!$D$80*(1+'Assumptions'!$D$90)^(((L$7+L$8)/2-46304)/365)</x:f>
        <x:v>373913.17738505325</x:v>
      </x:c>
      <x:c r="M75" s="37" t="n">
        <x:f>M66/365*'Assumptions'!$D$80*(1+'Assumptions'!$D$90)^(((M$7+M$8)/2-46304)/365)</x:f>
        <x:v>375784.1733696911</x:v>
      </x:c>
      <x:c r="N75" s="37" t="n">
        <x:f>N66/365*'Assumptions'!$D$80*(1+'Assumptions'!$D$90)^(((N$7+N$8)/2-46304)/365)</x:f>
        <x:v>369434.3892261896</x:v>
      </x:c>
      <x:c r="O75" s="37" t="n">
        <x:f>O66/365*'Assumptions'!$D$80*(1+'Assumptions'!$D$90)^(((O$7+O$8)/2-46304)/365)</x:f>
        <x:v>375377.7907839718</x:v>
      </x:c>
      <x:c r="P75" s="37" t="n">
        <x:f>P66/365*'Assumptions'!$D$80*(1+'Assumptions'!$D$90)^(((P$7+P$8)/2-46304)/365)</x:f>
        <x:v>381391.44093275425</x:v>
      </x:c>
      <x:c r="Q75" s="37" t="n">
        <x:f>Q66/365*'Assumptions'!$D$80*(1+'Assumptions'!$D$90)^(((Q$7+Q$8)/2-46304)/365)</x:f>
        <x:v>1532004.0830756617</x:v>
      </x:c>
      <x:c r="R75" s="37" t="n">
        <x:f>R66/365*'Assumptions'!$D$80*(1+'Assumptions'!$D$90)^(((R$7+R$8)/2-46304)/365)</x:f>
        <x:v>1562644.164737175</x:v>
      </x:c>
      <x:c r="S75" s="37" t="n">
        <x:f>S66/365*'Assumptions'!$D$80*(1+'Assumptions'!$D$90)^(((S$7+S$8)/2-46304)/365)</x:f>
        <x:v>1598307.245770916</x:v>
      </x:c>
      <x:c r="T75" s="37" t="n">
        <x:f>T66/365*'Assumptions'!$D$80*(1+'Assumptions'!$D$90)^(((T$7+T$8)/2-46304)/365)</x:f>
        <x:v>1625863.1958131867</x:v>
      </x:c>
      <x:c r="U75" s="37" t="n">
        <x:f>U66/365*'Assumptions'!$D$80*(1+'Assumptions'!$D$90)^(((U$7+U$8)/2-46304)/365)</x:f>
        <x:v>1658380.4597294508</x:v>
      </x:c>
      <x:c r="V75" s="37" t="n">
        <x:f>V66/365*'Assumptions'!$D$80*(1+'Assumptions'!$D$90)^(((V$7+V$8)/2-46304)/365)</x:f>
        <x:v>1342705.7772505393</x:v>
      </x:c>
      <x:c r="W75" s="37" t="n">
        <x:f>W66/365*'Assumptions'!$D$80*(1+'Assumptions'!$D$90)^(((W$7+W$8)/2-46304)/365)</x:f>
        <x:v>314573.27803047234</x:v>
      </x:c>
      <x:c r="X75" s="37" t="n">
        <x:f>X66/365*'Assumptions'!$D$80*(1+'Assumptions'!$D$90)^(((X$7+X$8)/2-46304)/365)</x:f>
        <x:v>319996.744361478</x:v>
      </x:c>
      <x:c r="Y75" s="37" t="n">
        <x:f>Y66/365*'Assumptions'!$D$80*(1+'Assumptions'!$D$90)^(((Y$7+Y$8)/2-46304)/365)</x:f>
        <x:v>244126.83132848542</x:v>
      </x:c>
      <x:c r="Z75" s="37" t="n">
        <x:f>Z66/365*'Assumptions'!$D$80*(1+'Assumptions'!$D$90)^(((Z$7+Z$8)/2-46304)/365)</x:f>
        <x:v>0</x:v>
      </x:c>
      <x:c r="AA75" s="37" t="n">
        <x:f>AA66/365*'Assumptions'!$D$80*(1+'Assumptions'!$D$90)^(((AA$7+AA$8)/2-46304)/365)</x:f>
        <x:v>0</x:v>
      </x:c>
      <x:c r="AB75" s="37" t="n">
        <x:f>AB66/365*'Assumptions'!$D$80*(1+'Assumptions'!$D$90)^(((AB$7+AB$8)/2-46304)/365)</x:f>
        <x:v>0</x:v>
      </x:c>
      <x:c r="AC75" s="37" t="n">
        <x:f>AC66/365*'Assumptions'!$D$80*(1+'Assumptions'!$D$90)^(((AC$7+AC$8)/2-46304)/365)</x:f>
        <x:v>0</x:v>
      </x:c>
      <x:c r="AD75" s="37" t="n">
        <x:f>AD66/365*'Assumptions'!$D$80*(1+'Assumptions'!$D$90)^(((AD$7+AD$8)/2-46304)/365)</x:f>
        <x:v>0</x:v>
      </x:c>
      <x:c r="AE75" s="37" t="n">
        <x:f>AE66/365*'Assumptions'!$D$80*(1+'Assumptions'!$D$90)^(((AE$7+AE$8)/2-46304)/365)</x:f>
        <x:v>0</x:v>
      </x:c>
      <x:c r="AF75" s="37" t="n">
        <x:f>AF66/365*'Assumptions'!$D$80*(1+'Assumptions'!$D$90)^(((AF$7+AF$8)/2-46304)/365)</x:f>
        <x:v>0</x:v>
      </x:c>
      <x:c r="AG75" s="37" t="n">
        <x:f>AG66/365*'Assumptions'!$D$80*(1+'Assumptions'!$D$90)^(((AG$7+AG$8)/2-46304)/365)</x:f>
        <x:v>0</x:v>
      </x:c>
      <x:c r="AH75" s="37" t="n">
        <x:f>AH66/365*'Assumptions'!$D$80*(1+'Assumptions'!$D$90)^(((AH$7+AH$8)/2-46304)/365)</x:f>
        <x:v>0</x:v>
      </x:c>
      <x:c r="AI75" s="37" t="n">
        <x:f>AI66/365*'Assumptions'!$D$80*(1+'Assumptions'!$D$90)^(((AI$7+AI$8)/2-46304)/365)</x:f>
        <x:v>0</x:v>
      </x:c>
      <x:c r="AJ75" s="37" t="n">
        <x:f>AJ66/365*'Assumptions'!$D$80*(1+'Assumptions'!$D$90)^(((AJ$7+AJ$8)/2-46304)/365)</x:f>
        <x:v>0</x:v>
      </x:c>
      <x:c r="AK75" s="37" t="n">
        <x:f>AK66/365*'Assumptions'!$D$80*(1+'Assumptions'!$D$90)^(((AK$7+AK$8)/2-46304)/365)</x:f>
        <x:v>0</x:v>
      </x:c>
      <x:c r="AL75" s="37" t="n">
        <x:f>AL66/365*'Assumptions'!$D$80*(1+'Assumptions'!$D$90)^(((AL$7+AL$8)/2-46304)/365)</x:f>
        <x:v>0</x:v>
      </x:c>
      <x:c r="AM75" s="37" t="n">
        <x:f>AM66/365*'Assumptions'!$D$80*(1+'Assumptions'!$D$90)^(((AM$7+AM$8)/2-46304)/365)</x:f>
        <x:v>0</x:v>
      </x:c>
      <x:c r="AN75" s="37" t="n">
        <x:f>AN66/365*'Assumptions'!$D$80*(1+'Assumptions'!$D$90)^(((AN$7+AN$8)/2-46304)/365)</x:f>
        <x:v>0</x:v>
      </x:c>
      <x:c r="AO75" s="37" t="n">
        <x:f>AO66/365*'Assumptions'!$D$80*(1+'Assumptions'!$D$90)^(((AO$7+AO$8)/2-46304)/365)</x:f>
        <x:v>0</x:v>
      </x:c>
      <x:c r="AP75" s="37" t="n">
        <x:f>AP66/365*'Assumptions'!$D$80*(1+'Assumptions'!$D$90)^(((AP$7+AP$8)/2-46304)/365)</x:f>
        <x:v>0</x:v>
      </x:c>
      <x:c r="AQ75" s="37" t="n">
        <x:f>AQ66/365*'Assumptions'!$D$80*(1+'Assumptions'!$D$90)^(((AQ$7+AQ$8)/2-46304)/365)</x:f>
        <x:v>0</x:v>
      </x:c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</x:row>
    <x:row r="78" ht="25" customHeight="1">
      <x:c r="A78" s="2"/>
      <x:c r="B78" s="2"/>
      <x:c r="C78" s="30" t="str">
        <x:v>Unlevered cash flow (USD millions)</x:v>
      </x:c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30"/>
      <x:c r="AI78" s="30"/>
      <x:c r="AJ78" s="30"/>
      <x:c r="AK78" s="30"/>
      <x:c r="AL78" s="30"/>
      <x:c r="AM78" s="30"/>
      <x:c r="AN78" s="30"/>
      <x:c r="AO78" s="30"/>
      <x:c r="AP78" s="30"/>
      <x:c r="AQ78" s="30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</x:row>
    <x:row r="80" ht="21" customHeight="1">
      <x:c r="A80" s="2"/>
      <x:c r="B80" s="2"/>
      <x:c r="C80" s="2" t="str">
        <x:v>Owned days</x:v>
      </x:c>
      <x:c r="D80" s="2"/>
      <x:c r="E80" s="45" t="n">
        <x:f>SUM(E11,E22,E33,E44,E55,E66)</x:f>
        <x:v>11208</x:v>
      </x:c>
      <x:c r="F80" s="45" t="n">
        <x:f>SUM(F11,F22,F33,F44,F55,F66)</x:f>
        <x:v>12420</x:v>
      </x:c>
      <x:c r="G80" s="45" t="n">
        <x:f>SUM(G11,G22,G33,G44,G55,G66)</x:f>
        <x:v>12558</x:v>
      </x:c>
      <x:c r="H80" s="45" t="n">
        <x:f>SUM(H11,H22,H33,H44,H55,H66)</x:f>
        <x:v>12696</x:v>
      </x:c>
      <x:c r="I80" s="45" t="n">
        <x:f>SUM(I11,I22,I33,I44,I55,I66)</x:f>
        <x:v>12696</x:v>
      </x:c>
      <x:c r="J80" s="45" t="n">
        <x:f>SUM(J11,J22,J33,J44,J55,J66)</x:f>
        <x:v>12558</x:v>
      </x:c>
      <x:c r="K80" s="45" t="n">
        <x:f>SUM(K11,K22,K33,K44,K55,K66)</x:f>
        <x:v>12558</x:v>
      </x:c>
      <x:c r="L80" s="45" t="n">
        <x:f>SUM(L11,L22,L33,L44,L55,L66)</x:f>
        <x:v>12696</x:v>
      </x:c>
      <x:c r="M80" s="45" t="n">
        <x:f>SUM(M11,M22,M33,M44,M55,M66)</x:f>
        <x:v>12696</x:v>
      </x:c>
      <x:c r="N80" s="45" t="n">
        <x:f>SUM(N11,N22,N33,N44,N55,N66)</x:f>
        <x:v>12420</x:v>
      </x:c>
      <x:c r="O80" s="45" t="n">
        <x:f>SUM(O11,O22,O33,O44,O55,O66)</x:f>
        <x:v>12558</x:v>
      </x:c>
      <x:c r="P80" s="45" t="n">
        <x:f>SUM(P11,P22,P33,P44,P55,P66)</x:f>
        <x:v>12696</x:v>
      </x:c>
      <x:c r="Q80" s="45" t="n">
        <x:f>SUM(Q11,Q22,Q33,Q44,Q55,Q66)</x:f>
        <x:v>50278</x:v>
      </x:c>
      <x:c r="R80" s="45" t="n">
        <x:f>SUM(R11,R22,R33,R44,R55,R66)</x:f>
        <x:v>49269</x:v>
      </x:c>
      <x:c r="S80" s="45" t="n">
        <x:f>SUM(S11,S22,S33,S44,S55,S66)</x:f>
        <x:v>46846</x:v>
      </x:c>
      <x:c r="T80" s="45" t="n">
        <x:f>SUM(T11,T22,T33,T44,T55,T66)</x:f>
        <x:v>45349</x:v>
      </x:c>
      <x:c r="U80" s="45" t="n">
        <x:f>SUM(U11,U22,U33,U44,U55,U66)</x:f>
        <x:v>44438</x:v>
      </x:c>
      <x:c r="V80" s="45" t="n">
        <x:f>SUM(V11,V22,V33,V44,V55,V66)</x:f>
        <x:v>42325</x:v>
      </x:c>
      <x:c r="W80" s="45" t="n">
        <x:f>SUM(W11,W22,W33,W44,W55,W66)</x:f>
        <x:v>36138</x:v>
      </x:c>
      <x:c r="X80" s="45" t="n">
        <x:f>SUM(X11,X22,X33,X44,X55,X66)</x:f>
        <x:v>33304</x:v>
      </x:c>
      <x:c r="Y80" s="45" t="n">
        <x:f>SUM(Y11,Y22,Y33,Y44,Y55,Y66)</x:f>
        <x:v>31105</x:v>
      </x:c>
      <x:c r="Z80" s="45" t="n">
        <x:f>SUM(Z11,Z22,Z33,Z44,Z55,Z66)</x:f>
        <x:v>26458</x:v>
      </x:c>
      <x:c r="AA80" s="45" t="n">
        <x:f>SUM(AA11,AA22,AA33,AA44,AA55,AA66)</x:f>
        <x:v>22128</x:v>
      </x:c>
      <x:c r="AB80" s="45" t="n">
        <x:f>SUM(AB11,AB22,AB33,AB44,AB55,AB66)</x:f>
        <x:v>12674</x:v>
      </x:c>
      <x:c r="AC80" s="45" t="n">
        <x:f>SUM(AC11,AC22,AC33,AC44,AC55,AC66)</x:f>
        <x:v>8389</x:v>
      </x:c>
      <x:c r="AD80" s="45" t="n">
        <x:f>SUM(AD11,AD22,AD33,AD44,AD55,AD66)</x:f>
        <x:v>5929</x:v>
      </x:c>
      <x:c r="AE80" s="45" t="n">
        <x:f>SUM(AE11,AE22,AE33,AE44,AE55,AE66)</x:f>
        <x:v>4848</x:v>
      </x:c>
      <x:c r="AF80" s="45" t="n">
        <x:f>SUM(AF11,AF22,AF33,AF44,AF55,AF66)</x:f>
        <x:v>3831</x:v>
      </x:c>
      <x:c r="AG80" s="45" t="n">
        <x:f>SUM(AG11,AG22,AG33,AG44,AG55,AG66)</x:f>
        <x:v>3193</x:v>
      </x:c>
      <x:c r="AH80" s="45" t="n">
        <x:f>SUM(AH11,AH22,AH33,AH44,AH55,AH66)</x:f>
        <x:v>2920</x:v>
      </x:c>
      <x:c r="AI80" s="45" t="n">
        <x:f>SUM(AI11,AI22,AI33,AI44,AI55,AI66)</x:f>
        <x:v>2928</x:v>
      </x:c>
      <x:c r="AJ80" s="45" t="n">
        <x:f>SUM(AJ11,AJ22,AJ33,AJ44,AJ55,AJ66)</x:f>
        <x:v>2920</x:v>
      </x:c>
      <x:c r="AK80" s="45" t="n">
        <x:f>SUM(AK11,AK22,AK33,AK44,AK55,AK66)</x:f>
        <x:v>2920</x:v>
      </x:c>
      <x:c r="AL80" s="45" t="n">
        <x:f>SUM(AL11,AL22,AL33,AL44,AL55,AL66)</x:f>
        <x:v>2184</x:v>
      </x:c>
      <x:c r="AM80" s="45" t="n">
        <x:f>SUM(AM11,AM22,AM33,AM44,AM55,AM66)</x:f>
        <x:v>0</x:v>
      </x:c>
      <x:c r="AN80" s="45" t="n">
        <x:f>SUM(AN11,AN22,AN33,AN44,AN55,AN66)</x:f>
        <x:v>0</x:v>
      </x:c>
      <x:c r="AO80" s="45" t="n">
        <x:f>SUM(AO11,AO22,AO33,AO44,AO55,AO66)</x:f>
        <x:v>0</x:v>
      </x:c>
      <x:c r="AP80" s="45" t="n">
        <x:f>SUM(AP11,AP22,AP33,AP44,AP55,AP66)</x:f>
        <x:v>0</x:v>
      </x:c>
      <x:c r="AQ80" s="45" t="n">
        <x:f>SUM(AQ11,AQ22,AQ33,AQ44,AQ55,AQ66)</x:f>
        <x:v>0</x:v>
      </x:c>
    </x:row>
    <x:row r="81" ht="21" customHeight="1">
      <x:c r="A81" s="2"/>
      <x:c r="B81" s="2"/>
      <x:c r="C81" s="2" t="str">
        <x:v>Available days</x:v>
      </x:c>
      <x:c r="D81" s="2"/>
      <x:c r="E81" s="45" t="n">
        <x:f>SUM(E12,E23,E34,E45,E56,E67)</x:f>
        <x:v>10647.6</x:v>
      </x:c>
      <x:c r="F81" s="45" t="n">
        <x:f>SUM(F12,F23,F34,F45,F56,F67)</x:f>
        <x:v>11799</x:v>
      </x:c>
      <x:c r="G81" s="45" t="n">
        <x:f>SUM(G12,G23,G34,G45,G56,G67)</x:f>
        <x:v>11930.1</x:v>
      </x:c>
      <x:c r="H81" s="45" t="n">
        <x:f>SUM(H12,H23,H34,H45,H56,H67)</x:f>
        <x:v>12061.199999999999</x:v>
      </x:c>
      <x:c r="I81" s="45" t="n">
        <x:f>SUM(I12,I23,I34,I45,I56,I67)</x:f>
        <x:v>12061.199999999999</x:v>
      </x:c>
      <x:c r="J81" s="45" t="n">
        <x:f>SUM(J12,J23,J34,J45,J56,J67)</x:f>
        <x:v>11930.1</x:v>
      </x:c>
      <x:c r="K81" s="45" t="n">
        <x:f>SUM(K12,K23,K34,K45,K56,K67)</x:f>
        <x:v>11930.1</x:v>
      </x:c>
      <x:c r="L81" s="45" t="n">
        <x:f>SUM(L12,L23,L34,L45,L56,L67)</x:f>
        <x:v>12061.199999999999</x:v>
      </x:c>
      <x:c r="M81" s="45" t="n">
        <x:f>SUM(M12,M23,M34,M45,M56,M67)</x:f>
        <x:v>12061.199999999999</x:v>
      </x:c>
      <x:c r="N81" s="45" t="n">
        <x:f>SUM(N12,N23,N34,N45,N56,N67)</x:f>
        <x:v>11799</x:v>
      </x:c>
      <x:c r="O81" s="45" t="n">
        <x:f>SUM(O12,O23,O34,O45,O56,O67)</x:f>
        <x:v>11930.1</x:v>
      </x:c>
      <x:c r="P81" s="45" t="n">
        <x:f>SUM(P12,P23,P34,P45,P56,P67)</x:f>
        <x:v>12061.199999999999</x:v>
      </x:c>
      <x:c r="Q81" s="45" t="n">
        <x:f>SUM(Q12,Q23,Q34,Q45,Q56,Q67)</x:f>
        <x:v>47764.1</x:v>
      </x:c>
      <x:c r="R81" s="45" t="n">
        <x:f>SUM(R12,R23,R34,R45,R56,R67)</x:f>
        <x:v>46805.549999999996</x:v>
      </x:c>
      <x:c r="S81" s="45" t="n">
        <x:f>SUM(S12,S23,S34,S45,S56,S67)</x:f>
        <x:v>44503.7</x:v>
      </x:c>
      <x:c r="T81" s="45" t="n">
        <x:f>SUM(T12,T23,T34,T45,T56,T67)</x:f>
        <x:v>43081.55</x:v>
      </x:c>
      <x:c r="U81" s="45" t="n">
        <x:f>SUM(U12,U23,U34,U45,U56,U67)</x:f>
        <x:v>42216.1</x:v>
      </x:c>
      <x:c r="V81" s="45" t="n">
        <x:f>SUM(V12,V23,V34,V45,V56,V67)</x:f>
        <x:v>40208.75</x:v>
      </x:c>
      <x:c r="W81" s="45" t="n">
        <x:f>SUM(W12,W23,W34,W45,W56,W67)</x:f>
        <x:v>34331.1</x:v>
      </x:c>
      <x:c r="X81" s="45" t="n">
        <x:f>SUM(X12,X23,X34,X45,X56,X67)</x:f>
        <x:v>31638.8</x:v>
      </x:c>
      <x:c r="Y81" s="45" t="n">
        <x:f>SUM(Y12,Y23,Y34,Y45,Y56,Y67)</x:f>
        <x:v>29549.75</x:v>
      </x:c>
      <x:c r="Z81" s="45" t="n">
        <x:f>SUM(Z12,Z23,Z34,Z45,Z56,Z67)</x:f>
        <x:v>25135.1</x:v>
      </x:c>
      <x:c r="AA81" s="45" t="n">
        <x:f>SUM(AA12,AA23,AA34,AA45,AA56,AA67)</x:f>
        <x:v>21021.6</x:v>
      </x:c>
      <x:c r="AB81" s="45" t="n">
        <x:f>SUM(AB12,AB23,AB34,AB45,AB56,AB67)</x:f>
        <x:v>12040.3</x:v>
      </x:c>
      <x:c r="AC81" s="45" t="n">
        <x:f>SUM(AC12,AC23,AC34,AC45,AC56,AC67)</x:f>
        <x:v>7969.55</x:v>
      </x:c>
      <x:c r="AD81" s="45" t="n">
        <x:f>SUM(AD12,AD23,AD34,AD45,AD56,AD67)</x:f>
        <x:v>5632.55</x:v>
      </x:c>
      <x:c r="AE81" s="45" t="n">
        <x:f>SUM(AE12,AE23,AE34,AE45,AE56,AE67)</x:f>
        <x:v>4605.599999999999</x:v>
      </x:c>
      <x:c r="AF81" s="45" t="n">
        <x:f>SUM(AF12,AF23,AF34,AF45,AF56,AF67)</x:f>
        <x:v>3639.45</x:v>
      </x:c>
      <x:c r="AG81" s="45" t="n">
        <x:f>SUM(AG12,AG23,AG34,AG45,AG56,AG67)</x:f>
        <x:v>3033.35</x:v>
      </x:c>
      <x:c r="AH81" s="45" t="n">
        <x:f>SUM(AH12,AH23,AH34,AH45,AH56,AH67)</x:f>
        <x:v>2774</x:v>
      </x:c>
      <x:c r="AI81" s="45" t="n">
        <x:f>SUM(AI12,AI23,AI34,AI45,AI56,AI67)</x:f>
        <x:v>2781.6</x:v>
      </x:c>
      <x:c r="AJ81" s="45" t="n">
        <x:f>SUM(AJ12,AJ23,AJ34,AJ45,AJ56,AJ67)</x:f>
        <x:v>2774</x:v>
      </x:c>
      <x:c r="AK81" s="45" t="n">
        <x:f>SUM(AK12,AK23,AK34,AK45,AK56,AK67)</x:f>
        <x:v>2774</x:v>
      </x:c>
      <x:c r="AL81" s="45" t="n">
        <x:f>SUM(AL12,AL23,AL34,AL45,AL56,AL67)</x:f>
        <x:v>2074.7999999999997</x:v>
      </x:c>
      <x:c r="AM81" s="45" t="n">
        <x:f>SUM(AM12,AM23,AM34,AM45,AM56,AM67)</x:f>
        <x:v>0</x:v>
      </x:c>
      <x:c r="AN81" s="45" t="n">
        <x:f>SUM(AN12,AN23,AN34,AN45,AN56,AN67)</x:f>
        <x:v>0</x:v>
      </x:c>
      <x:c r="AO81" s="45" t="n">
        <x:f>SUM(AO12,AO23,AO34,AO45,AO56,AO67)</x:f>
        <x:v>0</x:v>
      </x:c>
      <x:c r="AP81" s="45" t="n">
        <x:f>SUM(AP12,AP23,AP34,AP45,AP56,AP67)</x:f>
        <x:v>0</x:v>
      </x:c>
      <x:c r="AQ81" s="45" t="n">
        <x:f>SUM(AQ12,AQ23,AQ34,AQ45,AQ56,AQ67)</x:f>
        <x:v>0</x:v>
      </x:c>
    </x:row>
    <x:row r="82" ht="21" customHeight="1">
      <x:c r="A82" s="2"/>
      <x:c r="B82" s="2"/>
      <x:c r="C82" s="2" t="str">
        <x:v>TCE cash revenue</x:v>
      </x:c>
      <x:c r="D82" s="2"/>
      <x:c r="E82" s="39" t="n">
        <x:f>SUM(E16,E27,E38,E49,E60,E71)</x:f>
        <x:v>196674894.70890114</x:v>
      </x:c>
      <x:c r="F82" s="39" t="n">
        <x:f>SUM(F16,F27,F38,F49,F60,F71)</x:f>
        <x:v>218603216.24316984</x:v>
      </x:c>
      <x:c r="G82" s="39" t="n">
        <x:f>SUM(G16,G27,G38,G49,G60,G71)</x:f>
        <x:v>222120069.93585736</x:v>
      </x:c>
      <x:c r="H82" s="39" t="n">
        <x:f>SUM(H16,H27,H38,H49,H60,H71)</x:f>
        <x:v>225678491.40993452</x:v>
      </x:c>
      <x:c r="I82" s="39" t="n">
        <x:f>SUM(I16,I27,I38,I49,I60,I71)</x:f>
        <x:v>226807747.01467162</x:v>
      </x:c>
      <x:c r="J82" s="39" t="n">
        <x:f>SUM(J16,J27,J38,J49,J60,J71)</x:f>
        <x:v>225458899.60052916</x:v>
      </x:c>
      <x:c r="K82" s="39" t="n">
        <x:f>SUM(K16,K27,K38,K49,K60,K71)</x:f>
        <x:v>226574763.53700456</x:v>
      </x:c>
      <x:c r="L82" s="39" t="n">
        <x:f>SUM(L16,L27,L38,L49,L60,L71)</x:f>
        <x:v>230204550.36485347</x:v>
      </x:c>
      <x:c r="M82" s="39" t="n">
        <x:f>SUM(M16,M27,M38,M49,M60,M71)</x:f>
        <x:v>231356453.5750858</x:v>
      </x:c>
      <x:c r="N82" s="39" t="n">
        <x:f>SUM(N16,N27,N38,N49,N60,N71)</x:f>
        <x:v>227447125.7094798</x:v>
      </x:c>
      <x:c r="O82" s="39" t="n">
        <x:f>SUM(O16,O27,O38,O49,O60,O71)</x:f>
        <x:v>231106258.80774468</x:v>
      </x:c>
      <x:c r="P82" s="39" t="n">
        <x:f>SUM(P16,P27,P38,P49,P60,P71)</x:f>
        <x:v>234808641.37215048</x:v>
      </x:c>
      <x:c r="Q82" s="39" t="n">
        <x:f>SUM(Q16,Q27,Q38,Q49,Q60,Q71)</x:f>
        <x:v>941606616.8293937</x:v>
      </x:c>
      <x:c r="R82" s="39" t="n">
        <x:f>SUM(R16,R27,R38,R49,R60,R71)</x:f>
        <x:v>941963323.0891733</x:v>
      </x:c>
      <x:c r="S82" s="39" t="n">
        <x:f>SUM(S16,S27,S38,S49,S60,S71)</x:f>
        <x:v>914702473.8240489</x:v>
      </x:c>
      <x:c r="T82" s="39" t="n">
        <x:f>SUM(T16,T27,T38,T49,T60,T71)</x:f>
        <x:v>902573280.9659361</x:v>
      </x:c>
      <x:c r="U82" s="39" t="n">
        <x:f>SUM(U16,U27,U38,U49,U60,U71)</x:f>
        <x:v>900747491.1714668</x:v>
      </x:c>
      <x:c r="V82" s="39" t="n">
        <x:f>SUM(V16,V27,V38,V49,V60,V71)</x:f>
        <x:v>873715569.598851</x:v>
      </x:c>
      <x:c r="W82" s="39" t="n">
        <x:f>SUM(W16,W27,W38,W49,W60,W71)</x:f>
        <x:v>762934738.9731079</x:v>
      </x:c>
      <x:c r="X82" s="39" t="n">
        <x:f>SUM(X16,X27,X38,X49,X60,X71)</x:f>
        <x:v>721135032.4217783</x:v>
      </x:c>
      <x:c r="Y82" s="39" t="n">
        <x:f>SUM(Y16,Y27,Y38,Y49,Y60,Y71)</x:f>
        <x:v>692124911.5699904</x:v>
      </x:c>
      <x:c r="Z82" s="39" t="n">
        <x:f>SUM(Z16,Z27,Z38,Z49,Z60,Z71)</x:f>
        <x:v>611402606.4366152</x:v>
      </x:c>
      <x:c r="AA82" s="39" t="n">
        <x:f>SUM(AA16,AA27,AA38,AA49,AA60,AA71)</x:f>
        <x:v>526362475.08949184</x:v>
      </x:c>
      <x:c r="AB82" s="39" t="n">
        <x:f>SUM(AB16,AB27,AB38,AB49,AB60,AB71)</x:f>
        <x:v>324350405.97477937</x:v>
      </x:c>
      <x:c r="AC82" s="39" t="n">
        <x:f>SUM(AC16,AC27,AC38,AC49,AC60,AC71)</x:f>
        <x:v>221244002.74918252</x:v>
      </x:c>
      <x:c r="AD82" s="39" t="n">
        <x:f>SUM(AD16,AD27,AD38,AD49,AD60,AD71)</x:f>
        <x:v>154926998.37749848</x:v>
      </x:c>
      <x:c r="AE82" s="39" t="n">
        <x:f>SUM(AE16,AE27,AE38,AE49,AE60,AE71)</x:f>
        <x:v>120144251.78478032</x:v>
      </x:c>
      <x:c r="AF82" s="39" t="n">
        <x:f>SUM(AF16,AF27,AF38,AF49,AF60,AF71)</x:f>
        <x:v>88854838.67585222</x:v>
      </x:c>
      <x:c r="AG82" s="39" t="n">
        <x:f>SUM(AG16,AG27,AG38,AG49,AG60,AG71)</x:f>
        <x:v>75856417.30852704</x:v>
      </x:c>
      <x:c r="AH82" s="39" t="n">
        <x:f>SUM(AH16,AH27,AH38,AH49,AH60,AH71)</x:f>
        <x:v>70758143.84958251</x:v>
      </x:c>
      <x:c r="AI82" s="39" t="n">
        <x:f>SUM(AI16,AI27,AI38,AI49,AI60,AI71)</x:f>
        <x:v>72373005.04117644</x:v>
      </x:c>
      <x:c r="AJ82" s="39" t="n">
        <x:f>SUM(AJ16,AJ27,AJ38,AJ49,AJ60,AJ71)</x:f>
        <x:v>73620766.95716634</x:v>
      </x:c>
      <x:c r="AK82" s="39" t="n">
        <x:f>SUM(AK16,AK27,AK38,AK49,AK60,AK71)</x:f>
        <x:v>75093182.29630968</x:v>
      </x:c>
      <x:c r="AL82" s="39" t="n">
        <x:f>SUM(AL16,AL27,AL38,AL49,AL60,AL71)</x:f>
        <x:v>57288897.37597367</x:v>
      </x:c>
      <x:c r="AM82" s="39" t="n">
        <x:f>SUM(AM16,AM27,AM38,AM49,AM60,AM71)</x:f>
        <x:v>0</x:v>
      </x:c>
      <x:c r="AN82" s="39" t="n">
        <x:f>SUM(AN16,AN27,AN38,AN49,AN60,AN71)</x:f>
        <x:v>0</x:v>
      </x:c>
      <x:c r="AO82" s="39" t="n">
        <x:f>SUM(AO16,AO27,AO38,AO49,AO60,AO71)</x:f>
        <x:v>0</x:v>
      </x:c>
      <x:c r="AP82" s="39" t="n">
        <x:f>SUM(AP16,AP27,AP38,AP49,AP60,AP71)</x:f>
        <x:v>0</x:v>
      </x:c>
      <x:c r="AQ82" s="39" t="n">
        <x:f>SUM(AQ16,AQ27,AQ38,AQ49,AQ60,AQ71)</x:f>
        <x:v>0</x:v>
      </x:c>
    </x:row>
    <x:row r="83" ht="21" customHeight="1">
      <x:c r="A83" s="2"/>
      <x:c r="B83" s="2"/>
      <x:c r="C83" s="2" t="str">
        <x:v>Vessel operating cost</x:v>
      </x:c>
      <x:c r="D83" s="2"/>
      <x:c r="E83" s="39" t="n">
        <x:f>SUM(E17,E28,E39,E50,E61,E72)</x:f>
        <x:v>59537912.116976775</x:v>
      </x:c>
      <x:c r="F83" s="39" t="n">
        <x:f>SUM(F17,F28,F39,F50,F61,F72)</x:f>
        <x:v>66286516.59802011</x:v>
      </x:c>
      <x:c r="G83" s="39" t="n">
        <x:f>SUM(G17,G28,G39,G50,G61,G72)</x:f>
        <x:v>67352923.5094986</x:v>
      </x:c>
      <x:c r="H83" s="39" t="n">
        <x:f>SUM(H17,H28,H39,H50,H61,H72)</x:f>
        <x:v>68431934.91728036</x:v>
      </x:c>
      <x:c r="I83" s="39" t="n">
        <x:f>SUM(I17,I28,I39,I50,I61,I72)</x:f>
        <x:v>68774356.32202102</x:v>
      </x:c>
      <x:c r="J83" s="39" t="n">
        <x:f>SUM(J17,J28,J39,J50,J61,J72)</x:f>
        <x:v>68365348.63200475</x:v>
      </x:c>
      <x:c r="K83" s="39" t="n">
        <x:f>SUM(K17,K28,K39,K50,K61,K72)</x:f>
        <x:v>68703709.31405449</x:v>
      </x:c>
      <x:c r="L83" s="39" t="n">
        <x:f>SUM(L17,L28,L39,L50,L61,L72)</x:f>
        <x:v>69804360.66286097</x:v>
      </x:c>
      <x:c r="M83" s="39" t="n">
        <x:f>SUM(M17,M28,M39,M50,M61,M72)</x:f>
        <x:v>70153649.44541687</x:v>
      </x:c>
      <x:c r="N83" s="39" t="n">
        <x:f>SUM(N17,N28,N39,N50,N61,N72)</x:f>
        <x:v>68968233.55399495</x:v>
      </x:c>
      <x:c r="O83" s="39" t="n">
        <x:f>SUM(O17,O28,O39,O50,O61,O72)</x:f>
        <x:v>70077783.50033559</x:v>
      </x:c>
      <x:c r="P83" s="39" t="n">
        <x:f>SUM(P17,P28,P39,P50,P61,P72)</x:f>
        <x:v>71200447.87611818</x:v>
      </x:c>
      <x:c r="Q83" s="39" t="n">
        <x:f>SUM(Q17,Q28,Q39,Q50,Q61,Q72)</x:f>
        <x:v>285481354.42731047</x:v>
      </x:c>
      <x:c r="R83" s="39" t="n">
        <x:f>SUM(R17,R28,R39,R50,R61,R72)</x:f>
        <x:v>285347238.71881825</x:v>
      </x:c>
      <x:c r="S83" s="39" t="n">
        <x:f>SUM(S17,S28,S39,S50,S61,S72)</x:f>
        <x:v>276747937.9033417</x:v>
      </x:c>
      <x:c r="T83" s="39" t="n">
        <x:f>SUM(T17,T28,T39,T50,T61,T72)</x:f>
        <x:v>273269742.2061124</x:v>
      </x:c>
      <x:c r="U83" s="39" t="n">
        <x:f>SUM(U17,U28,U39,U50,U61,U72)</x:f>
        <x:v>273135725.60008657</x:v>
      </x:c>
      <x:c r="V83" s="39" t="n">
        <x:f>SUM(V17,V28,V39,V50,V61,V72)</x:f>
        <x:v>265351252.9309181</x:v>
      </x:c>
      <x:c r="W83" s="39" t="n">
        <x:f>SUM(W17,W28,W39,W50,W61,W72)</x:f>
        <x:v>231100157.89695716</x:v>
      </x:c>
      <x:c r="X83" s="39" t="n">
        <x:f>SUM(X17,X28,X39,X50,X61,X72)</x:f>
        <x:v>217242343.628222</x:v>
      </x:c>
      <x:c r="Y83" s="39" t="n">
        <x:f>SUM(Y17,Y28,Y39,Y50,Y61,Y72)</x:f>
        <x:v>206956208.27909446</x:v>
      </x:c>
      <x:c r="Z83" s="39" t="n">
        <x:f>SUM(Z17,Z28,Z39,Z50,Z61,Z72)</x:f>
        <x:v>179558280.2064378</x:v>
      </x:c>
      <x:c r="AA83" s="39" t="n">
        <x:f>SUM(AA17,AA28,AA39,AA50,AA61,AA72)</x:f>
        <x:v>153180167.67557436</x:v>
      </x:c>
      <x:c r="AB83" s="39" t="n">
        <x:f>SUM(AB17,AB28,AB39,AB50,AB61,AB72)</x:f>
        <x:v>89492374.9241915</x:v>
      </x:c>
      <x:c r="AC83" s="39" t="n">
        <x:f>SUM(AC17,AC28,AC39,AC50,AC61,AC72)</x:f>
        <x:v>60420274.885894224</x:v>
      </x:c>
      <x:c r="AD83" s="39" t="n">
        <x:f>SUM(AD17,AD28,AD39,AD50,AD61,AD72)</x:f>
        <x:v>43556615.32893506</x:v>
      </x:c>
      <x:c r="AE83" s="39" t="n">
        <x:f>SUM(AE17,AE28,AE39,AE50,AE61,AE72)</x:f>
        <x:v>36328480.91756763</x:v>
      </x:c>
      <x:c r="AF83" s="39" t="n">
        <x:f>SUM(AF17,AF28,AF39,AF50,AF61,AF72)</x:f>
        <x:v>29282539.09471325</x:v>
      </x:c>
      <x:c r="AG83" s="39" t="n">
        <x:f>SUM(AG17,AG28,AG39,AG50,AG61,AG72)</x:f>
        <x:v>24894056.45419154</x:v>
      </x:c>
      <x:c r="AH83" s="39" t="n">
        <x:f>SUM(AH17,AH28,AH39,AH50,AH61,AH72)</x:f>
        <x:v>23220938.848469805</x:v>
      </x:c>
      <x:c r="AI83" s="39" t="n">
        <x:f>SUM(AI17,AI28,AI39,AI50,AI61,AI72)</x:f>
        <x:v>23750893.295246758</x:v>
      </x:c>
      <x:c r="AJ83" s="39" t="n">
        <x:f>SUM(AJ17,AJ28,AJ39,AJ50,AJ61,AJ72)</x:f>
        <x:v>24160375.533930752</x:v>
      </x:c>
      <x:c r="AK83" s="39" t="n">
        <x:f>SUM(AK17,AK28,AK39,AK50,AK61,AK72)</x:f>
        <x:v>24643583.044609368</x:v>
      </x:c>
      <x:c r="AL83" s="39" t="n">
        <x:f>SUM(AL17,AL28,AL39,AL50,AL61,AL72)</x:f>
        <x:v>18800690.7797313</x:v>
      </x:c>
      <x:c r="AM83" s="39" t="n">
        <x:f>SUM(AM17,AM28,AM39,AM50,AM61,AM72)</x:f>
        <x:v>0</x:v>
      </x:c>
      <x:c r="AN83" s="39" t="n">
        <x:f>SUM(AN17,AN28,AN39,AN50,AN61,AN72)</x:f>
        <x:v>0</x:v>
      </x:c>
      <x:c r="AO83" s="39" t="n">
        <x:f>SUM(AO17,AO28,AO39,AO50,AO61,AO72)</x:f>
        <x:v>0</x:v>
      </x:c>
      <x:c r="AP83" s="39" t="n">
        <x:f>SUM(AP17,AP28,AP39,AP50,AP61,AP72)</x:f>
        <x:v>0</x:v>
      </x:c>
      <x:c r="AQ83" s="39" t="n">
        <x:f>SUM(AQ17,AQ28,AQ39,AQ50,AQ61,AQ72)</x:f>
        <x:v>0</x:v>
      </x:c>
    </x:row>
    <x:row r="84" ht="21" customHeight="1">
      <x:c r="A84" s="2"/>
      <x:c r="B84" s="2"/>
      <x:c r="C84" s="2" t="str">
        <x:v>Management fees</x:v>
      </x:c>
      <x:c r="D84" s="2"/>
      <x:c r="E84" s="39" t="n">
        <x:f>SUM(E18,E29,E40,E51,E62,E73)</x:f>
        <x:v>5167441.4290206265</x:v>
      </x:c>
      <x:c r="F84" s="39" t="n">
        <x:f>SUM(F18,F29,F40,F51,F62,F73)</x:f>
        <x:v>5753169.36511118</x:v>
      </x:c>
      <x:c r="G84" s="39" t="n">
        <x:f>SUM(G18,G29,G40,G51,G62,G73)</x:f>
        <x:v>5845725.436673461</x:v>
      </x:c>
      <x:c r="H84" s="39" t="n">
        <x:f>SUM(H18,H29,H40,H51,H62,H73)</x:f>
        <x:v>5939375.4833865985</x:v>
      </x:c>
      <x:c r="I84" s="39" t="n">
        <x:f>SUM(I18,I29,I40,I51,I62,I73)</x:f>
        <x:v>5969095.077005599</x:v>
      </x:c>
      <x:c r="J84" s="39" t="n">
        <x:f>SUM(J18,J29,J40,J51,J62,J73)</x:f>
        <x:v>5933596.296362675</x:v>
      </x:c>
      <x:c r="K84" s="39" t="n">
        <x:f>SUM(K18,K29,K40,K51,K62,K73)</x:f>
        <x:v>5962963.44989907</x:v>
      </x:c>
      <x:c r="L84" s="39" t="n">
        <x:f>SUM(L18,L29,L40,L51,L62,L73)</x:f>
        <x:v>6058491.680172839</x:v>
      </x:c>
      <x:c r="M84" s="39" t="n">
        <x:f>SUM(M18,M29,M40,M51,M62,M73)</x:f>
        <x:v>6088807.3103569355</x:v>
      </x:c>
      <x:c r="N84" s="39" t="n">
        <x:f>SUM(N18,N29,N40,N51,N62,N73)</x:f>
        <x:v>5985922.157516543</x:v>
      </x:c>
      <x:c r="O84" s="39" t="n">
        <x:f>SUM(O18,O29,O40,O51,O62,O73)</x:f>
        <x:v>6082222.718897051</x:v>
      </x:c>
      <x:c r="P84" s="39" t="n">
        <x:f>SUM(P18,P29,P40,P51,P62,P73)</x:f>
        <x:v>6179661.513776296</x:v>
      </x:c>
      <x:c r="Q84" s="39" t="n">
        <x:f>SUM(Q18,Q29,Q40,Q51,Q62,Q73)</x:f>
        <x:v>24777626.98803072</x:v>
      </x:c>
      <x:c r="R84" s="39" t="n">
        <x:f>SUM(R18,R29,R40,R51,R62,R73)</x:f>
        <x:v>24765986.756727625</x:v>
      </x:c>
      <x:c r="S84" s="39" t="n">
        <x:f>SUM(S18,S29,S40,S51,S62,S73)</x:f>
        <x:v>24019632.346327774</x:v>
      </x:c>
      <x:c r="T84" s="39" t="n">
        <x:f>SUM(T18,T29,T40,T51,T62,T73)</x:f>
        <x:v>23717751.210341826</x:v>
      </x:c>
      <x:c r="U84" s="39" t="n">
        <x:f>SUM(U18,U29,U40,U51,U62,U73)</x:f>
        <x:v>23706119.580384873</x:v>
      </x:c>
      <x:c r="V84" s="39" t="n">
        <x:f>SUM(V18,V29,V40,V51,V62,V73)</x:f>
        <x:v>23030486.103438176</x:v>
      </x:c>
      <x:c r="W84" s="39" t="n">
        <x:f>SUM(W18,W29,W40,W51,W62,W73)</x:f>
        <x:v>20057749.553320814</x:v>
      </x:c>
      <x:c r="X84" s="39" t="n">
        <x:f>SUM(X18,X29,X40,X51,X62,X73)</x:f>
        <x:v>18854995.8620721</x:v>
      </x:c>
      <x:c r="Y84" s="39" t="n">
        <x:f>SUM(Y18,Y29,Y40,Y51,Y62,Y73)</x:f>
        <x:v>17962236.94497801</x:v>
      </x:c>
      <x:c r="Z84" s="39" t="n">
        <x:f>SUM(Z18,Z29,Z40,Z51,Z62,Z73)</x:f>
        <x:v>15584303.565087054</x:v>
      </x:c>
      <x:c r="AA84" s="39" t="n">
        <x:f>SUM(AA18,AA29,AA40,AA51,AA62,AA73)</x:f>
        <x:v>13294882.477502681</x:v>
      </x:c>
      <x:c r="AB84" s="39" t="n">
        <x:f>SUM(AB18,AB29,AB40,AB51,AB62,AB73)</x:f>
        <x:v>7767262.7292694505</x:v>
      </x:c>
      <x:c r="AC84" s="39" t="n">
        <x:f>SUM(AC18,AC29,AC40,AC51,AC62,AC73)</x:f>
        <x:v>5244023.858021008</x:v>
      </x:c>
      <x:c r="AD84" s="39" t="n">
        <x:f>SUM(AD18,AD29,AD40,AD51,AD62,AD73)</x:f>
        <x:v>3780385.481379269</x:v>
      </x:c>
      <x:c r="AE84" s="39" t="n">
        <x:f>SUM(AE18,AE29,AE40,AE51,AE62,AE73)</x:f>
        <x:v>3153037.966430398</x:v>
      </x:c>
      <x:c r="AF84" s="39" t="n">
        <x:f>SUM(AF18,AF29,AF40,AF51,AF62,AF73)</x:f>
        <x:v>2541503.3931260556</x:v>
      </x:c>
      <x:c r="AG84" s="39" t="n">
        <x:f>SUM(AG18,AG29,AG40,AG51,AG62,AG73)</x:f>
        <x:v>2160616.2205524733</x:v>
      </x:c>
      <x:c r="AH84" s="39" t="n">
        <x:f>SUM(AH18,AH29,AH40,AH51,AH62,AH73)</x:f>
        <x:v>2015402.2396785112</x:v>
      </x:c>
      <x:c r="AI84" s="39" t="n">
        <x:f>SUM(AI18,AI29,AI40,AI51,AI62,AI73)</x:f>
        <x:v>2061398.2860025489</x:v>
      </x:c>
      <x:c r="AJ84" s="39" t="n">
        <x:f>SUM(AJ18,AJ29,AJ40,AJ51,AJ62,AJ73)</x:f>
        <x:v>2096938.2538883295</x:v>
      </x:c>
      <x:c r="AK84" s="39" t="n">
        <x:f>SUM(AK18,AK29,AK40,AK51,AK62,AK73)</x:f>
        <x:v>2138877.018966096</x:v>
      </x:c>
      <x:c r="AL84" s="39" t="n">
        <x:f>SUM(AL18,AL29,AL40,AL51,AL62,AL73)</x:f>
        <x:v>1631758.0676747921</x:v>
      </x:c>
      <x:c r="AM84" s="39" t="n">
        <x:f>SUM(AM18,AM29,AM40,AM51,AM62,AM73)</x:f>
        <x:v>0</x:v>
      </x:c>
      <x:c r="AN84" s="39" t="n">
        <x:f>SUM(AN18,AN29,AN40,AN51,AN62,AN73)</x:f>
        <x:v>0</x:v>
      </x:c>
      <x:c r="AO84" s="39" t="n">
        <x:f>SUM(AO18,AO29,AO40,AO51,AO62,AO73)</x:f>
        <x:v>0</x:v>
      </x:c>
      <x:c r="AP84" s="39" t="n">
        <x:f>SUM(AP18,AP29,AP40,AP51,AP62,AP73)</x:f>
        <x:v>0</x:v>
      </x:c>
      <x:c r="AQ84" s="39" t="n">
        <x:f>SUM(AQ18,AQ29,AQ40,AQ51,AQ62,AQ73)</x:f>
        <x:v>0</x:v>
      </x:c>
    </x:row>
    <x:row r="85" ht="21" customHeight="1">
      <x:c r="A85" s="2"/>
      <x:c r="B85" s="2"/>
      <x:c r="C85" s="2" t="str">
        <x:v>Corporate overhead</x:v>
      </x:c>
      <x:c r="D85" s="2"/>
      <x:c r="E85" s="37" t="n">
        <x:f>IF(E80=0,0,'Assumptions'!$D$70*(E$8-E$7+1)/365*('Assumptions'!$D$120+(1-'Assumptions'!$D$120)*E80/((E$8-E$7+1)*138))*(1+'Assumptions'!$D$90)^(((E$7+E$8)/2-46304)/365))</x:f>
        <x:v>11212238.059597677</x:v>
      </x:c>
      <x:c r="F85" s="37" t="n">
        <x:f>IF(F80=0,0,'Assumptions'!$D$70*(F$8-F$7+1)/365*('Assumptions'!$D$120+(1-'Assumptions'!$D$120)*F80/((F$8-F$7+1)*138))*(1+'Assumptions'!$D$90)^(((F$7+F$8)/2-46304)/365))</x:f>
        <x:v>12415018.785144668</x:v>
      </x:c>
      <x:c r="G85" s="37" t="n">
        <x:f>IF(G80=0,0,'Assumptions'!$D$70*(G$8-G$7+1)/365*('Assumptions'!$D$120+(1-'Assumptions'!$D$120)*G80/((G$8-G$7+1)*138))*(1+'Assumptions'!$D$90)^(((G$7+G$8)/2-46304)/365))</x:f>
        <x:v>12614749.628128937</x:v>
      </x:c>
      <x:c r="H85" s="37" t="n">
        <x:f>IF(H80=0,0,'Assumptions'!$D$70*(H$8-H$7+1)/365*('Assumptions'!$D$120+(1-'Assumptions'!$D$120)*H80/((H$8-H$7+1)*138))*(1+'Assumptions'!$D$90)^(((H$7+H$8)/2-46304)/365))</x:f>
        <x:v>12816841.208506182</x:v>
      </x:c>
      <x:c r="I85" s="37" t="n">
        <x:f>IF(I80=0,0,'Assumptions'!$D$70*(I$8-I$7+1)/365*('Assumptions'!$D$120+(1-'Assumptions'!$D$120)*I80/((I$8-I$7+1)*138))*(1+'Assumptions'!$D$90)^(((I$7+I$8)/2-46304)/365))</x:f>
        <x:v>12880974.434846481</x:v>
      </x:c>
      <x:c r="J85" s="37" t="n">
        <x:f>IF(J80=0,0,'Assumptions'!$D$70*(J$8-J$7+1)/365*('Assumptions'!$D$120+(1-'Assumptions'!$D$120)*J80/((J$8-J$7+1)*138))*(1+'Assumptions'!$D$90)^(((J$7+J$8)/2-46304)/365))</x:f>
        <x:v>12804370.04506365</x:v>
      </x:c>
      <x:c r="K85" s="37" t="n">
        <x:f>IF(K80=0,0,'Assumptions'!$D$70*(K$8-K$7+1)/365*('Assumptions'!$D$120+(1-'Assumptions'!$D$120)*K80/((K$8-K$7+1)*138))*(1+'Assumptions'!$D$90)^(((K$7+K$8)/2-46304)/365))</x:f>
        <x:v>12867742.725352112</x:v>
      </x:c>
      <x:c r="L85" s="37" t="n">
        <x:f>IF(L80=0,0,'Assumptions'!$D$70*(L$8-L$7+1)/365*('Assumptions'!$D$120+(1-'Assumptions'!$D$120)*L80/((L$8-L$7+1)*138))*(1+'Assumptions'!$D$90)^(((L$7+L$8)/2-46304)/365))</x:f>
        <x:v>13073887.321155708</x:v>
      </x:c>
      <x:c r="M85" s="37" t="n">
        <x:f>IF(M80=0,0,'Assumptions'!$D$70*(M$8-M$7+1)/365*('Assumptions'!$D$120+(1-'Assumptions'!$D$120)*M80/((M$8-M$7+1)*138))*(1+'Assumptions'!$D$90)^(((M$7+M$8)/2-46304)/365))</x:f>
        <x:v>13139306.761178011</x:v>
      </x:c>
      <x:c r="N85" s="37" t="n">
        <x:f>IF(N80=0,0,'Assumptions'!$D$70*(N$8-N$7+1)/365*('Assumptions'!$D$120+(1-'Assumptions'!$D$120)*N80/((N$8-N$7+1)*138))*(1+'Assumptions'!$D$90)^(((N$7+N$8)/2-46304)/365))</x:f>
        <x:v>12917286.336580053</x:v>
      </x:c>
      <x:c r="O85" s="37" t="n">
        <x:f>IF(O80=0,0,'Assumptions'!$D$70*(O$8-O$7+1)/365*('Assumptions'!$D$120+(1-'Assumptions'!$D$120)*O80/((O$8-O$7+1)*138))*(1+'Assumptions'!$D$90)^(((O$7+O$8)/2-46304)/365))</x:f>
        <x:v>13125097.579859154</x:v>
      </x:c>
      <x:c r="P85" s="37" t="n">
        <x:f>IF(P80=0,0,'Assumptions'!$D$70*(P$8-P$7+1)/365*('Assumptions'!$D$120+(1-'Assumptions'!$D$120)*P80/((P$8-P$7+1)*138))*(1+'Assumptions'!$D$90)^(((P$7+P$8)/2-46304)/365))</x:f>
        <x:v>13335365.06757882</x:v>
      </x:c>
      <x:c r="Q85" s="37" t="n">
        <x:f>IF(Q80=0,0,'Assumptions'!$D$70*(Q$8-Q$7+1)/365*('Assumptions'!$D$120+(1-'Assumptions'!$D$120)*Q80/((Q$8-Q$7+1)*138))*(1+'Assumptions'!$D$90)^(((Q$7+Q$8)/2-46304)/365))</x:f>
        <x:v>53493197.4596301</x:v>
      </x:c>
      <x:c r="R85" s="37" t="n">
        <x:f>IF(R80=0,0,'Assumptions'!$D$70*(R$8-R$7+1)/365*('Assumptions'!$D$120+(1-'Assumptions'!$D$120)*R80/((R$8-R$7+1)*138))*(1+'Assumptions'!$D$90)^(((R$7+R$8)/2-46304)/365))</x:f>
        <x:v>53742191.11357756</x:v>
      </x:c>
      <x:c r="S85" s="37" t="n">
        <x:f>IF(S80=0,0,'Assumptions'!$D$70*(S$8-S$7+1)/365*('Assumptions'!$D$120+(1-'Assumptions'!$D$120)*S80/((S$8-S$7+1)*138))*(1+'Assumptions'!$D$90)^(((S$7+S$8)/2-46304)/365))</x:f>
        <x:v>52845987.92276596</x:v>
      </x:c>
      <x:c r="T85" s="37" t="n">
        <x:f>IF(T80=0,0,'Assumptions'!$D$70*(T$8-T$7+1)/365*('Assumptions'!$D$120+(1-'Assumptions'!$D$120)*T80/((T$8-T$7+1)*138))*(1+'Assumptions'!$D$90)^(((T$7+T$8)/2-46304)/365))</x:f>
        <x:v>52598279.61440356</x:v>
      </x:c>
      <x:c r="U85" s="37" t="n">
        <x:f>IF(U80=0,0,'Assumptions'!$D$70*(U$8-U$7+1)/365*('Assumptions'!$D$120+(1-'Assumptions'!$D$120)*U80/((U$8-U$7+1)*138))*(1+'Assumptions'!$D$90)^(((U$7+U$8)/2-46304)/365))</x:f>
        <x:v>52863696.12506341</x:v>
      </x:c>
      <x:c r="V85" s="37" t="n">
        <x:f>IF(V80=0,0,'Assumptions'!$D$70*(V$8-V$7+1)/365*('Assumptions'!$D$120+(1-'Assumptions'!$D$120)*V80/((V$8-V$7+1)*138))*(1+'Assumptions'!$D$90)^(((V$7+V$8)/2-46304)/365))</x:f>
        <x:v>52060138.24331656</x:v>
      </x:c>
      <x:c r="W85" s="37" t="n">
        <x:f>IF(W80=0,0,'Assumptions'!$D$70*(W$8-W$7+1)/365*('Assumptions'!$D$120+(1-'Assumptions'!$D$120)*W80/((W$8-W$7+1)*138))*(1+'Assumptions'!$D$90)^(((W$7+W$8)/2-46304)/365))</x:f>
        <x:v>47586344.36734196</x:v>
      </x:c>
      <x:c r="X85" s="37" t="n">
        <x:f>IF(X80=0,0,'Assumptions'!$D$70*(X$8-X$7+1)/365*('Assumptions'!$D$120+(1-'Assumptions'!$D$120)*X80/((X$8-X$7+1)*138))*(1+'Assumptions'!$D$90)^(((X$7+X$8)/2-46304)/365))</x:f>
        <x:v>45900481.376402736</x:v>
      </x:c>
      <x:c r="Y85" s="37" t="n">
        <x:f>IF(Y80=0,0,'Assumptions'!$D$70*(Y$8-Y$7+1)/365*('Assumptions'!$D$120+(1-'Assumptions'!$D$120)*Y80/((Y$8-Y$7+1)*138))*(1+'Assumptions'!$D$90)^(((Y$7+Y$8)/2-46304)/365))</x:f>
        <x:v>44763277.57083214</x:v>
      </x:c>
      <x:c r="Z85" s="37" t="n">
        <x:f>IF(Z80=0,0,'Assumptions'!$D$70*(Z$8-Z$7+1)/365*('Assumptions'!$D$120+(1-'Assumptions'!$D$120)*Z80/((Z$8-Z$7+1)*138))*(1+'Assumptions'!$D$90)^(((Z$7+Z$8)/2-46304)/365))</x:f>
        <x:v>41228534.772962004</x:v>
      </x:c>
      <x:c r="AA85" s="37" t="n">
        <x:f>IF(AA80=0,0,'Assumptions'!$D$70*(AA$8-AA$7+1)/365*('Assumptions'!$D$120+(1-'Assumptions'!$D$120)*AA80/((AA$8-AA$7+1)*138))*(1+'Assumptions'!$D$90)^(((AA$7+AA$8)/2-46304)/365))</x:f>
        <x:v>37888495.44557017</x:v>
      </x:c>
      <x:c r="AB85" s="37" t="n">
        <x:f>IF(AB80=0,0,'Assumptions'!$D$70*(AB$8-AB$7+1)/365*('Assumptions'!$D$120+(1-'Assumptions'!$D$120)*AB80/((AB$8-AB$7+1)*138))*(1+'Assumptions'!$D$90)^(((AB$7+AB$8)/2-46304)/365))</x:f>
        <x:v>29224526.52428215</x:v>
      </x:c>
      <x:c r="AC85" s="37" t="n">
        <x:f>IF(AC80=0,0,'Assumptions'!$D$70*(AC$8-AC$7+1)/365*('Assumptions'!$D$120+(1-'Assumptions'!$D$120)*AC80/((AC$8-AC$7+1)*138))*(1+'Assumptions'!$D$90)^(((AC$7+AC$8)/2-46304)/365))</x:f>
        <x:v>25473840.63338305</x:v>
      </x:c>
      <x:c r="AD85" s="37" t="n">
        <x:f>IF(AD80=0,0,'Assumptions'!$D$70*(AD$8-AD$7+1)/365*('Assumptions'!$D$120+(1-'Assumptions'!$D$120)*AD80/((AD$8-AD$7+1)*138))*(1+'Assumptions'!$D$90)^(((AD$7+AD$8)/2-46304)/365))</x:f>
        <x:v>23444735.257827006</x:v>
      </x:c>
      <x:c r="AE85" s="37" t="n">
        <x:f>IF(AE80=0,0,'Assumptions'!$D$70*(AE$8-AE$7+1)/365*('Assumptions'!$D$120+(1-'Assumptions'!$D$120)*AE80/((AE$8-AE$7+1)*138))*(1+'Assumptions'!$D$90)^(((AE$7+AE$8)/2-46304)/365))</x:f>
        <x:v>22824825.862470478</x:v>
      </x:c>
      <x:c r="AF85" s="37" t="n">
        <x:f>IF(AF80=0,0,'Assumptions'!$D$70*(AF$8-AF$7+1)/365*('Assumptions'!$D$120+(1-'Assumptions'!$D$120)*AF80/((AF$8-AF$7+1)*138))*(1+'Assumptions'!$D$90)^(((AF$7+AF$8)/2-46304)/365))</x:f>
        <x:v>22140618.52781585</x:v>
      </x:c>
      <x:c r="AG85" s="37" t="n">
        <x:f>IF(AG80=0,0,'Assumptions'!$D$70*(AG$8-AG$7+1)/365*('Assumptions'!$D$120+(1-'Assumptions'!$D$120)*AG80/((AG$8-AG$7+1)*138))*(1+'Assumptions'!$D$90)^(((AG$7+AG$8)/2-46304)/365))</x:f>
        <x:v>21884714.59396591</x:v>
      </x:c>
      <x:c r="AH85" s="37" t="n">
        <x:f>IF(AH80=0,0,'Assumptions'!$D$70*(AH$8-AH$7+1)/365*('Assumptions'!$D$120+(1-'Assumptions'!$D$120)*AH80/((AH$8-AH$7+1)*138))*(1+'Assumptions'!$D$90)^(((AH$7+AH$8)/2-46304)/365))</x:f>
        <x:v>22017448.78847067</x:v>
      </x:c>
      <x:c r="AI85" s="37" t="n">
        <x:f>IF(AI80=0,0,'Assumptions'!$D$70*(AI$8-AI$7+1)/365*('Assumptions'!$D$120+(1-'Assumptions'!$D$120)*AI80/((AI$8-AI$7+1)*138))*(1+'Assumptions'!$D$90)^(((AI$7+AI$8)/2-46304)/365))</x:f>
        <x:v>22519936.864783</x:v>
      </x:c>
      <x:c r="AJ85" s="37" t="n">
        <x:f>IF(AJ80=0,0,'Assumptions'!$D$70*(AJ$8-AJ$7+1)/365*('Assumptions'!$D$120+(1-'Assumptions'!$D$120)*AJ80/((AJ$8-AJ$7+1)*138))*(1+'Assumptions'!$D$90)^(((AJ$7+AJ$8)/2-46304)/365))</x:f>
        <x:v>22908196.541915193</x:v>
      </x:c>
      <x:c r="AK85" s="37" t="n">
        <x:f>IF(AK80=0,0,'Assumptions'!$D$70*(AK$8-AK$7+1)/365*('Assumptions'!$D$120+(1-'Assumptions'!$D$120)*AK80/((AK$8-AK$7+1)*138))*(1+'Assumptions'!$D$90)^(((AK$7+AK$8)/2-46304)/365))</x:f>
        <x:v>23366360.472753495</x:v>
      </x:c>
      <x:c r="AL85" s="37" t="n">
        <x:f>IF(AL80=0,0,'Assumptions'!$D$70*(AL$8-AL$7+1)/365*('Assumptions'!$D$120+(1-'Assumptions'!$D$120)*AL80/((AL$8-AL$7+1)*138))*(1+'Assumptions'!$D$90)^(((AL$7+AL$8)/2-46304)/365))</x:f>
        <x:v>22943703.20051879</x:v>
      </x:c>
      <x:c r="AM85" s="37" t="n">
        <x:f>IF(AM80=0,0,'Assumptions'!$D$70*(AM$8-AM$7+1)/365*('Assumptions'!$D$120+(1-'Assumptions'!$D$120)*AM80/((AM$8-AM$7+1)*138))*(1+'Assumptions'!$D$90)^(((AM$7+AM$8)/2-46304)/365))</x:f>
        <x:v>0</x:v>
      </x:c>
      <x:c r="AN85" s="37" t="n">
        <x:f>IF(AN80=0,0,'Assumptions'!$D$70*(AN$8-AN$7+1)/365*('Assumptions'!$D$120+(1-'Assumptions'!$D$120)*AN80/((AN$8-AN$7+1)*138))*(1+'Assumptions'!$D$90)^(((AN$7+AN$8)/2-46304)/365))</x:f>
        <x:v>0</x:v>
      </x:c>
      <x:c r="AO85" s="37" t="n">
        <x:f>IF(AO80=0,0,'Assumptions'!$D$70*(AO$8-AO$7+1)/365*('Assumptions'!$D$120+(1-'Assumptions'!$D$120)*AO80/((AO$8-AO$7+1)*138))*(1+'Assumptions'!$D$90)^(((AO$7+AO$8)/2-46304)/365))</x:f>
        <x:v>0</x:v>
      </x:c>
      <x:c r="AP85" s="37" t="n">
        <x:f>IF(AP80=0,0,'Assumptions'!$D$70*(AP$8-AP$7+1)/365*('Assumptions'!$D$120+(1-'Assumptions'!$D$120)*AP80/((AP$8-AP$7+1)*138))*(1+'Assumptions'!$D$90)^(((AP$7+AP$8)/2-46304)/365))</x:f>
        <x:v>0</x:v>
      </x:c>
      <x:c r="AQ85" s="37" t="n">
        <x:f>IF(AQ80=0,0,'Assumptions'!$D$70*(AQ$8-AQ$7+1)/365*('Assumptions'!$D$120+(1-'Assumptions'!$D$120)*AQ80/((AQ$8-AQ$7+1)*138))*(1+'Assumptions'!$D$90)^(((AQ$7+AQ$8)/2-46304)/365))</x:f>
        <x:v>0</x:v>
      </x:c>
    </x:row>
    <x:row r="86" ht="21" customHeight="1">
      <x:c r="A86" s="2"/>
      <x:c r="B86" s="2"/>
      <x:c r="C86" s="2" t="str">
        <x:v>Drydock cash budget</x:v>
      </x:c>
      <x:c r="D86" s="2"/>
      <x:c r="E86" s="39" t="n">
        <x:f>SUM(E19,E30,E41,E52,E63,E74)</x:f>
        <x:v>17850601.720261842</x:v>
      </x:c>
      <x:c r="F86" s="39" t="n">
        <x:f>SUM(F19,F30,F41,F52,F63,F74)</x:f>
        <x:v>19873962.07125958</x:v>
      </x:c>
      <x:c r="G86" s="39" t="n">
        <x:f>SUM(G19,G30,G41,G52,G63,G74)</x:f>
        <x:v>20193691.2047088</x:v>
      </x:c>
      <x:c r="H86" s="39" t="n">
        <x:f>SUM(H19,H30,H41,H52,H63,H74)</x:f>
        <x:v>20517199.406576693</x:v>
      </x:c>
      <x:c r="I86" s="39" t="n">
        <x:f>SUM(I19,I30,I41,I52,I63,I74)</x:f>
        <x:v>20619863.875302248</x:v>
      </x:c>
      <x:c r="J86" s="39" t="n">
        <x:f>SUM(J19,J30,J41,J52,J63,J74)</x:f>
        <x:v>20497235.56813789</x:v>
      </x:c>
      <x:c r="K86" s="39" t="n">
        <x:f>SUM(K19,K30,K41,K52,K63,K74)</x:f>
        <x:v>20598682.554743662</x:v>
      </x:c>
      <x:c r="L86" s="39" t="n">
        <x:f>SUM(L19,L30,L41,L52,L63,L74)</x:f>
        <x:v>20928678.823706057</x:v>
      </x:c>
      <x:c r="M86" s="39" t="n">
        <x:f>SUM(M19,M30,M41,M52,M63,M74)</x:f>
        <x:v>21033402.26329376</x:v>
      </x:c>
      <x:c r="N86" s="39" t="n">
        <x:f>SUM(N19,N30,N41,N52,N63,N74)</x:f>
        <x:v>20677991.96759735</x:v>
      </x:c>
      <x:c r="O86" s="39" t="n">
        <x:f>SUM(O19,O30,O41,O52,O63,O74)</x:f>
        <x:v>21010656.205838535</x:v>
      </x:c>
      <x:c r="P86" s="39" t="n">
        <x:f>SUM(P19,P30,P41,P52,P63,P74)</x:f>
        <x:v>21347252.400180176</x:v>
      </x:c>
      <x:c r="Q86" s="39" t="n">
        <x:f>SUM(Q19,Q30,Q41,Q52,Q63,Q74)</x:f>
        <x:v>85592755.52744384</x:v>
      </x:c>
      <x:c r="R86" s="39" t="n">
        <x:f>SUM(R19,R30,R41,R52,R63,R74)</x:f>
        <x:v>85552545.07982145</x:v>
      </x:c>
      <x:c r="S86" s="39" t="n">
        <x:f>SUM(S19,S30,S41,S52,S63,S74)</x:f>
        <x:v>82974310.6662901</x:v>
      </x:c>
      <x:c r="T86" s="39" t="n">
        <x:f>SUM(T19,T30,T41,T52,T63,T74)</x:f>
        <x:v>81931481.25073414</x:v>
      </x:c>
      <x:c r="U86" s="39" t="n">
        <x:f>SUM(U19,U30,U41,U52,U63,U74)</x:f>
        <x:v>81891300.51592155</x:v>
      </x:c>
      <x:c r="V86" s="39" t="n">
        <x:f>SUM(V19,V30,V41,V52,V63,V74)</x:f>
        <x:v>79557367.12325278</x:v>
      </x:c>
      <x:c r="W86" s="39" t="n">
        <x:f>SUM(W19,W30,W41,W52,W63,W74)</x:f>
        <x:v>69288235.50283544</x:v>
      </x:c>
      <x:c r="X86" s="39" t="n">
        <x:f>SUM(X19,X30,X41,X52,X63,X74)</x:f>
        <x:v>65133398.45147002</x:v>
      </x:c>
      <x:c r="Y86" s="39" t="n">
        <x:f>SUM(Y19,Y30,Y41,Y52,Y63,Y74)</x:f>
        <x:v>62049418.86889366</x:v>
      </x:c>
      <x:c r="Z86" s="39" t="n">
        <x:f>SUM(Z19,Z30,Z41,Z52,Z63,Z74)</x:f>
        <x:v>53834997.42555385</x:v>
      </x:c>
      <x:c r="AA86" s="39" t="n">
        <x:f>SUM(AA19,AA30,AA41,AA52,AA63,AA74)</x:f>
        <x:v>45926336.1343154</x:v>
      </x:c>
      <x:c r="AB86" s="39" t="n">
        <x:f>SUM(AB19,AB30,AB41,AB52,AB63,AB74)</x:f>
        <x:v>26831521.04214581</x:v>
      </x:c>
      <x:c r="AC86" s="39" t="n">
        <x:f>SUM(AC19,AC30,AC41,AC52,AC63,AC74)</x:f>
        <x:v>18115150.909185138</x:v>
      </x:c>
      <x:c r="AD86" s="39" t="n">
        <x:f>SUM(AD19,AD30,AD41,AD52,AD63,AD74)</x:f>
        <x:v>13059104.104824157</x:v>
      </x:c>
      <x:c r="AE86" s="39" t="n">
        <x:f>SUM(AE19,AE30,AE41,AE52,AE63,AE74)</x:f>
        <x:v>10891971.533827463</x:v>
      </x:c>
      <x:c r="AF86" s="39" t="n">
        <x:f>SUM(AF19,AF30,AF41,AF52,AF63,AF74)</x:f>
        <x:v>8779463.776135273</x:v>
      </x:c>
      <x:c r="AG86" s="39" t="n">
        <x:f>SUM(AG19,AG30,AG41,AG52,AG63,AG74)</x:f>
        <x:v>7463712.97153326</x:v>
      </x:c>
      <x:c r="AH86" s="39" t="n">
        <x:f>SUM(AH19,AH30,AH41,AH52,AH63,AH74)</x:f>
        <x:v>6962080.399127674</x:v>
      </x:c>
      <x:c r="AI86" s="39" t="n">
        <x:f>SUM(AI19,AI30,AI41,AI52,AI63,AI74)</x:f>
        <x:v>7120970.850991533</x:v>
      </x:c>
      <x:c r="AJ86" s="39" t="n">
        <x:f>SUM(AJ19,AJ30,AJ41,AJ52,AJ63,AJ74)</x:f>
        <x:v>7243741.436898339</x:v>
      </x:c>
      <x:c r="AK86" s="39" t="n">
        <x:f>SUM(AK19,AK30,AK41,AK52,AK63,AK74)</x:f>
        <x:v>7388616.265636306</x:v>
      </x:c>
      <x:c r="AL86" s="39" t="n">
        <x:f>SUM(AL19,AL30,AL41,AL52,AL63,AL74)</x:f>
        <x:v>5636805.7132303715</x:v>
      </x:c>
      <x:c r="AM86" s="39" t="n">
        <x:f>SUM(AM19,AM30,AM41,AM52,AM63,AM74)</x:f>
        <x:v>0</x:v>
      </x:c>
      <x:c r="AN86" s="39" t="n">
        <x:f>SUM(AN19,AN30,AN41,AN52,AN63,AN74)</x:f>
        <x:v>0</x:v>
      </x:c>
      <x:c r="AO86" s="39" t="n">
        <x:f>SUM(AO19,AO30,AO41,AO52,AO63,AO74)</x:f>
        <x:v>0</x:v>
      </x:c>
      <x:c r="AP86" s="39" t="n">
        <x:f>SUM(AP19,AP30,AP41,AP52,AP63,AP74)</x:f>
        <x:v>0</x:v>
      </x:c>
      <x:c r="AQ86" s="39" t="n">
        <x:f>SUM(AQ19,AQ30,AQ41,AQ52,AQ63,AQ74)</x:f>
        <x:v>0</x:v>
      </x:c>
    </x:row>
    <x:row r="87" ht="21" customHeight="1">
      <x:c r="A87" s="2"/>
      <x:c r="B87" s="2"/>
      <x:c r="C87" s="2" t="str">
        <x:v>Operating cash before tax and capex</x:v>
      </x:c>
      <x:c r="D87" s="2"/>
      <x:c r="E87" s="39" t="n">
        <x:f>E82-SUM(E83:E86)</x:f>
        <x:v>102906701.38304421</x:v>
      </x:c>
      <x:c r="F87" s="39" t="n">
        <x:f>F82-SUM(F83:F86)</x:f>
        <x:v>114274549.42363432</x:v>
      </x:c>
      <x:c r="G87" s="39" t="n">
        <x:f>G82-SUM(G83:G86)</x:f>
        <x:v>116112980.15684757</x:v>
      </x:c>
      <x:c r="H87" s="39" t="n">
        <x:f>H82-SUM(H83:H86)</x:f>
        <x:v>117973140.3941847</x:v>
      </x:c>
      <x:c r="I87" s="39" t="n">
        <x:f>I82-SUM(I83:I86)</x:f>
        <x:v>118563457.30549628</x:v>
      </x:c>
      <x:c r="J87" s="39" t="n">
        <x:f>J82-SUM(J83:J86)</x:f>
        <x:v>117858349.0589602</x:v>
      </x:c>
      <x:c r="K87" s="39" t="n">
        <x:f>K82-SUM(K83:K86)</x:f>
        <x:v>118441665.49295522</x:v>
      </x:c>
      <x:c r="L87" s="39" t="n">
        <x:f>L82-SUM(L83:L86)</x:f>
        <x:v>120339131.87695788</x:v>
      </x:c>
      <x:c r="M87" s="39" t="n">
        <x:f>M82-SUM(M83:M86)</x:f>
        <x:v>120941287.79484022</x:v>
      </x:c>
      <x:c r="N87" s="39" t="n">
        <x:f>N82-SUM(N83:N86)</x:f>
        <x:v>118897691.69379091</x:v>
      </x:c>
      <x:c r="O87" s="39" t="n">
        <x:f>O82-SUM(O83:O86)</x:f>
        <x:v>120810498.80281436</x:v>
      </x:c>
      <x:c r="P87" s="39" t="n">
        <x:f>P82-SUM(P83:P86)</x:f>
        <x:v>122745914.514497</x:v>
      </x:c>
      <x:c r="Q87" s="39" t="n">
        <x:f>Q82-SUM(Q83:Q86)</x:f>
        <x:v>492261682.42697865</x:v>
      </x:c>
      <x:c r="R87" s="39" t="n">
        <x:f>R82-SUM(R83:R86)</x:f>
        <x:v>492555361.4202284</x:v>
      </x:c>
      <x:c r="S87" s="39" t="n">
        <x:f>S82-SUM(S83:S86)</x:f>
        <x:v>478114604.9853233</x:v>
      </x:c>
      <x:c r="T87" s="39" t="n">
        <x:f>T82-SUM(T83:T86)</x:f>
        <x:v>471056026.6843442</x:v>
      </x:c>
      <x:c r="U87" s="39" t="n">
        <x:f>U82-SUM(U83:U86)</x:f>
        <x:v>469150649.35001045</x:v>
      </x:c>
      <x:c r="V87" s="39" t="n">
        <x:f>V82-SUM(V83:V86)</x:f>
        <x:v>453716325.1979253</x:v>
      </x:c>
      <x:c r="W87" s="39" t="n">
        <x:f>W82-SUM(W83:W86)</x:f>
        <x:v>394902251.65265256</x:v>
      </x:c>
      <x:c r="X87" s="39" t="n">
        <x:f>X82-SUM(X83:X86)</x:f>
        <x:v>374003813.10361147</x:v>
      </x:c>
      <x:c r="Y87" s="39" t="n">
        <x:f>Y82-SUM(Y83:Y86)</x:f>
        <x:v>360393769.9061921</x:v>
      </x:c>
      <x:c r="Z87" s="39" t="n">
        <x:f>Z82-SUM(Z83:Z86)</x:f>
        <x:v>321196490.46657455</x:v>
      </x:c>
      <x:c r="AA87" s="39" t="n">
        <x:f>AA82-SUM(AA83:AA86)</x:f>
        <x:v>276072593.35652924</x:v>
      </x:c>
      <x:c r="AB87" s="39" t="n">
        <x:f>AB82-SUM(AB83:AB86)</x:f>
        <x:v>171034720.75489044</x:v>
      </x:c>
      <x:c r="AC87" s="39" t="n">
        <x:f>AC82-SUM(AC83:AC86)</x:f>
        <x:v>111990712.4626991</x:v>
      </x:c>
      <x:c r="AD87" s="39" t="n">
        <x:f>AD82-SUM(AD83:AD86)</x:f>
        <x:v>71086158.20453298</x:v>
      </x:c>
      <x:c r="AE87" s="39" t="n">
        <x:f>AE82-SUM(AE83:AE86)</x:f>
        <x:v>46945935.504484355</x:v>
      </x:c>
      <x:c r="AF87" s="39" t="n">
        <x:f>AF82-SUM(AF83:AF86)</x:f>
        <x:v>26110713.8840618</x:v>
      </x:c>
      <x:c r="AG87" s="39" t="n">
        <x:f>AG82-SUM(AG83:AG86)</x:f>
        <x:v>19453317.06828385</x:v>
      </x:c>
      <x:c r="AH87" s="39" t="n">
        <x:f>AH82-SUM(AH83:AH86)</x:f>
        <x:v>16542273.57383585</x:v>
      </x:c>
      <x:c r="AI87" s="39" t="n">
        <x:f>AI82-SUM(AI83:AI86)</x:f>
        <x:v>16919805.744152598</x:v>
      </x:c>
      <x:c r="AJ87" s="39" t="n">
        <x:f>AJ82-SUM(AJ83:AJ86)</x:f>
        <x:v>17211515.190533735</x:v>
      </x:c>
      <x:c r="AK87" s="39" t="n">
        <x:f>AK82-SUM(AK83:AK86)</x:f>
        <x:v>17555745.494344413</x:v>
      </x:c>
      <x:c r="AL87" s="39" t="n">
        <x:f>AL82-SUM(AL83:AL86)</x:f>
        <x:v>8275939.614818417</x:v>
      </x:c>
      <x:c r="AM87" s="39" t="n">
        <x:f>AM82-SUM(AM83:AM86)</x:f>
        <x:v>0</x:v>
      </x:c>
      <x:c r="AN87" s="39" t="n">
        <x:f>AN82-SUM(AN83:AN86)</x:f>
        <x:v>0</x:v>
      </x:c>
      <x:c r="AO87" s="39" t="n">
        <x:f>AO82-SUM(AO83:AO86)</x:f>
        <x:v>0</x:v>
      </x:c>
      <x:c r="AP87" s="39" t="n">
        <x:f>AP82-SUM(AP83:AP86)</x:f>
        <x:v>0</x:v>
      </x:c>
      <x:c r="AQ87" s="39" t="n">
        <x:f>AQ82-SUM(AQ83:AQ86)</x:f>
        <x:v>0</x:v>
      </x:c>
    </x:row>
    <x:row r="88" ht="21" customHeight="1">
      <x:c r="A88" s="2"/>
      <x:c r="B88" s="2"/>
      <x:c r="C88" s="2" t="str">
        <x:v>Cash taxes</x:v>
      </x:c>
      <x:c r="D88" s="2"/>
      <x:c r="E88" s="37" t="n">
        <x:f>E82*'Assumptions'!$D$95</x:f>
        <x:v>983374.4735445057</x:v>
      </x:c>
      <x:c r="F88" s="37" t="n">
        <x:f>F82*'Assumptions'!$D$95</x:f>
        <x:v>1093016.0812158491</x:v>
      </x:c>
      <x:c r="G88" s="37" t="n">
        <x:f>G82*'Assumptions'!$D$95</x:f>
        <x:v>1110600.3496792868</x:v>
      </x:c>
      <x:c r="H88" s="37" t="n">
        <x:f>H82*'Assumptions'!$D$95</x:f>
        <x:v>1128392.4570496727</x:v>
      </x:c>
      <x:c r="I88" s="37" t="n">
        <x:f>I82*'Assumptions'!$D$95</x:f>
        <x:v>1134038.735073358</x:v>
      </x:c>
      <x:c r="J88" s="37" t="n">
        <x:f>J82*'Assumptions'!$D$95</x:f>
        <x:v>1127294.4980026458</x:v>
      </x:c>
      <x:c r="K88" s="37" t="n">
        <x:f>K82*'Assumptions'!$D$95</x:f>
        <x:v>1132873.8176850227</x:v>
      </x:c>
      <x:c r="L88" s="37" t="n">
        <x:f>L82*'Assumptions'!$D$95</x:f>
        <x:v>1151022.7518242674</x:v>
      </x:c>
      <x:c r="M88" s="37" t="n">
        <x:f>M82*'Assumptions'!$D$95</x:f>
        <x:v>1156782.267875429</x:v>
      </x:c>
      <x:c r="N88" s="37" t="n">
        <x:f>N82*'Assumptions'!$D$95</x:f>
        <x:v>1137235.628547399</x:v>
      </x:c>
      <x:c r="O88" s="37" t="n">
        <x:f>O82*'Assumptions'!$D$95</x:f>
        <x:v>1155531.2940387235</x:v>
      </x:c>
      <x:c r="P88" s="37" t="n">
        <x:f>P82*'Assumptions'!$D$95</x:f>
        <x:v>1174043.2068607525</x:v>
      </x:c>
      <x:c r="Q88" s="37" t="n">
        <x:f>Q82*'Assumptions'!$D$95</x:f>
        <x:v>4708033.084146969</x:v>
      </x:c>
      <x:c r="R88" s="37" t="n">
        <x:f>R82*'Assumptions'!$D$95</x:f>
        <x:v>4709816.615445866</x:v>
      </x:c>
      <x:c r="S88" s="37" t="n">
        <x:f>S82*'Assumptions'!$D$95</x:f>
        <x:v>4573512.369120245</x:v>
      </x:c>
      <x:c r="T88" s="37" t="n">
        <x:f>T82*'Assumptions'!$D$95</x:f>
        <x:v>4512866.40482968</x:v>
      </x:c>
      <x:c r="U88" s="37" t="n">
        <x:f>U82*'Assumptions'!$D$95</x:f>
        <x:v>4503737.455857335</x:v>
      </x:c>
      <x:c r="V88" s="37" t="n">
        <x:f>V82*'Assumptions'!$D$95</x:f>
        <x:v>4368577.847994255</x:v>
      </x:c>
      <x:c r="W88" s="37" t="n">
        <x:f>W82*'Assumptions'!$D$95</x:f>
        <x:v>3814673.6948655397</x:v>
      </x:c>
      <x:c r="X88" s="37" t="n">
        <x:f>X82*'Assumptions'!$D$95</x:f>
        <x:v>3605675.1621088916</x:v>
      </x:c>
      <x:c r="Y88" s="37" t="n">
        <x:f>Y82*'Assumptions'!$D$95</x:f>
        <x:v>3460624.557849952</x:v>
      </x:c>
      <x:c r="Z88" s="37" t="n">
        <x:f>Z82*'Assumptions'!$D$95</x:f>
        <x:v>3057013.0321830763</x:v>
      </x:c>
      <x:c r="AA88" s="37" t="n">
        <x:f>AA82*'Assumptions'!$D$95</x:f>
        <x:v>2631812.375447459</x:v>
      </x:c>
      <x:c r="AB88" s="37" t="n">
        <x:f>AB82*'Assumptions'!$D$95</x:f>
        <x:v>1621752.0298738969</x:v>
      </x:c>
      <x:c r="AC88" s="37" t="n">
        <x:f>AC82*'Assumptions'!$D$95</x:f>
        <x:v>1106220.0137459126</x:v>
      </x:c>
      <x:c r="AD88" s="37" t="n">
        <x:f>AD82*'Assumptions'!$D$95</x:f>
        <x:v>774634.9918874924</x:v>
      </x:c>
      <x:c r="AE88" s="37" t="n">
        <x:f>AE82*'Assumptions'!$D$95</x:f>
        <x:v>600721.2589239016</x:v>
      </x:c>
      <x:c r="AF88" s="37" t="n">
        <x:f>AF82*'Assumptions'!$D$95</x:f>
        <x:v>444274.1933792611</x:v>
      </x:c>
      <x:c r="AG88" s="37" t="n">
        <x:f>AG82*'Assumptions'!$D$95</x:f>
        <x:v>379282.08654263517</x:v>
      </x:c>
      <x:c r="AH88" s="37" t="n">
        <x:f>AH82*'Assumptions'!$D$95</x:f>
        <x:v>353790.7192479125</x:v>
      </x:c>
      <x:c r="AI88" s="37" t="n">
        <x:f>AI82*'Assumptions'!$D$95</x:f>
        <x:v>361865.0252058822</x:v>
      </x:c>
      <x:c r="AJ88" s="37" t="n">
        <x:f>AJ82*'Assumptions'!$D$95</x:f>
        <x:v>368103.83478583174</x:v>
      </x:c>
      <x:c r="AK88" s="37" t="n">
        <x:f>AK82*'Assumptions'!$D$95</x:f>
        <x:v>375465.9114815484</x:v>
      </x:c>
      <x:c r="AL88" s="37" t="n">
        <x:f>AL82*'Assumptions'!$D$95</x:f>
        <x:v>286444.4868798684</x:v>
      </x:c>
      <x:c r="AM88" s="37" t="n">
        <x:f>AM82*'Assumptions'!$D$95</x:f>
        <x:v>0</x:v>
      </x:c>
      <x:c r="AN88" s="37" t="n">
        <x:f>AN82*'Assumptions'!$D$95</x:f>
        <x:v>0</x:v>
      </x:c>
      <x:c r="AO88" s="37" t="n">
        <x:f>AO82*'Assumptions'!$D$95</x:f>
        <x:v>0</x:v>
      </x:c>
      <x:c r="AP88" s="37" t="n">
        <x:f>AP82*'Assumptions'!$D$95</x:f>
        <x:v>0</x:v>
      </x:c>
      <x:c r="AQ88" s="37" t="n">
        <x:f>AQ82*'Assumptions'!$D$95</x:f>
        <x:v>0</x:v>
      </x:c>
    </x:row>
    <x:row r="89" ht="21" customHeight="1">
      <x:c r="A89" s="2"/>
      <x:c r="B89" s="2"/>
      <x:c r="C89" s="2" t="str">
        <x:v>Other maintenance capex</x:v>
      </x:c>
      <x:c r="D89" s="2"/>
      <x:c r="E89" s="39" t="n">
        <x:f>SUM(E20,E31,E42,E53,E64,E75)</x:f>
        <x:v>4000996.9373000674</x:v>
      </x:c>
      <x:c r="F89" s="39" t="n">
        <x:f>SUM(F20,F31,F42,F53,F64,F75)</x:f>
        <x:v>4454508.7401099065</x:v>
      </x:c>
      <x:c r="G89" s="39" t="n">
        <x:f>SUM(G20,G31,G42,G53,G64,G75)</x:f>
        <x:v>4526172.166572662</x:v>
      </x:c>
      <x:c r="H89" s="39" t="n">
        <x:f>SUM(H20,H31,H42,H53,H64,H75)</x:f>
        <x:v>4598682.625612018</x:v>
      </x:c>
      <x:c r="I89" s="39" t="n">
        <x:f>SUM(I20,I31,I42,I53,I64,I75)</x:f>
        <x:v>4621693.627222917</x:v>
      </x:c>
      <x:c r="J89" s="39" t="n">
        <x:f>SUM(J20,J31,J42,J53,J64,J75)</x:f>
        <x:v>4594207.972168839</x:v>
      </x:c>
      <x:c r="K89" s="39" t="n">
        <x:f>SUM(K20,K31,K42,K53,K64,K75)</x:f>
        <x:v>4616946.089856338</x:v>
      </x:c>
      <x:c r="L89" s="39" t="n">
        <x:f>SUM(L20,L31,L42,L53,L64,L75)</x:f>
        <x:v>4690910.770830668</x:v>
      </x:c>
      <x:c r="M89" s="39" t="n">
        <x:f>SUM(M20,M31,M42,M53,M64,M75)</x:f>
        <x:v>4714383.26591067</x:v>
      </x:c>
      <x:c r="N89" s="39" t="n">
        <x:f>SUM(N20,N31,N42,N53,N64,N75)</x:f>
        <x:v>4634722.337564924</x:v>
      </x:c>
      <x:c r="O89" s="39" t="n">
        <x:f>SUM(O20,O31,O42,O53,O64,O75)</x:f>
        <x:v>4709285.011653464</x:v>
      </x:c>
      <x:c r="P89" s="39" t="n">
        <x:f>SUM(P20,P31,P42,P53,P64,P75)</x:f>
        <x:v>4784728.986247281</x:v>
      </x:c>
      <x:c r="Q89" s="39" t="n">
        <x:f>SUM(Q20,Q31,Q42,Q53,Q64,Q75)</x:f>
        <x:v>19184583.135461546</x:v>
      </x:c>
      <x:c r="R89" s="39" t="n">
        <x:f>SUM(R20,R31,R42,R53,R64,R75)</x:f>
        <x:v>19175570.4489255</x:v>
      </x:c>
      <x:c r="S89" s="39" t="n">
        <x:f>SUM(S20,S31,S42,S53,S64,S75)</x:f>
        <x:v>18597690.32175468</x:v>
      </x:c>
      <x:c r="T89" s="39" t="n">
        <x:f>SUM(T20,T31,T42,T53,T64,T75)</x:f>
        <x:v>18363952.694130063</x:v>
      </x:c>
      <x:c r="U89" s="39" t="n">
        <x:f>SUM(U20,U31,U42,U53,U64,U75)</x:f>
        <x:v>18354946.667361725</x:v>
      </x:c>
      <x:c r="V89" s="39" t="n">
        <x:f>SUM(V20,V31,V42,V53,V64,V75)</x:f>
        <x:v>17831823.665556658</x:v>
      </x:c>
      <x:c r="W89" s="39" t="n">
        <x:f>SUM(W20,W31,W42,W53,W64,W75)</x:f>
        <x:v>15530121.750635529</x:v>
      </x:c>
      <x:c r="X89" s="39" t="n">
        <x:f>SUM(X20,X31,X42,X53,X64,X75)</x:f>
        <x:v>14598865.170157075</x:v>
      </x:c>
      <x:c r="Y89" s="39" t="n">
        <x:f>SUM(Y20,Y31,Y42,Y53,Y64,Y75)</x:f>
        <x:v>13907628.36716582</x:v>
      </x:c>
      <x:c r="Z89" s="39" t="n">
        <x:f>SUM(Z20,Z31,Z42,Z53,Z64,Z75)</x:f>
        <x:v>12066464.940210346</x:v>
      </x:c>
      <x:c r="AA89" s="39" t="n">
        <x:f>SUM(AA20,AA31,AA42,AA53,AA64,AA75)</x:f>
        <x:v>10293833.961139657</x:v>
      </x:c>
      <x:c r="AB89" s="39" t="n">
        <x:f>SUM(AB20,AB31,AB42,AB53,AB64,AB75)</x:f>
        <x:v>6013961.612894751</x:v>
      </x:c>
      <x:c r="AC89" s="39" t="n">
        <x:f>SUM(AC20,AC31,AC42,AC53,AC64,AC75)</x:f>
        <x:v>4060292.445162187</x:v>
      </x:c>
      <x:c r="AD89" s="39" t="n">
        <x:f>SUM(AD20,AD31,AD42,AD53,AD64,AD75)</x:f>
        <x:v>2927040.575219208</x:v>
      </x:c>
      <x:c r="AE89" s="39" t="n">
        <x:f>SUM(AE20,AE31,AE42,AE53,AE64,AE75)</x:f>
        <x:v>2441303.964478569</x:v>
      </x:c>
      <x:c r="AF89" s="39" t="n">
        <x:f>SUM(AF20,AF31,AF42,AF53,AF64,AF75)</x:f>
        <x:v>1967810.8463751473</x:v>
      </x:c>
      <x:c r="AG89" s="39" t="n">
        <x:f>SUM(AG20,AG31,AG42,AG53,AG64,AG75)</x:f>
        <x:v>1672901.1832746963</x:v>
      </x:c>
      <x:c r="AH89" s="39" t="n">
        <x:f>SUM(AH20,AH31,AH42,AH53,AH64,AH75)</x:f>
        <x:v>1560466.2963562028</x:v>
      </x:c>
      <x:c r="AI89" s="39" t="n">
        <x:f>SUM(AI20,AI31,AI42,AI53,AI64,AI75)</x:f>
        <x:v>1596079.6734981022</x:v>
      </x:c>
      <x:c r="AJ89" s="39" t="n">
        <x:f>SUM(AJ20,AJ31,AJ42,AJ53,AJ64,AJ75)</x:f>
        <x:v>1623597.218615145</x:v>
      </x:c>
      <x:c r="AK89" s="39" t="n">
        <x:f>SUM(AK20,AK31,AK42,AK53,AK64,AK75)</x:f>
        <x:v>1656069.1629874478</x:v>
      </x:c>
      <x:c r="AL89" s="39" t="n">
        <x:f>SUM(AL20,AL31,AL42,AL53,AL64,AL75)</x:f>
        <x:v>1263421.9702068076</x:v>
      </x:c>
      <x:c r="AM89" s="39" t="n">
        <x:f>SUM(AM20,AM31,AM42,AM53,AM64,AM75)</x:f>
        <x:v>0</x:v>
      </x:c>
      <x:c r="AN89" s="39" t="n">
        <x:f>SUM(AN20,AN31,AN42,AN53,AN64,AN75)</x:f>
        <x:v>0</x:v>
      </x:c>
      <x:c r="AO89" s="39" t="n">
        <x:f>SUM(AO20,AO31,AO42,AO53,AO64,AO75)</x:f>
        <x:v>0</x:v>
      </x:c>
      <x:c r="AP89" s="39" t="n">
        <x:f>SUM(AP20,AP31,AP42,AP53,AP64,AP75)</x:f>
        <x:v>0</x:v>
      </x:c>
      <x:c r="AQ89" s="39" t="n">
        <x:f>SUM(AQ20,AQ31,AQ42,AQ53,AQ64,AQ75)</x:f>
        <x:v>0</x:v>
      </x:c>
    </x:row>
    <x:row r="90" ht="21" customHeight="1">
      <x:c r="A90" s="2"/>
      <x:c r="B90" s="2"/>
      <x:c r="C90" s="2" t="str">
        <x:v>Committed newbuild payments</x:v>
      </x:c>
      <x:c r="D90" s="2"/>
      <x:c r="E90" s="37" t="n">
        <x:f>SUMIFS('Fleet'!$Q$7:$Q$144,'Fleet'!$G$7:$G$144,"&gt;="&amp;E$7,'Fleet'!$G$7:$G$144,"&lt;="&amp;E$8)</x:f>
        <x:v>73221000</x:v>
      </x:c>
      <x:c r="F90" s="37" t="n">
        <x:f>SUMIFS('Fleet'!$Q$7:$Q$144,'Fleet'!$G$7:$G$144,"&gt;="&amp;F$7,'Fleet'!$G$7:$G$144,"&lt;="&amp;F$8)</x:f>
        <x:v>0</x:v>
      </x:c>
      <x:c r="G90" s="37" t="n">
        <x:f>SUMIFS('Fleet'!$Q$7:$Q$144,'Fleet'!$G$7:$G$144,"&gt;="&amp;G$7,'Fleet'!$G$7:$G$144,"&lt;="&amp;G$8)</x:f>
        <x:v>0</x:v>
      </x:c>
      <x:c r="H90" s="37" t="n">
        <x:f>SUMIFS('Fleet'!$Q$7:$Q$144,'Fleet'!$G$7:$G$144,"&gt;="&amp;H$7,'Fleet'!$G$7:$G$144,"&lt;="&amp;H$8)</x:f>
        <x:v>0</x:v>
      </x:c>
      <x:c r="I90" s="37" t="n">
        <x:f>SUMIFS('Fleet'!$Q$7:$Q$144,'Fleet'!$G$7:$G$144,"&gt;="&amp;I$7,'Fleet'!$G$7:$G$144,"&lt;="&amp;I$8)</x:f>
        <x:v>0</x:v>
      </x:c>
      <x:c r="J90" s="37" t="n">
        <x:f>SUMIFS('Fleet'!$Q$7:$Q$144,'Fleet'!$G$7:$G$144,"&gt;="&amp;J$7,'Fleet'!$G$7:$G$144,"&lt;="&amp;J$8)</x:f>
        <x:v>0</x:v>
      </x:c>
      <x:c r="K90" s="37" t="n">
        <x:f>SUMIFS('Fleet'!$Q$7:$Q$144,'Fleet'!$G$7:$G$144,"&gt;="&amp;K$7,'Fleet'!$G$7:$G$144,"&lt;="&amp;K$8)</x:f>
        <x:v>0</x:v>
      </x:c>
      <x:c r="L90" s="37" t="n">
        <x:f>SUMIFS('Fleet'!$Q$7:$Q$144,'Fleet'!$G$7:$G$144,"&gt;="&amp;L$7,'Fleet'!$G$7:$G$144,"&lt;="&amp;L$8)</x:f>
        <x:v>0</x:v>
      </x:c>
      <x:c r="M90" s="37" t="n">
        <x:f>SUMIFS('Fleet'!$Q$7:$Q$144,'Fleet'!$G$7:$G$144,"&gt;="&amp;M$7,'Fleet'!$G$7:$G$144,"&lt;="&amp;M$8)</x:f>
        <x:v>0</x:v>
      </x:c>
      <x:c r="N90" s="37" t="n">
        <x:f>SUMIFS('Fleet'!$Q$7:$Q$144,'Fleet'!$G$7:$G$144,"&gt;="&amp;N$7,'Fleet'!$G$7:$G$144,"&lt;="&amp;N$8)</x:f>
        <x:v>0</x:v>
      </x:c>
      <x:c r="O90" s="37" t="n">
        <x:f>SUMIFS('Fleet'!$Q$7:$Q$144,'Fleet'!$G$7:$G$144,"&gt;="&amp;O$7,'Fleet'!$G$7:$G$144,"&lt;="&amp;O$8)</x:f>
        <x:v>0</x:v>
      </x:c>
      <x:c r="P90" s="37" t="n">
        <x:f>SUMIFS('Fleet'!$Q$7:$Q$144,'Fleet'!$G$7:$G$144,"&gt;="&amp;P$7,'Fleet'!$G$7:$G$144,"&lt;="&amp;P$8)</x:f>
        <x:v>0</x:v>
      </x:c>
      <x:c r="Q90" s="37" t="n">
        <x:f>SUMIFS('Fleet'!$Q$7:$Q$144,'Fleet'!$G$7:$G$144,"&gt;="&amp;Q$7,'Fleet'!$G$7:$G$144,"&lt;="&amp;Q$8)</x:f>
        <x:v>0</x:v>
      </x:c>
      <x:c r="R90" s="37" t="n">
        <x:f>SUMIFS('Fleet'!$Q$7:$Q$144,'Fleet'!$G$7:$G$144,"&gt;="&amp;R$7,'Fleet'!$G$7:$G$144,"&lt;="&amp;R$8)</x:f>
        <x:v>0</x:v>
      </x:c>
      <x:c r="S90" s="37" t="n">
        <x:f>SUMIFS('Fleet'!$Q$7:$Q$144,'Fleet'!$G$7:$G$144,"&gt;="&amp;S$7,'Fleet'!$G$7:$G$144,"&lt;="&amp;S$8)</x:f>
        <x:v>0</x:v>
      </x:c>
      <x:c r="T90" s="37" t="n">
        <x:f>SUMIFS('Fleet'!$Q$7:$Q$144,'Fleet'!$G$7:$G$144,"&gt;="&amp;T$7,'Fleet'!$G$7:$G$144,"&lt;="&amp;T$8)</x:f>
        <x:v>0</x:v>
      </x:c>
      <x:c r="U90" s="37" t="n">
        <x:f>SUMIFS('Fleet'!$Q$7:$Q$144,'Fleet'!$G$7:$G$144,"&gt;="&amp;U$7,'Fleet'!$G$7:$G$144,"&lt;="&amp;U$8)</x:f>
        <x:v>0</x:v>
      </x:c>
      <x:c r="V90" s="37" t="n">
        <x:f>SUMIFS('Fleet'!$Q$7:$Q$144,'Fleet'!$G$7:$G$144,"&gt;="&amp;V$7,'Fleet'!$G$7:$G$144,"&lt;="&amp;V$8)</x:f>
        <x:v>0</x:v>
      </x:c>
      <x:c r="W90" s="37" t="n">
        <x:f>SUMIFS('Fleet'!$Q$7:$Q$144,'Fleet'!$G$7:$G$144,"&gt;="&amp;W$7,'Fleet'!$G$7:$G$144,"&lt;="&amp;W$8)</x:f>
        <x:v>0</x:v>
      </x:c>
      <x:c r="X90" s="37" t="n">
        <x:f>SUMIFS('Fleet'!$Q$7:$Q$144,'Fleet'!$G$7:$G$144,"&gt;="&amp;X$7,'Fleet'!$G$7:$G$144,"&lt;="&amp;X$8)</x:f>
        <x:v>0</x:v>
      </x:c>
      <x:c r="Y90" s="37" t="n">
        <x:f>SUMIFS('Fleet'!$Q$7:$Q$144,'Fleet'!$G$7:$G$144,"&gt;="&amp;Y$7,'Fleet'!$G$7:$G$144,"&lt;="&amp;Y$8)</x:f>
        <x:v>0</x:v>
      </x:c>
      <x:c r="Z90" s="37" t="n">
        <x:f>SUMIFS('Fleet'!$Q$7:$Q$144,'Fleet'!$G$7:$G$144,"&gt;="&amp;Z$7,'Fleet'!$G$7:$G$144,"&lt;="&amp;Z$8)</x:f>
        <x:v>0</x:v>
      </x:c>
      <x:c r="AA90" s="37" t="n">
        <x:f>SUMIFS('Fleet'!$Q$7:$Q$144,'Fleet'!$G$7:$G$144,"&gt;="&amp;AA$7,'Fleet'!$G$7:$G$144,"&lt;="&amp;AA$8)</x:f>
        <x:v>0</x:v>
      </x:c>
      <x:c r="AB90" s="37" t="n">
        <x:f>SUMIFS('Fleet'!$Q$7:$Q$144,'Fleet'!$G$7:$G$144,"&gt;="&amp;AB$7,'Fleet'!$G$7:$G$144,"&lt;="&amp;AB$8)</x:f>
        <x:v>0</x:v>
      </x:c>
      <x:c r="AC90" s="37" t="n">
        <x:f>SUMIFS('Fleet'!$Q$7:$Q$144,'Fleet'!$G$7:$G$144,"&gt;="&amp;AC$7,'Fleet'!$G$7:$G$144,"&lt;="&amp;AC$8)</x:f>
        <x:v>0</x:v>
      </x:c>
      <x:c r="AD90" s="37" t="n">
        <x:f>SUMIFS('Fleet'!$Q$7:$Q$144,'Fleet'!$G$7:$G$144,"&gt;="&amp;AD$7,'Fleet'!$G$7:$G$144,"&lt;="&amp;AD$8)</x:f>
        <x:v>0</x:v>
      </x:c>
      <x:c r="AE90" s="37" t="n">
        <x:f>SUMIFS('Fleet'!$Q$7:$Q$144,'Fleet'!$G$7:$G$144,"&gt;="&amp;AE$7,'Fleet'!$G$7:$G$144,"&lt;="&amp;AE$8)</x:f>
        <x:v>0</x:v>
      </x:c>
      <x:c r="AF90" s="37" t="n">
        <x:f>SUMIFS('Fleet'!$Q$7:$Q$144,'Fleet'!$G$7:$G$144,"&gt;="&amp;AF$7,'Fleet'!$G$7:$G$144,"&lt;="&amp;AF$8)</x:f>
        <x:v>0</x:v>
      </x:c>
      <x:c r="AG90" s="37" t="n">
        <x:f>SUMIFS('Fleet'!$Q$7:$Q$144,'Fleet'!$G$7:$G$144,"&gt;="&amp;AG$7,'Fleet'!$G$7:$G$144,"&lt;="&amp;AG$8)</x:f>
        <x:v>0</x:v>
      </x:c>
      <x:c r="AH90" s="37" t="n">
        <x:f>SUMIFS('Fleet'!$Q$7:$Q$144,'Fleet'!$G$7:$G$144,"&gt;="&amp;AH$7,'Fleet'!$G$7:$G$144,"&lt;="&amp;AH$8)</x:f>
        <x:v>0</x:v>
      </x:c>
      <x:c r="AI90" s="37" t="n">
        <x:f>SUMIFS('Fleet'!$Q$7:$Q$144,'Fleet'!$G$7:$G$144,"&gt;="&amp;AI$7,'Fleet'!$G$7:$G$144,"&lt;="&amp;AI$8)</x:f>
        <x:v>0</x:v>
      </x:c>
      <x:c r="AJ90" s="37" t="n">
        <x:f>SUMIFS('Fleet'!$Q$7:$Q$144,'Fleet'!$G$7:$G$144,"&gt;="&amp;AJ$7,'Fleet'!$G$7:$G$144,"&lt;="&amp;AJ$8)</x:f>
        <x:v>0</x:v>
      </x:c>
      <x:c r="AK90" s="37" t="n">
        <x:f>SUMIFS('Fleet'!$Q$7:$Q$144,'Fleet'!$G$7:$G$144,"&gt;="&amp;AK$7,'Fleet'!$G$7:$G$144,"&lt;="&amp;AK$8)</x:f>
        <x:v>0</x:v>
      </x:c>
      <x:c r="AL90" s="37" t="n">
        <x:f>SUMIFS('Fleet'!$Q$7:$Q$144,'Fleet'!$G$7:$G$144,"&gt;="&amp;AL$7,'Fleet'!$G$7:$G$144,"&lt;="&amp;AL$8)</x:f>
        <x:v>0</x:v>
      </x:c>
      <x:c r="AM90" s="37" t="n">
        <x:f>SUMIFS('Fleet'!$Q$7:$Q$144,'Fleet'!$G$7:$G$144,"&gt;="&amp;AM$7,'Fleet'!$G$7:$G$144,"&lt;="&amp;AM$8)</x:f>
        <x:v>0</x:v>
      </x:c>
      <x:c r="AN90" s="37" t="n">
        <x:f>SUMIFS('Fleet'!$Q$7:$Q$144,'Fleet'!$G$7:$G$144,"&gt;="&amp;AN$7,'Fleet'!$G$7:$G$144,"&lt;="&amp;AN$8)</x:f>
        <x:v>0</x:v>
      </x:c>
      <x:c r="AO90" s="37" t="n">
        <x:f>SUMIFS('Fleet'!$Q$7:$Q$144,'Fleet'!$G$7:$G$144,"&gt;="&amp;AO$7,'Fleet'!$G$7:$G$144,"&lt;="&amp;AO$8)</x:f>
        <x:v>0</x:v>
      </x:c>
      <x:c r="AP90" s="37" t="n">
        <x:f>SUMIFS('Fleet'!$Q$7:$Q$144,'Fleet'!$G$7:$G$144,"&gt;="&amp;AP$7,'Fleet'!$G$7:$G$144,"&lt;="&amp;AP$8)</x:f>
        <x:v>0</x:v>
      </x:c>
      <x:c r="AQ90" s="37" t="n">
        <x:f>SUMIFS('Fleet'!$Q$7:$Q$144,'Fleet'!$G$7:$G$144,"&gt;="&amp;AQ$7,'Fleet'!$G$7:$G$144,"&lt;="&amp;AQ$8)</x:f>
        <x:v>0</x:v>
      </x:c>
    </x:row>
    <x:row r="91" ht="21" customHeight="1">
      <x:c r="A91" s="2"/>
      <x:c r="B91" s="2"/>
      <x:c r="C91" s="2" t="str">
        <x:v>Retirement scrap proceeds</x:v>
      </x:c>
      <x:c r="D91" s="2"/>
      <x:c r="E91" s="37" t="n">
        <x:f>SUMIFS('Fleet'!$E$7:$E$144,'Fleet'!$O$7:$O$144,"&gt;="&amp;E$7,'Fleet'!$O$7:$O$144,"&lt;="&amp;E$8)*'Assumptions'!$D$85</x:f>
        <x:v>0</x:v>
      </x:c>
      <x:c r="F91" s="37" t="n">
        <x:f>SUMIFS('Fleet'!$E$7:$E$144,'Fleet'!$O$7:$O$144,"&gt;="&amp;F$7,'Fleet'!$O$7:$O$144,"&lt;="&amp;F$8)*'Assumptions'!$D$85</x:f>
        <x:v>0</x:v>
      </x:c>
      <x:c r="G91" s="37" t="n">
        <x:f>SUMIFS('Fleet'!$E$7:$E$144,'Fleet'!$O$7:$O$144,"&gt;="&amp;G$7,'Fleet'!$O$7:$O$144,"&lt;="&amp;G$8)*'Assumptions'!$D$85</x:f>
        <x:v>0</x:v>
      </x:c>
      <x:c r="H91" s="37" t="n">
        <x:f>SUMIFS('Fleet'!$E$7:$E$144,'Fleet'!$O$7:$O$144,"&gt;="&amp;H$7,'Fleet'!$O$7:$O$144,"&lt;="&amp;H$8)*'Assumptions'!$D$85</x:f>
        <x:v>0</x:v>
      </x:c>
      <x:c r="I91" s="37" t="n">
        <x:f>SUMIFS('Fleet'!$E$7:$E$144,'Fleet'!$O$7:$O$144,"&gt;="&amp;I$7,'Fleet'!$O$7:$O$144,"&lt;="&amp;I$8)*'Assumptions'!$D$85</x:f>
        <x:v>0</x:v>
      </x:c>
      <x:c r="J91" s="37" t="n">
        <x:f>SUMIFS('Fleet'!$E$7:$E$144,'Fleet'!$O$7:$O$144,"&gt;="&amp;J$7,'Fleet'!$O$7:$O$144,"&lt;="&amp;J$8)*'Assumptions'!$D$85</x:f>
        <x:v>0</x:v>
      </x:c>
      <x:c r="K91" s="37" t="n">
        <x:f>SUMIFS('Fleet'!$E$7:$E$144,'Fleet'!$O$7:$O$144,"&gt;="&amp;K$7,'Fleet'!$O$7:$O$144,"&lt;="&amp;K$8)*'Assumptions'!$D$85</x:f>
        <x:v>0</x:v>
      </x:c>
      <x:c r="L91" s="37" t="n">
        <x:f>SUMIFS('Fleet'!$E$7:$E$144,'Fleet'!$O$7:$O$144,"&gt;="&amp;L$7,'Fleet'!$O$7:$O$144,"&lt;="&amp;L$8)*'Assumptions'!$D$85</x:f>
        <x:v>0</x:v>
      </x:c>
      <x:c r="M91" s="37" t="n">
        <x:f>SUMIFS('Fleet'!$E$7:$E$144,'Fleet'!$O$7:$O$144,"&gt;="&amp;M$7,'Fleet'!$O$7:$O$144,"&lt;="&amp;M$8)*'Assumptions'!$D$85</x:f>
        <x:v>0</x:v>
      </x:c>
      <x:c r="N91" s="37" t="n">
        <x:f>SUMIFS('Fleet'!$E$7:$E$144,'Fleet'!$O$7:$O$144,"&gt;="&amp;N$7,'Fleet'!$O$7:$O$144,"&lt;="&amp;N$8)*'Assumptions'!$D$85</x:f>
        <x:v>0</x:v>
      </x:c>
      <x:c r="O91" s="37" t="n">
        <x:f>SUMIFS('Fleet'!$E$7:$E$144,'Fleet'!$O$7:$O$144,"&gt;="&amp;O$7,'Fleet'!$O$7:$O$144,"&lt;="&amp;O$8)*'Assumptions'!$D$85</x:f>
        <x:v>0</x:v>
      </x:c>
      <x:c r="P91" s="37" t="n">
        <x:f>SUMIFS('Fleet'!$E$7:$E$144,'Fleet'!$O$7:$O$144,"&gt;="&amp;P$7,'Fleet'!$O$7:$O$144,"&lt;="&amp;P$8)*'Assumptions'!$D$85</x:f>
        <x:v>0</x:v>
      </x:c>
      <x:c r="Q91" s="37" t="n">
        <x:f>SUMIFS('Fleet'!$E$7:$E$144,'Fleet'!$O$7:$O$144,"&gt;="&amp;Q$7,'Fleet'!$O$7:$O$144,"&lt;="&amp;Q$8)*'Assumptions'!$D$85</x:f>
        <x:v>5793830</x:v>
      </x:c>
      <x:c r="R91" s="37" t="n">
        <x:f>SUMIFS('Fleet'!$E$7:$E$144,'Fleet'!$O$7:$O$144,"&gt;="&amp;R$7,'Fleet'!$O$7:$O$144,"&lt;="&amp;R$8)*'Assumptions'!$D$85</x:f>
        <x:v>52767540</x:v>
      </x:c>
      <x:c r="S91" s="37" t="n">
        <x:f>SUMIFS('Fleet'!$E$7:$E$144,'Fleet'!$O$7:$O$144,"&gt;="&amp;S$7,'Fleet'!$O$7:$O$144,"&lt;="&amp;S$8)*'Assumptions'!$D$85</x:f>
        <x:v>29777440</x:v>
      </x:c>
      <x:c r="T91" s="37" t="n">
        <x:f>SUMIFS('Fleet'!$E$7:$E$144,'Fleet'!$O$7:$O$144,"&gt;="&amp;T$7,'Fleet'!$O$7:$O$144,"&lt;="&amp;T$8)*'Assumptions'!$D$85</x:f>
        <x:v>24194310</x:v>
      </x:c>
      <x:c r="U91" s="37" t="n">
        <x:f>SUMIFS('Fleet'!$E$7:$E$144,'Fleet'!$O$7:$O$144,"&gt;="&amp;U$7,'Fleet'!$O$7:$O$144,"&lt;="&amp;U$8)*'Assumptions'!$D$85</x:f>
        <x:v>12540290</x:v>
      </x:c>
      <x:c r="V91" s="37" t="n">
        <x:f>SUMIFS('Fleet'!$E$7:$E$144,'Fleet'!$O$7:$O$144,"&gt;="&amp;V$7,'Fleet'!$O$7:$O$144,"&lt;="&amp;V$8)*'Assumptions'!$D$85</x:f>
        <x:v>148394540</x:v>
      </x:c>
      <x:c r="W91" s="37" t="n">
        <x:f>SUMIFS('Fleet'!$E$7:$E$144,'Fleet'!$O$7:$O$144,"&gt;="&amp;W$7,'Fleet'!$O$7:$O$144,"&lt;="&amp;W$8)*'Assumptions'!$D$85</x:f>
        <x:v>63940240</x:v>
      </x:c>
      <x:c r="X91" s="37" t="n">
        <x:f>SUMIFS('Fleet'!$E$7:$E$144,'Fleet'!$O$7:$O$144,"&gt;="&amp;X$7,'Fleet'!$O$7:$O$144,"&lt;="&amp;X$8)*'Assumptions'!$D$85</x:f>
        <x:v>15806560</x:v>
      </x:c>
      <x:c r="Y91" s="37" t="n">
        <x:f>SUMIFS('Fleet'!$E$7:$E$144,'Fleet'!$O$7:$O$144,"&gt;="&amp;Y$7,'Fleet'!$O$7:$O$144,"&lt;="&amp;Y$8)*'Assumptions'!$D$85</x:f>
        <x:v>71747060</x:v>
      </x:c>
      <x:c r="Z91" s="37" t="n">
        <x:f>SUMIFS('Fleet'!$E$7:$E$144,'Fleet'!$O$7:$O$144,"&gt;="&amp;Z$7,'Fleet'!$O$7:$O$144,"&lt;="&amp;Z$8)*'Assumptions'!$D$85</x:f>
        <x:v>45916360</x:v>
      </x:c>
      <x:c r="AA91" s="37" t="n">
        <x:f>SUMIFS('Fleet'!$E$7:$E$144,'Fleet'!$O$7:$O$144,"&gt;="&amp;AA$7,'Fleet'!$O$7:$O$144,"&lt;="&amp;AA$8)*'Assumptions'!$D$85</x:f>
        <x:v>166413100</x:v>
      </x:c>
      <x:c r="AB91" s="37" t="n">
        <x:f>SUMIFS('Fleet'!$E$7:$E$144,'Fleet'!$O$7:$O$144,"&gt;="&amp;AB$7,'Fleet'!$O$7:$O$144,"&lt;="&amp;AB$8)*'Assumptions'!$D$85</x:f>
        <x:v>100417450</x:v>
      </x:c>
      <x:c r="AC91" s="37" t="n">
        <x:f>SUMIFS('Fleet'!$E$7:$E$144,'Fleet'!$O$7:$O$144,"&gt;="&amp;AC$7,'Fleet'!$O$7:$O$144,"&lt;="&amp;AC$8)*'Assumptions'!$D$85</x:f>
        <x:v>77118230</x:v>
      </x:c>
      <x:c r="AD91" s="37" t="n">
        <x:f>SUMIFS('Fleet'!$E$7:$E$144,'Fleet'!$O$7:$O$144,"&gt;="&amp;AD$7,'Fleet'!$O$7:$O$144,"&lt;="&amp;AD$8)*'Assumptions'!$D$85</x:f>
        <x:v>43611400</x:v>
      </x:c>
      <x:c r="AE91" s="37" t="n">
        <x:f>SUMIFS('Fleet'!$E$7:$E$144,'Fleet'!$O$7:$O$144,"&gt;="&amp;AE$7,'Fleet'!$O$7:$O$144,"&lt;="&amp;AE$8)*'Assumptions'!$D$85</x:f>
        <x:v>43438640</x:v>
      </x:c>
      <x:c r="AF91" s="37" t="n">
        <x:f>SUMIFS('Fleet'!$E$7:$E$144,'Fleet'!$O$7:$O$144,"&gt;="&amp;AF$7,'Fleet'!$O$7:$O$144,"&lt;="&amp;AF$8)*'Assumptions'!$D$85</x:f>
        <x:v>8910160</x:v>
      </x:c>
      <x:c r="AG91" s="37" t="n">
        <x:f>SUMIFS('Fleet'!$E$7:$E$144,'Fleet'!$O$7:$O$144,"&gt;="&amp;AG$7,'Fleet'!$O$7:$O$144,"&lt;="&amp;AG$8)*'Assumptions'!$D$85</x:f>
        <x:v>5768210</x:v>
      </x:c>
      <x:c r="AH91" s="37" t="n">
        <x:f>SUMIFS('Fleet'!$E$7:$E$144,'Fleet'!$O$7:$O$144,"&gt;="&amp;AH$7,'Fleet'!$O$7:$O$144,"&lt;="&amp;AH$8)*'Assumptions'!$D$85</x:f>
        <x:v>0</x:v>
      </x:c>
      <x:c r="AI91" s="37" t="n">
        <x:f>SUMIFS('Fleet'!$E$7:$E$144,'Fleet'!$O$7:$O$144,"&gt;="&amp;AI$7,'Fleet'!$O$7:$O$144,"&lt;="&amp;AI$8)*'Assumptions'!$D$85</x:f>
        <x:v>0</x:v>
      </x:c>
      <x:c r="AJ91" s="37" t="n">
        <x:f>SUMIFS('Fleet'!$E$7:$E$144,'Fleet'!$O$7:$O$144,"&gt;="&amp;AJ$7,'Fleet'!$O$7:$O$144,"&lt;="&amp;AJ$8)*'Assumptions'!$D$85</x:f>
        <x:v>0</x:v>
      </x:c>
      <x:c r="AK91" s="37" t="n">
        <x:f>SUMIFS('Fleet'!$E$7:$E$144,'Fleet'!$O$7:$O$144,"&gt;="&amp;AK$7,'Fleet'!$O$7:$O$144,"&lt;="&amp;AK$8)*'Assumptions'!$D$85</x:f>
        <x:v>0</x:v>
      </x:c>
      <x:c r="AL91" s="37" t="n">
        <x:f>SUMIFS('Fleet'!$E$7:$E$144,'Fleet'!$O$7:$O$144,"&gt;="&amp;AL$7,'Fleet'!$O$7:$O$144,"&lt;="&amp;AL$8)*'Assumptions'!$D$85</x:f>
        <x:v>45983280</x:v>
      </x:c>
      <x:c r="AM91" s="37" t="n">
        <x:f>SUMIFS('Fleet'!$E$7:$E$144,'Fleet'!$O$7:$O$144,"&gt;="&amp;AM$7,'Fleet'!$O$7:$O$144,"&lt;="&amp;AM$8)*'Assumptions'!$D$85</x:f>
        <x:v>0</x:v>
      </x:c>
      <x:c r="AN91" s="37" t="n">
        <x:f>SUMIFS('Fleet'!$E$7:$E$144,'Fleet'!$O$7:$O$144,"&gt;="&amp;AN$7,'Fleet'!$O$7:$O$144,"&lt;="&amp;AN$8)*'Assumptions'!$D$85</x:f>
        <x:v>0</x:v>
      </x:c>
      <x:c r="AO91" s="37" t="n">
        <x:f>SUMIFS('Fleet'!$E$7:$E$144,'Fleet'!$O$7:$O$144,"&gt;="&amp;AO$7,'Fleet'!$O$7:$O$144,"&lt;="&amp;AO$8)*'Assumptions'!$D$85</x:f>
        <x:v>0</x:v>
      </x:c>
      <x:c r="AP91" s="37" t="n">
        <x:f>SUMIFS('Fleet'!$E$7:$E$144,'Fleet'!$O$7:$O$144,"&gt;="&amp;AP$7,'Fleet'!$O$7:$O$144,"&lt;="&amp;AP$8)*'Assumptions'!$D$85</x:f>
        <x:v>0</x:v>
      </x:c>
      <x:c r="AQ91" s="37" t="n">
        <x:f>SUMIFS('Fleet'!$E$7:$E$144,'Fleet'!$O$7:$O$144,"&gt;="&amp;AQ$7,'Fleet'!$O$7:$O$144,"&lt;="&amp;AQ$8)*'Assumptions'!$D$85</x:f>
        <x:v>0</x:v>
      </x:c>
    </x:row>
    <x:row r="92" ht="21" customHeight="1">
      <x:c r="A92" s="2"/>
      <x:c r="B92" s="2"/>
      <x:c r="C92" s="2" t="str">
        <x:v>Closing working-capital target</x:v>
      </x:c>
      <x:c r="D92" s="2"/>
      <x:c r="E92" s="37" t="n">
        <x:f>E82/(E$8-E$7+1)*365*'Assumptions'!$D$150</x:f>
        <x:v>43244781.065511405</x:v>
      </x:c>
      <x:c r="F92" s="37" t="n">
        <x:f>F82/(F$8-F$7+1)*365*'Assumptions'!$D$150</x:f>
        <x:v>44327874.404865</x:v>
      </x:c>
      <x:c r="G92" s="37" t="n">
        <x:f>G82/(G$8-G$7+1)*365*'Assumptions'!$D$150</x:f>
        <x:v>44546057.98164173</x:v>
      </x:c>
      <x:c r="H92" s="37" t="n">
        <x:f>H82/(H$8-H$7+1)*365*'Assumptions'!$D$150</x:f>
        <x:v>44767744.219905496</x:v>
      </x:c>
      <x:c r="I92" s="37" t="n">
        <x:f>I82/(I$8-I$7+1)*365*'Assumptions'!$D$150</x:f>
        <x:v>44991754.16323649</x:v>
      </x:c>
      <x:c r="J92" s="37" t="n">
        <x:f>J82/(J$8-J$7+1)*365*'Assumptions'!$D$150</x:f>
        <x:v>45215658.436369866</x:v>
      </x:c>
      <x:c r="K92" s="37" t="n">
        <x:f>K82/(K$8-K$7+1)*365*'Assumptions'!$D$150</x:f>
        <x:v>45439444.335717954</x:v>
      </x:c>
      <x:c r="L92" s="37" t="n">
        <x:f>L82/(L$8-L$7+1)*365*'Assumptions'!$D$150</x:f>
        <x:v>45665576.566941045</x:v>
      </x:c>
      <x:c r="M92" s="37" t="n">
        <x:f>M82/(M$8-M$7+1)*365*'Assumptions'!$D$150</x:f>
        <x:v>45894079.10592735</x:v>
      </x:c>
      <x:c r="N92" s="37" t="n">
        <x:f>N82/(N$8-N$7+1)*365*'Assumptions'!$D$150</x:f>
        <x:v>46121222.71331119</x:v>
      </x:c>
      <x:c r="O92" s="37" t="n">
        <x:f>O82/(O$8-O$7+1)*365*'Assumptions'!$D$150</x:f>
        <x:v>46348233.222432315</x:v>
      </x:c>
      <x:c r="P92" s="37" t="n">
        <x:f>P82/(P$8-P$7+1)*365*'Assumptions'!$D$150</x:f>
        <x:v>46578888.09827986</x:v>
      </x:c>
      <x:c r="Q92" s="37" t="n">
        <x:f>Q82/(Q$8-Q$7+1)*365*'Assumptions'!$D$150</x:f>
        <x:v>47080330.84146969</x:v>
      </x:c>
      <x:c r="R92" s="37" t="n">
        <x:f>R82/(R$8-R$7+1)*365*'Assumptions'!$D$150</x:f>
        <x:v>47098166.15445867</x:v>
      </x:c>
      <x:c r="S92" s="37" t="n">
        <x:f>S82/(S$8-S$7+1)*365*'Assumptions'!$D$150</x:f>
        <x:v>45610164.3368549</x:v>
      </x:c>
      <x:c r="T92" s="37" t="n">
        <x:f>T82/(T$8-T$7+1)*365*'Assumptions'!$D$150</x:f>
        <x:v>45128664.04829681</x:v>
      </x:c>
      <x:c r="U92" s="37" t="n">
        <x:f>U82/(U$8-U$7+1)*365*'Assumptions'!$D$150</x:f>
        <x:v>45037374.55857334</x:v>
      </x:c>
      <x:c r="V92" s="37" t="n">
        <x:f>V82/(V$8-V$7+1)*365*'Assumptions'!$D$150</x:f>
        <x:v>43685778.47994256</x:v>
      </x:c>
      <x:c r="W92" s="37" t="n">
        <x:f>W82/(W$8-W$7+1)*365*'Assumptions'!$D$150</x:f>
        <x:v>38042510.891418636</x:v>
      </x:c>
      <x:c r="X92" s="37" t="n">
        <x:f>X82/(X$8-X$7+1)*365*'Assumptions'!$D$150</x:f>
        <x:v>36056751.621088915</x:v>
      </x:c>
      <x:c r="Y92" s="37" t="n">
        <x:f>Y82/(Y$8-Y$7+1)*365*'Assumptions'!$D$150</x:f>
        <x:v>34606245.57849952</x:v>
      </x:c>
      <x:c r="Z92" s="37" t="n">
        <x:f>Z82/(Z$8-Z$7+1)*365*'Assumptions'!$D$150</x:f>
        <x:v>30570130.321830764</x:v>
      </x:c>
      <x:c r="AA92" s="37" t="n">
        <x:f>AA82/(AA$8-AA$7+1)*365*'Assumptions'!$D$150</x:f>
        <x:v>26246216.312522475</x:v>
      </x:c>
      <x:c r="AB92" s="37" t="n">
        <x:f>AB82/(AB$8-AB$7+1)*365*'Assumptions'!$D$150</x:f>
        <x:v>16217520.29873897</x:v>
      </x:c>
      <x:c r="AC92" s="37" t="n">
        <x:f>AC82/(AC$8-AC$7+1)*365*'Assumptions'!$D$150</x:f>
        <x:v>11062200.137459127</x:v>
      </x:c>
      <x:c r="AD92" s="37" t="n">
        <x:f>AD82/(AD$8-AD$7+1)*365*'Assumptions'!$D$150</x:f>
        <x:v>7746349.918874924</x:v>
      </x:c>
      <x:c r="AE92" s="37" t="n">
        <x:f>AE82/(AE$8-AE$7+1)*365*'Assumptions'!$D$150</x:f>
        <x:v>5990799.44008809</x:v>
      </x:c>
      <x:c r="AF92" s="37" t="n">
        <x:f>AF82/(AF$8-AF$7+1)*365*'Assumptions'!$D$150</x:f>
        <x:v>4442741.933792612</x:v>
      </x:c>
      <x:c r="AG92" s="37" t="n">
        <x:f>AG82/(AG$8-AG$7+1)*365*'Assumptions'!$D$150</x:f>
        <x:v>3792820.8654263522</x:v>
      </x:c>
      <x:c r="AH92" s="37" t="n">
        <x:f>AH82/(AH$8-AH$7+1)*365*'Assumptions'!$D$150</x:f>
        <x:v>3537907.1924791257</x:v>
      </x:c>
      <x:c r="AI92" s="37" t="n">
        <x:f>AI82/(AI$8-AI$7+1)*365*'Assumptions'!$D$150</x:f>
        <x:v>3608763.2295122133</x:v>
      </x:c>
      <x:c r="AJ92" s="37" t="n">
        <x:f>AJ82/(AJ$8-AJ$7+1)*365*'Assumptions'!$D$150</x:f>
        <x:v>3681038.347858317</x:v>
      </x:c>
      <x:c r="AK92" s="37" t="n">
        <x:f>AK82/(AK$8-AK$7+1)*365*'Assumptions'!$D$150</x:f>
        <x:v>3754659.1148154843</x:v>
      </x:c>
      <x:c r="AL92" s="37" t="n">
        <x:f>AL82/(AL$8-AL$7+1)*365*'Assumptions'!$D$150</x:f>
        <x:v>2864444.868798684</x:v>
      </x:c>
      <x:c r="AM92" s="37" t="n">
        <x:f>AM82/(AM$8-AM$7+1)*365*'Assumptions'!$D$150</x:f>
        <x:v>0</x:v>
      </x:c>
      <x:c r="AN92" s="37" t="n">
        <x:f>AN82/(AN$8-AN$7+1)*365*'Assumptions'!$D$150</x:f>
        <x:v>0</x:v>
      </x:c>
      <x:c r="AO92" s="37" t="n">
        <x:f>AO82/(AO$8-AO$7+1)*365*'Assumptions'!$D$150</x:f>
        <x:v>0</x:v>
      </x:c>
      <x:c r="AP92" s="37" t="n">
        <x:f>AP82/(AP$8-AP$7+1)*365*'Assumptions'!$D$150</x:f>
        <x:v>0</x:v>
      </x:c>
      <x:c r="AQ92" s="37" t="n">
        <x:f>AQ82/(AQ$8-AQ$7+1)*365*'Assumptions'!$D$150</x:f>
        <x:v>0</x:v>
      </x:c>
    </x:row>
    <x:row r="93" ht="21" customHeight="1">
      <x:c r="A93" s="2"/>
      <x:c r="B93" s="2"/>
      <x:c r="C93" s="2" t="str">
        <x:v>Increase / (release) in working capital</x:v>
      </x:c>
      <x:c r="D93" s="2"/>
      <x:c r="E93" s="37" t="n">
        <x:f>E92-'Sources'!$D$45</x:f>
        <x:v>16649781.065511405</x:v>
      </x:c>
      <x:c r="F93" s="39" t="n">
        <x:f>F92-E92</x:f>
        <x:v>1083093.3393535912</x:v>
      </x:c>
      <x:c r="G93" s="39" t="n">
        <x:f>G92-F92</x:f>
        <x:v>218183.57677673548</x:v>
      </x:c>
      <x:c r="H93" s="39" t="n">
        <x:f>H92-G92</x:f>
        <x:v>221686.2382637635</x:v>
      </x:c>
      <x:c r="I93" s="39" t="n">
        <x:f>I92-H92</x:f>
        <x:v>224009.94333099574</x:v>
      </x:c>
      <x:c r="J93" s="39" t="n">
        <x:f>J92-I92</x:f>
        <x:v>223904.27313337475</x:v>
      </x:c>
      <x:c r="K93" s="39" t="n">
        <x:f>K92-J92</x:f>
        <x:v>223785.8993480876</x:v>
      </x:c>
      <x:c r="L93" s="39" t="n">
        <x:f>L92-K92</x:f>
        <x:v>226132.23122309148</x:v>
      </x:c>
      <x:c r="M93" s="39" t="n">
        <x:f>M92-L92</x:f>
        <x:v>228502.5389863029</x:v>
      </x:c>
      <x:c r="N93" s="39" t="n">
        <x:f>N92-M92</x:f>
        <x:v>227143.6073838398</x:v>
      </x:c>
      <x:c r="O93" s="39" t="n">
        <x:f>O92-N92</x:f>
        <x:v>227010.50912112743</x:v>
      </x:c>
      <x:c r="P93" s="39" t="n">
        <x:f>P92-O92</x:f>
        <x:v>230654.87584754825</x:v>
      </x:c>
      <x:c r="Q93" s="39" t="n">
        <x:f>Q92-P92</x:f>
        <x:v>501442.7431898266</x:v>
      </x:c>
      <x:c r="R93" s="39" t="n">
        <x:f>R92-Q92</x:f>
        <x:v>17835.312988981605</x:v>
      </x:c>
      <x:c r="S93" s="39" t="n">
        <x:f>S92-R92</x:f>
        <x:v>-1488001.8176037744</x:v>
      </x:c>
      <x:c r="T93" s="39" t="n">
        <x:f>T92-S92</x:f>
        <x:v>-481500.28855808824</x:v>
      </x:c>
      <x:c r="U93" s="39" t="n">
        <x:f>U92-T92</x:f>
        <x:v>-91289.48972346634</x:v>
      </x:c>
      <x:c r="V93" s="39" t="n">
        <x:f>V92-U92</x:f>
        <x:v>-1351596.0786307827</x:v>
      </x:c>
      <x:c r="W93" s="39" t="n">
        <x:f>W92-V92</x:f>
        <x:v>-5643267.588523924</x:v>
      </x:c>
      <x:c r="X93" s="39" t="n">
        <x:f>X92-W92</x:f>
        <x:v>-1985759.2703297213</x:v>
      </x:c>
      <x:c r="Y93" s="39" t="n">
        <x:f>Y92-X92</x:f>
        <x:v>-1450506.0425893962</x:v>
      </x:c>
      <x:c r="Z93" s="39" t="n">
        <x:f>Z92-Y92</x:f>
        <x:v>-4036115.256668754</x:v>
      </x:c>
      <x:c r="AA93" s="39" t="n">
        <x:f>AA92-Z92</x:f>
        <x:v>-4323914.00930829</x:v>
      </x:c>
      <x:c r="AB93" s="39" t="n">
        <x:f>AB92-AA92</x:f>
        <x:v>-10028696.013783505</x:v>
      </x:c>
      <x:c r="AC93" s="39" t="n">
        <x:f>AC92-AB92</x:f>
        <x:v>-5155320.161279842</x:v>
      </x:c>
      <x:c r="AD93" s="39" t="n">
        <x:f>AD92-AC92</x:f>
        <x:v>-3315850.218584203</x:v>
      </x:c>
      <x:c r="AE93" s="39" t="n">
        <x:f>AE92-AD92</x:f>
        <x:v>-1755550.4787868345</x:v>
      </x:c>
      <x:c r="AF93" s="39" t="n">
        <x:f>AF92-AE92</x:f>
        <x:v>-1548057.506295478</x:v>
      </x:c>
      <x:c r="AG93" s="39" t="n">
        <x:f>AG92-AF92</x:f>
        <x:v>-649921.0683662593</x:v>
      </x:c>
      <x:c r="AH93" s="39" t="n">
        <x:f>AH92-AG92</x:f>
        <x:v>-254913.67294722656</x:v>
      </x:c>
      <x:c r="AI93" s="39" t="n">
        <x:f>AI92-AH92</x:f>
        <x:v>70856.03703308757</x:v>
      </x:c>
      <x:c r="AJ93" s="39" t="n">
        <x:f>AJ92-AI92</x:f>
        <x:v>72275.11834610393</x:v>
      </x:c>
      <x:c r="AK93" s="39" t="n">
        <x:f>AK92-AJ92</x:f>
        <x:v>73620.76695716707</x:v>
      </x:c>
      <x:c r="AL93" s="39" t="n">
        <x:f>AL92-AK92</x:f>
        <x:v>-890214.2460168004</x:v>
      </x:c>
      <x:c r="AM93" s="39" t="n">
        <x:f>AM92-AL92</x:f>
        <x:v>-2864444.868798684</x:v>
      </x:c>
      <x:c r="AN93" s="39" t="n">
        <x:f>AN92-AM92</x:f>
        <x:v>0</x:v>
      </x:c>
      <x:c r="AO93" s="39" t="n">
        <x:f>AO92-AN92</x:f>
        <x:v>0</x:v>
      </x:c>
      <x:c r="AP93" s="39" t="n">
        <x:f>AP92-AO92</x:f>
        <x:v>0</x:v>
      </x:c>
      <x:c r="AQ93" s="39" t="n">
        <x:f>AQ92-AP92</x:f>
        <x:v>0</x:v>
      </x:c>
    </x:row>
    <x:row r="94" ht="21" customHeight="1">
      <x:c r="A94" s="2"/>
      <x:c r="B94" s="2"/>
      <x:c r="C94" s="29" t="str">
        <x:v>Unlevered free cash flow</x:v>
      </x:c>
      <x:c r="D94" s="29"/>
      <x:c r="E94" s="46" t="n">
        <x:f>E87-E88-E89-E90+E91-E93</x:f>
        <x:v>8051548.906688228</x:v>
      </x:c>
      <x:c r="F94" s="46" t="n">
        <x:f>F87-F88-F89-F90+F91-F93</x:f>
        <x:v>107643931.26295498</x:v>
      </x:c>
      <x:c r="G94" s="46" t="n">
        <x:f>G87-G88-G89-G90+G91-G93</x:f>
        <x:v>110258024.06381887</x:v>
      </x:c>
      <x:c r="H94" s="46" t="n">
        <x:f>H87-H88-H89-H90+H91-H93</x:f>
        <x:v>112024379.07325923</x:v>
      </x:c>
      <x:c r="I94" s="46" t="n">
        <x:f>I87-I88-I89-I90+I91-I93</x:f>
        <x:v>112583714.99986902</x:v>
      </x:c>
      <x:c r="J94" s="46" t="n">
        <x:f>J87-J88-J89-J90+J91-J93</x:f>
        <x:v>111912942.31565535</x:v>
      </x:c>
      <x:c r="K94" s="46" t="n">
        <x:f>K87-K88-K89-K90+K91-K93</x:f>
        <x:v>112468059.68606576</x:v>
      </x:c>
      <x:c r="L94" s="46" t="n">
        <x:f>L87-L88-L89-L90+L91-L93</x:f>
        <x:v>114271066.12307985</x:v>
      </x:c>
      <x:c r="M94" s="46" t="n">
        <x:f>M87-M88-M89-M90+M91-M93</x:f>
        <x:v>114841619.7220678</x:v>
      </x:c>
      <x:c r="N94" s="46" t="n">
        <x:f>N87-N88-N89-N90+N91-N93</x:f>
        <x:v>112898590.12029475</x:v>
      </x:c>
      <x:c r="O94" s="46" t="n">
        <x:f>O87-O88-O89-O90+O91-O93</x:f>
        <x:v>114718671.98800105</x:v>
      </x:c>
      <x:c r="P94" s="46" t="n">
        <x:f>P87-P88-P89-P90+P91-P93</x:f>
        <x:v>116556487.44554141</x:v>
      </x:c>
      <x:c r="Q94" s="46" t="n">
        <x:f>Q87-Q88-Q89-Q90+Q91-Q93</x:f>
        <x:v>473661453.4641803</x:v>
      </x:c>
      <x:c r="R94" s="46" t="n">
        <x:f>R87-R88-R89-R90+R91-R93</x:f>
        <x:v>521419679.0428681</x:v>
      </x:c>
      <x:c r="S94" s="46" t="n">
        <x:f>S87-S88-S89-S90+S91-S93</x:f>
        <x:v>486208844.11205214</x:v>
      </x:c>
      <x:c r="T94" s="46" t="n">
        <x:f>T87-T88-T89-T90+T91-T93</x:f>
        <x:v>472855017.8739425</x:v>
      </x:c>
      <x:c r="U94" s="46" t="n">
        <x:f>U87-U88-U89-U90+U91-U93</x:f>
        <x:v>458923544.7165148</x:v>
      </x:c>
      <x:c r="V94" s="46" t="n">
        <x:f>V87-V88-V89-V90+V91-V93</x:f>
        <x:v>581262059.7630051</x:v>
      </x:c>
      <x:c r="W94" s="46" t="n">
        <x:f>W87-W88-W89-W90+W91-W93</x:f>
        <x:v>445140963.79567546</x:v>
      </x:c>
      <x:c r="X94" s="46" t="n">
        <x:f>X87-X88-X89-X90+X91-X93</x:f>
        <x:v>373591592.0416752</x:v>
      </x:c>
      <x:c r="Y94" s="46" t="n">
        <x:f>Y87-Y88-Y89-Y90+Y91-Y93</x:f>
        <x:v>416223083.0237658</x:v>
      </x:c>
      <x:c r="Z94" s="46" t="n">
        <x:f>Z87-Z88-Z89-Z90+Z91-Z93</x:f>
        <x:v>356025487.7508499</x:v>
      </x:c>
      <x:c r="AA94" s="46" t="n">
        <x:f>AA87-AA88-AA89-AA90+AA91-AA93</x:f>
        <x:v>433883961.02925044</x:v>
      </x:c>
      <x:c r="AB94" s="46" t="n">
        <x:f>AB87-AB88-AB89-AB90+AB91-AB93</x:f>
        <x:v>273845153.1259053</x:v>
      </x:c>
      <x:c r="AC94" s="46" t="n">
        <x:f>AC87-AC88-AC89-AC90+AC91-AC93</x:f>
        <x:v>189097750.16507083</x:v>
      </x:c>
      <x:c r="AD94" s="46" t="n">
        <x:f>AD87-AD88-AD89-AD90+AD91-AD93</x:f>
        <x:v>114311732.85601048</x:v>
      </x:c>
      <x:c r="AE94" s="46" t="n">
        <x:f>AE87-AE88-AE89-AE90+AE91-AE93</x:f>
        <x:v>89098100.75986873</x:v>
      </x:c>
      <x:c r="AF94" s="46" t="n">
        <x:f>AF87-AF88-AF89-AF90+AF91-AF93</x:f>
        <x:v>34156846.350602865</x:v>
      </x:c>
      <x:c r="AG94" s="46" t="n">
        <x:f>AG87-AG88-AG89-AG90+AG91-AG93</x:f>
        <x:v>23819264.866832774</x:v>
      </x:c>
      <x:c r="AH94" s="46" t="n">
        <x:f>AH87-AH88-AH89-AH90+AH91-AH93</x:f>
        <x:v>14882930.23117896</x:v>
      </x:c>
      <x:c r="AI94" s="46" t="n">
        <x:f>AI87-AI88-AI89-AI90+AI91-AI93</x:f>
        <x:v>14891005.008415528</x:v>
      </x:c>
      <x:c r="AJ94" s="46" t="n">
        <x:f>AJ87-AJ88-AJ89-AJ90+AJ91-AJ93</x:f>
        <x:v>15147539.018786656</x:v>
      </x:c>
      <x:c r="AK94" s="46" t="n">
        <x:f>AK87-AK88-AK89-AK90+AK91-AK93</x:f>
        <x:v>15450589.65291825</x:v>
      </x:c>
      <x:c r="AL94" s="46" t="n">
        <x:f>AL87-AL88-AL89-AL90+AL91-AL93</x:f>
        <x:v>53599567.40374854</x:v>
      </x:c>
      <x:c r="AM94" s="46" t="n">
        <x:f>AM87-AM88-AM89-AM90+AM91-AM93</x:f>
        <x:v>2864444.868798684</x:v>
      </x:c>
      <x:c r="AN94" s="46" t="n">
        <x:f>AN87-AN88-AN89-AN90+AN91-AN93</x:f>
        <x:v>0</x:v>
      </x:c>
      <x:c r="AO94" s="46" t="n">
        <x:f>AO87-AO88-AO89-AO90+AO91-AO93</x:f>
        <x:v>0</x:v>
      </x:c>
      <x:c r="AP94" s="46" t="n">
        <x:f>AP87-AP88-AP89-AP90+AP91-AP93</x:f>
        <x:v>0</x:v>
      </x:c>
      <x:c r="AQ94" s="46" t="n">
        <x:f>AQ87-AQ88-AQ89-AQ90+AQ91-AQ93</x:f>
        <x:v>0</x:v>
      </x:c>
    </x:row>
    <x:row r="95" ht="21" customHeight="1">
      <x:c r="A95" s="2"/>
      <x:c r="B95" s="2"/>
      <x:c r="C95" s="2" t="str">
        <x:v>Discount factor</x:v>
      </x:c>
      <x:c r="D95" s="2"/>
      <x:c r="E95" s="44" t="n">
        <x:f>1/(1+'Assumptions'!$D$40+'Assumptions'!$D$7)^((E$8-46304)/365)</x:f>
        <x:v>0.9785599040206587</x:v>
      </x:c>
      <x:c r="F95" s="44" t="n">
        <x:f>1/(1+'Assumptions'!$D$40+'Assumptions'!$D$7)^((F$8-46304)/365)</x:f>
        <x:v>0.9558307570383829</x:v>
      </x:c>
      <x:c r="G95" s="44" t="n">
        <x:f>1/(1+'Assumptions'!$D$40+'Assumptions'!$D$7)^((G$8-46304)/365)</x:f>
        <x:v>0.9333857820656866</x:v>
      </x:c>
      <x:c r="H95" s="44" t="n">
        <x:f>1/(1+'Assumptions'!$D$40+'Assumptions'!$D$7)^((H$8-46304)/365)</x:f>
        <x:v>0.9112298888228159</x:v>
      </x:c>
      <x:c r="I95" s="44" t="n">
        <x:f>1/(1+'Assumptions'!$D$40+'Assumptions'!$D$7)^((I$8-46304)/365)</x:f>
        <x:v>0.8895999127460533</x:v>
      </x:c>
      <x:c r="J95" s="44" t="n">
        <x:f>1/(1+'Assumptions'!$D$40+'Assumptions'!$D$7)^((J$8-46304)/365)</x:f>
        <x:v>0.8687101813471962</x:v>
      </x:c>
      <x:c r="K95" s="44" t="n">
        <x:f>1/(1+'Assumptions'!$D$40+'Assumptions'!$D$7)^((K$8-46304)/365)</x:f>
        <x:v>0.8483109860552608</x:v>
      </x:c>
      <x:c r="L95" s="44" t="n">
        <x:f>1/(1+'Assumptions'!$D$40+'Assumptions'!$D$7)^((L$8-46304)/365)</x:f>
        <x:v>0.8281745237211131</x:v>
      </x:c>
      <x:c r="M95" s="44" t="n">
        <x:f>1/(1+'Assumptions'!$D$40+'Assumptions'!$D$7)^((M$8-46304)/365)</x:f>
        <x:v>0.8085160430729272</x:v>
      </x:c>
      <x:c r="N95" s="44" t="n">
        <x:f>1/(1+'Assumptions'!$D$40+'Assumptions'!$D$7)^((N$8-46304)/365)</x:f>
        <x:v>0.7897365284974509</x:v>
      </x:c>
      <x:c r="O95" s="44" t="n">
        <x:f>1/(1+'Assumptions'!$D$40+'Assumptions'!$D$7)^((O$8-46304)/365)</x:f>
        <x:v>0.7711918055047825</x:v>
      </x:c>
      <x:c r="P95" s="44" t="n">
        <x:f>1/(1+'Assumptions'!$D$40+'Assumptions'!$D$7)^((P$8-46304)/365)</x:f>
        <x:v>0.7528859306555574</x:v>
      </x:c>
      <x:c r="Q95" s="44" t="n">
        <x:f>1/(1+'Assumptions'!$D$40+'Assumptions'!$D$7)^((Q$8-46304)/365)</x:f>
        <x:v>0.6844417551414157</x:v>
      </x:c>
      <x:c r="R95" s="44" t="n">
        <x:f>1/(1+'Assumptions'!$D$40+'Assumptions'!$D$7)^((R$8-46304)/365)</x:f>
        <x:v>0.622219777401287</x:v>
      </x:c>
      <x:c r="S95" s="44" t="n">
        <x:f>1/(1+'Assumptions'!$D$40+'Assumptions'!$D$7)^((S$8-46304)/365)</x:f>
        <x:v>0.5655066565747457</x:v>
      </x:c>
      <x:c r="T95" s="44" t="n">
        <x:f>1/(1+'Assumptions'!$D$40+'Assumptions'!$D$7)^((T$8-46304)/365)</x:f>
        <x:v>0.5140969605224961</x:v>
      </x:c>
      <x:c r="U95" s="44" t="n">
        <x:f>1/(1+'Assumptions'!$D$40+'Assumptions'!$D$7)^((U$8-46304)/365)</x:f>
        <x:v>0.46736087320226916</x:v>
      </x:c>
      <x:c r="V95" s="44" t="n">
        <x:f>1/(1+'Assumptions'!$D$40+'Assumptions'!$D$7)^((V$8-46304)/365)</x:f>
        <x:v>0.4248735210929719</x:v>
      </x:c>
      <x:c r="W95" s="44" t="n">
        <x:f>1/(1+'Assumptions'!$D$40+'Assumptions'!$D$7)^((W$8-46304)/365)</x:f>
        <x:v>0.38614780999715825</x:v>
      </x:c>
      <x:c r="X95" s="44" t="n">
        <x:f>1/(1+'Assumptions'!$D$40+'Assumptions'!$D$7)^((X$8-46304)/365)</x:f>
        <x:v>0.35104346363378025</x:v>
      </x:c>
      <x:c r="Y95" s="44" t="n">
        <x:f>1/(1+'Assumptions'!$D$40+'Assumptions'!$D$7)^((Y$8-46304)/365)</x:f>
        <x:v>0.3191304214852547</x:v>
      </x:c>
      <x:c r="Z95" s="44" t="n">
        <x:f>1/(1+'Assumptions'!$D$40+'Assumptions'!$D$7)^((Z$8-46304)/365)</x:f>
        <x:v>0.29011856498659516</x:v>
      </x:c>
      <x:c r="AA95" s="44" t="n">
        <x:f>1/(1+'Assumptions'!$D$40+'Assumptions'!$D$7)^((AA$8-46304)/365)</x:f>
        <x:v>0.26367528910933835</x:v>
      </x:c>
      <x:c r="AB95" s="44" t="n">
        <x:f>1/(1+'Assumptions'!$D$40+'Assumptions'!$D$7)^((AB$8-46304)/365)</x:f>
        <x:v>0.2397048082812167</x:v>
      </x:c>
      <x:c r="AC95" s="44" t="n">
        <x:f>1/(1+'Assumptions'!$D$40+'Assumptions'!$D$7)^((AC$8-46304)/365)</x:f>
        <x:v>0.21791346207383333</x:v>
      </x:c>
      <x:c r="AD95" s="44" t="n">
        <x:f>1/(1+'Assumptions'!$D$40+'Assumptions'!$D$7)^((AD$8-46304)/365)</x:f>
        <x:v>0.19810314733984846</x:v>
      </x:c>
      <x:c r="AE95" s="44" t="n">
        <x:f>1/(1+'Assumptions'!$D$40+'Assumptions'!$D$7)^((AE$8-46304)/365)</x:f>
        <x:v>0.18004674968221326</x:v>
      </x:c>
      <x:c r="AF95" s="44" t="n">
        <x:f>1/(1+'Assumptions'!$D$40+'Assumptions'!$D$7)^((AF$8-46304)/365)</x:f>
        <x:v>0.1636788633474666</x:v>
      </x:c>
      <x:c r="AG95" s="44" t="n">
        <x:f>1/(1+'Assumptions'!$D$40+'Assumptions'!$D$7)^((AG$8-46304)/365)</x:f>
        <x:v>0.14879896667951506</x:v>
      </x:c>
      <x:c r="AH95" s="44" t="n">
        <x:f>1/(1+'Assumptions'!$D$40+'Assumptions'!$D$7)^((AH$8-46304)/365)</x:f>
        <x:v>0.13527178789046823</x:v>
      </x:c>
      <x:c r="AI95" s="44" t="n">
        <x:f>1/(1+'Assumptions'!$D$40+'Assumptions'!$D$7)^((AI$8-46304)/365)</x:f>
        <x:v>0.1229422452920389</x:v>
      </x:c>
      <x:c r="AJ95" s="44" t="n">
        <x:f>1/(1+'Assumptions'!$D$40+'Assumptions'!$D$7)^((AJ$8-46304)/365)</x:f>
        <x:v>0.11176567753821717</x:v>
      </x:c>
      <x:c r="AK95" s="44" t="n">
        <x:f>1/(1+'Assumptions'!$D$40+'Assumptions'!$D$7)^((AK$8-46304)/365)</x:f>
        <x:v>0.10160516139837923</x:v>
      </x:c>
      <x:c r="AL95" s="44" t="n">
        <x:f>1/(1+'Assumptions'!$D$40+'Assumptions'!$D$7)^((AL$8-46304)/365)</x:f>
        <x:v>0.09236832854398112</x:v>
      </x:c>
      <x:c r="AM95" s="44" t="n">
        <x:f>1/(1+'Assumptions'!$D$40+'Assumptions'!$D$7)^((AM$8-46304)/365)</x:f>
        <x:v>0.0839492837506138</x:v>
      </x:c>
      <x:c r="AN95" s="44" t="n">
        <x:f>1/(1+'Assumptions'!$D$40+'Assumptions'!$D$7)^((AN$8-46304)/365)</x:f>
        <x:v>0.07631753068237618</x:v>
      </x:c>
      <x:c r="AO95" s="44" t="n">
        <x:f>1/(1+'Assumptions'!$D$40+'Assumptions'!$D$7)^((AO$8-46304)/365)</x:f>
        <x:v>0.0693795733476147</x:v>
      </x:c>
      <x:c r="AP95" s="44" t="n">
        <x:f>1/(1+'Assumptions'!$D$40+'Assumptions'!$D$7)^((AP$8-46304)/365)</x:f>
        <x:v>0.06307233940692246</x:v>
      </x:c>
      <x:c r="AQ95" s="44" t="n">
        <x:f>1/(1+'Assumptions'!$D$40+'Assumptions'!$D$7)^((AQ$8-46304)/365)</x:f>
        <x:v>0.0573235198812286</x:v>
      </x:c>
    </x:row>
    <x:row r="96" ht="21" customHeight="1">
      <x:c r="A96" s="2"/>
      <x:c r="B96" s="2"/>
      <x:c r="C96" s="2" t="str">
        <x:v>Present value of free cash flow</x:v>
      </x:c>
      <x:c r="D96" s="2"/>
      <x:c r="E96" s="39" t="n">
        <x:f>E94*E95</x:f>
        <x:v>7878922.925346472</x:v>
      </x:c>
      <x:c r="F96" s="39" t="n">
        <x:f>F94*F95</x:f>
        <x:v>102889380.30965792</x:v>
      </x:c>
      <x:c r="G96" s="39" t="n">
        <x:f>G94*G95</x:f>
        <x:v>102913272.01982486</x:v>
      </x:c>
      <x:c r="H96" s="39" t="n">
        <x:f>H94*H95</x:f>
        <x:v>102079962.48837098</x:v>
      </x:c>
      <x:c r="I96" s="39" t="n">
        <x:f>I94*I95</x:f>
        <x:v>100154463.04051001</x:v>
      </x:c>
      <x:c r="J96" s="39" t="n">
        <x:f>J94*J95</x:f>
        <x:v>97219912.41413127</x:v>
      </x:c>
      <x:c r="K96" s="39" t="n">
        <x:f>K94*K95</x:f>
        <x:v>95407890.61200838</x:v>
      </x:c>
      <x:c r="L96" s="39" t="n">
        <x:f>L94*L95</x:f>
        <x:v>94636385.76158547</x:v>
      </x:c>
      <x:c r="M96" s="39" t="n">
        <x:f>M94*M95</x:f>
        <x:v>92851291.9577721</x:v>
      </x:c>
      <x:c r="N96" s="39" t="n">
        <x:f>N94*N95</x:f>
        <x:v>89160140.63385819</x:v>
      </x:c>
      <x:c r="O96" s="39" t="n">
        <x:f>O94*O95</x:f>
        <x:v>88470099.77553745</x:v>
      </x:c>
      <x:c r="P96" s="39" t="n">
        <x:f>P94*P95</x:f>
        <x:v>87753739.52437924</x:v>
      </x:c>
      <x:c r="Q96" s="39" t="n">
        <x:f>Q94*Q95</x:f>
        <x:v>324193676.55185753</x:v>
      </x:c>
      <x:c r="R96" s="39" t="n">
        <x:f>R94*R95</x:f>
        <x:v>324437636.62670386</x:v>
      </x:c>
      <x:c r="S96" s="39" t="n">
        <x:f>S94*S95</x:f>
        <x:v>274954337.8308784</x:v>
      </x:c>
      <x:c r="T96" s="39" t="n">
        <x:f>T94*T95</x:f>
        <x:v>243093327.4568044</x:v>
      </x:c>
      <x:c r="U96" s="39" t="n">
        <x:f>U94*U95</x:f>
        <x:v>214482908.59179097</x:v>
      </x:c>
      <x:c r="V96" s="39" t="n">
        <x:f>V94*V95</x:f>
        <x:v>246962858.00926146</x:v>
      </x:c>
      <x:c r="W96" s="39" t="n">
        <x:f>W94*W95</x:f>
        <x:v>171890208.3097244</x:v>
      </x:c>
      <x:c r="X96" s="39" t="n">
        <x:f>X94*X95</x:f>
        <x:v>131146886.45476788</x:v>
      </x:c>
      <x:c r="Y96" s="39" t="n">
        <x:f>Y94*Y95</x:f>
        <x:v>132829447.91726655</x:v>
      </x:c>
      <x:c r="Z96" s="39" t="n">
        <x:f>Z94*Z95</x:f>
        <x:v>103289603.6049292</x:v>
      </x:c>
      <x:c r="AA96" s="39" t="n">
        <x:f>AA94*AA95</x:f>
        <x:v>114404478.8642925</x:v>
      </x:c>
      <x:c r="AB96" s="39" t="n">
        <x:f>AB94*AB95</x:f>
        <x:v>65641999.928785555</x:v>
      </x:c>
      <x:c r="AC96" s="39" t="n">
        <x:f>AC94*AC95</x:f>
        <x:v>41206945.408843376</x:v>
      </x:c>
      <x:c r="AD96" s="39" t="n">
        <x:f>AD94*AD95</x:f>
        <x:v>22645514.05664764</x:v>
      </x:c>
      <x:c r="AE96" s="39" t="n">
        <x:f>AE94*AE95</x:f>
        <x:v>16041823.4446727</x:v>
      </x:c>
      <x:c r="AF96" s="39" t="n">
        <x:f>AF94*AF95</x:f>
        <x:v>5590753.786200739</x:v>
      </x:c>
      <x:c r="AG96" s="39" t="n">
        <x:f>AG94*AG95</x:f>
        <x:v>3544281.999250394</x:v>
      </x:c>
      <x:c r="AH96" s="39" t="n">
        <x:f>AH94*AH95</x:f>
        <x:v>2013240.5814206775</x:v>
      </x:c>
      <x:c r="AI96" s="39" t="n">
        <x:f>AI94*AI95</x:f>
        <x:v>1830733.5903896017</x:v>
      </x:c>
      <x:c r="AJ96" s="39" t="n">
        <x:f>AJ94*AJ95</x:f>
        <x:v>1692974.961471272</x:v>
      </x:c>
      <x:c r="AK96" s="39" t="n">
        <x:f>AK94*AK95</x:f>
        <x:v>1569859.6553848868</x:v>
      </x:c>
      <x:c r="AL96" s="39" t="n">
        <x:f>AL94*AL95</x:f>
        <x:v>4950902.4517647065</x:v>
      </x:c>
      <x:c r="AM96" s="39" t="n">
        <x:f>AM94*AM95</x:f>
        <x:v>240468.09507877045</x:v>
      </x:c>
      <x:c r="AN96" s="39" t="n">
        <x:f>AN94*AN95</x:f>
        <x:v>0</x:v>
      </x:c>
      <x:c r="AO96" s="39" t="n">
        <x:f>AO94*AO95</x:f>
        <x:v>0</x:v>
      </x:c>
      <x:c r="AP96" s="39" t="n">
        <x:f>AP94*AP95</x:f>
        <x:v>0</x:v>
      </x:c>
      <x:c r="AQ96" s="39" t="n">
        <x:f>AQ94*AQ95</x:f>
        <x:v>0</x:v>
      </x:c>
    </x:row>
    <x:row r="97" ht="21" customHeight="1">
      <x:c r="A97" s="2"/>
      <x:c r="B97" s="2"/>
      <x:c r="C97" s="2" t="str">
        <x:v>PV of rate-sensitive cash incl. working capital</x:v>
      </x:c>
      <x:c r="D97" s="2"/>
      <x:c r="E97" s="37" t="n">
        <x:f>(E98*(1-'Assumptions'!$D$95)-E100)*E95</x:f>
        <x:v>149178266.45030615</x:v>
      </x:c>
      <x:c r="F97" s="37" t="n">
        <x:f>(F98*(1-'Assumptions'!$D$95)-F100)*F95</x:f>
        <x:v>206867685.3578731</x:v>
      </x:c>
      <x:c r="G97" s="37" t="n">
        <x:f>(G98*(1-'Assumptions'!$D$95)-G100)*G95</x:f>
        <x:v>206083447.16517374</x:v>
      </x:c>
      <x:c r="H97" s="37" t="n">
        <x:f>(H98*(1-'Assumptions'!$D$95)-H100)*H95</x:f>
        <x:v>204414754.57774293</x:v>
      </x:c>
      <x:c r="I97" s="37" t="n">
        <x:f>(I98*(1-'Assumptions'!$D$95)-I100)*I95</x:f>
        <x:v>200560031.9685674</x:v>
      </x:c>
      <x:c r="J97" s="37" t="n">
        <x:f>(J98*(1-'Assumptions'!$D$95)-J100)*J95</x:f>
        <x:v>194684641.42880532</x:v>
      </x:c>
      <x:c r="K97" s="37" t="n">
        <x:f>(K98*(1-'Assumptions'!$D$95)-K100)*K95</x:f>
        <x:v>191054991.72901607</x:v>
      </x:c>
      <x:c r="L97" s="37" t="n">
        <x:f>(L98*(1-'Assumptions'!$D$95)-L100)*L95</x:f>
        <x:v>189509019.18467012</x:v>
      </x:c>
      <x:c r="M97" s="37" t="n">
        <x:f>(M98*(1-'Assumptions'!$D$95)-M100)*M95</x:f>
        <x:v>185935379.39334086</x:v>
      </x:c>
      <x:c r="N97" s="37" t="n">
        <x:f>(N98*(1-'Assumptions'!$D$95)-N100)*N95</x:f>
        <x:v>178545803.35318956</x:v>
      </x:c>
      <x:c r="O97" s="37" t="n">
        <x:f>(O98*(1-'Assumptions'!$D$95)-O100)*O95</x:f>
        <x:v>177161048.0840355</x:v>
      </x:c>
      <x:c r="P97" s="37" t="n">
        <x:f>(P98*(1-'Assumptions'!$D$95)-P100)*P95</x:f>
        <x:v>175726545.06214863</x:v>
      </x:c>
      <x:c r="Q97" s="37" t="n">
        <x:f>(Q98*(1-'Assumptions'!$D$95)-Q100)*Q95</x:f>
        <x:v>640909302.6968516</x:v>
      </x:c>
      <x:c r="R97" s="37" t="n">
        <x:f>(R98*(1-'Assumptions'!$D$95)-R100)*R95</x:f>
        <x:v>583166570.6821805</x:v>
      </x:c>
      <x:c r="S97" s="37" t="n">
        <x:f>(S98*(1-'Assumptions'!$D$95)-S100)*S95</x:f>
        <x:v>515525460.9770726</x:v>
      </x:c>
      <x:c r="T97" s="37" t="n">
        <x:f>(T98*(1-'Assumptions'!$D$95)-T100)*T95</x:f>
        <x:v>461937667.326276</x:v>
      </x:c>
      <x:c r="U97" s="37" t="n">
        <x:f>(U98*(1-'Assumptions'!$D$95)-U100)*U95</x:f>
        <x:v>418911928.47423804</x:v>
      </x:c>
      <x:c r="V97" s="37" t="n">
        <x:f>(V98*(1-'Assumptions'!$D$95)-V100)*V95</x:f>
        <x:v>369936774.8217926</x:v>
      </x:c>
      <x:c r="W97" s="37" t="n">
        <x:f>(W98*(1-'Assumptions'!$D$95)-W100)*W95</x:f>
        <x:v>295311686.15262955</x:v>
      </x:c>
      <x:c r="X97" s="37" t="n">
        <x:f>(X98*(1-'Assumptions'!$D$95)-X100)*X95</x:f>
        <x:v>252581078.6435539</x:v>
      </x:c>
      <x:c r="Y97" s="37" t="n">
        <x:f>(Y98*(1-'Assumptions'!$D$95)-Y100)*Y95</x:f>
        <x:v>220236624.78076527</x:v>
      </x:c>
      <x:c r="Z97" s="37" t="n">
        <x:f>(Z98*(1-'Assumptions'!$D$95)-Z100)*Z95</x:f>
        <x:v>177663302.5407978</x:v>
      </x:c>
      <x:c r="AA97" s="37" t="n">
        <x:f>(AA98*(1-'Assumptions'!$D$95)-AA100)*AA95</x:f>
        <x:v>139234943.1830393</x:v>
      </x:c>
      <x:c r="AB97" s="37" t="n">
        <x:f>(AB98*(1-'Assumptions'!$D$95)-AB100)*AB95</x:f>
        <x:v>79763536.77601327</x:v>
      </x:c>
      <x:c r="AC97" s="37" t="n">
        <x:f>(AC98*(1-'Assumptions'!$D$95)-AC100)*AC95</x:f>
        <x:v>49094400.033579856</x:v>
      </x:c>
      <x:c r="AD97" s="37" t="n">
        <x:f>(AD98*(1-'Assumptions'!$D$95)-AD100)*AD95</x:f>
        <x:v>31194948.720974613</x:v>
      </x:c>
      <x:c r="AE97" s="37" t="n">
        <x:f>(AE98*(1-'Assumptions'!$D$95)-AE100)*AE95</x:f>
        <x:v>21839505.274325516</x:v>
      </x:c>
      <x:c r="AF97" s="37" t="n">
        <x:f>(AF98*(1-'Assumptions'!$D$95)-AF100)*AF95</x:f>
        <x:v>14724324.99542603</x:v>
      </x:c>
      <x:c r="AG97" s="37" t="n">
        <x:f>(AG98*(1-'Assumptions'!$D$95)-AG100)*AG95</x:f>
        <x:v>11327627.312357455</x:v>
      </x:c>
      <x:c r="AH97" s="37" t="n">
        <x:f>(AH98*(1-'Assumptions'!$D$95)-AH100)*AH95</x:f>
        <x:v>9558205.351509543</x:v>
      </x:c>
      <x:c r="AI97" s="37" t="n">
        <x:f>(AI98*(1-'Assumptions'!$D$95)-AI100)*AI95</x:f>
        <x:v>8844500.039317468</x:v>
      </x:c>
      <x:c r="AJ97" s="37" t="n">
        <x:f>(AJ98*(1-'Assumptions'!$D$95)-AJ100)*AJ95</x:f>
        <x:v>8179055.647780525</x:v>
      </x:c>
      <x:c r="AK97" s="37" t="n">
        <x:f>(AK98*(1-'Assumptions'!$D$95)-AK100)*AK95</x:f>
        <x:v>7584225.382689832</x:v>
      </x:c>
      <x:c r="AL97" s="37" t="n">
        <x:f>(AL98*(1-'Assumptions'!$D$95)-AL100)*AL95</x:f>
        <x:v>5347448.898223234</x:v>
      </x:c>
      <x:c r="AM97" s="37" t="n">
        <x:f>(AM98*(1-'Assumptions'!$D$95)-AM100)*AM95</x:f>
        <x:v>240468.09507877045</x:v>
      </x:c>
      <x:c r="AN97" s="37" t="n">
        <x:f>(AN98*(1-'Assumptions'!$D$95)-AN100)*AN95</x:f>
        <x:v>0</x:v>
      </x:c>
      <x:c r="AO97" s="37" t="n">
        <x:f>(AO98*(1-'Assumptions'!$D$95)-AO100)*AO95</x:f>
        <x:v>0</x:v>
      </x:c>
      <x:c r="AP97" s="37" t="n">
        <x:f>(AP98*(1-'Assumptions'!$D$95)-AP100)*AP95</x:f>
        <x:v>0</x:v>
      </x:c>
      <x:c r="AQ97" s="37" t="n">
        <x:f>(AQ98*(1-'Assumptions'!$D$95)-AQ100)*AQ95</x:f>
        <x:v>0</x:v>
      </x:c>
    </x:row>
    <x:row r="98" ht="21" customHeight="1">
      <x:c r="A98" s="2"/>
      <x:c r="B98" s="2"/>
      <x:c r="C98" s="2" t="str">
        <x:v>Open-rate cash revenue</x:v>
      </x:c>
      <x:c r="D98" s="2"/>
      <x:c r="E98" s="39" t="n">
        <x:f>E12*(1-E14)*E13+E23*(1-E25)*E24+E34*(1-E36)*E35+E45*(1-E47)*E46+E56*(1-E58)*E57+E67*(1-E69)*E68</x:f>
        <x:v>196674894.70890114</x:v>
      </x:c>
      <x:c r="F98" s="39" t="n">
        <x:f>F12*(1-F14)*F13+F23*(1-F25)*F24+F34*(1-F36)*F35+F45*(1-F47)*F46+F56*(1-F58)*F57+F67*(1-F69)*F68</x:f>
        <x:v>218603216.24316984</x:v>
      </x:c>
      <x:c r="G98" s="39" t="n">
        <x:f>G12*(1-G14)*G13+G23*(1-G25)*G24+G34*(1-G36)*G35+G45*(1-G47)*G46+G56*(1-G58)*G57+G67*(1-G69)*G68</x:f>
        <x:v>222120069.93585736</x:v>
      </x:c>
      <x:c r="H98" s="39" t="n">
        <x:f>H12*(1-H14)*H13+H23*(1-H25)*H24+H34*(1-H36)*H35+H45*(1-H47)*H46+H56*(1-H58)*H57+H67*(1-H69)*H68</x:f>
        <x:v>225678491.40993452</x:v>
      </x:c>
      <x:c r="I98" s="39" t="n">
        <x:f>I12*(1-I14)*I13+I23*(1-I25)*I24+I34*(1-I36)*I35+I45*(1-I47)*I46+I56*(1-I58)*I57+I67*(1-I69)*I68</x:f>
        <x:v>226807747.01467162</x:v>
      </x:c>
      <x:c r="J98" s="39" t="n">
        <x:f>J12*(1-J14)*J13+J23*(1-J25)*J24+J34*(1-J36)*J35+J45*(1-J47)*J46+J56*(1-J58)*J57+J67*(1-J69)*J68</x:f>
        <x:v>225458899.60052916</x:v>
      </x:c>
      <x:c r="K98" s="39" t="n">
        <x:f>K12*(1-K14)*K13+K23*(1-K25)*K24+K34*(1-K36)*K35+K45*(1-K47)*K46+K56*(1-K58)*K57+K67*(1-K69)*K68</x:f>
        <x:v>226574763.53700456</x:v>
      </x:c>
      <x:c r="L98" s="39" t="n">
        <x:f>L12*(1-L14)*L13+L23*(1-L25)*L24+L34*(1-L36)*L35+L45*(1-L47)*L46+L56*(1-L58)*L57+L67*(1-L69)*L68</x:f>
        <x:v>230204550.36485347</x:v>
      </x:c>
      <x:c r="M98" s="39" t="n">
        <x:f>M12*(1-M14)*M13+M23*(1-M25)*M24+M34*(1-M36)*M35+M45*(1-M47)*M46+M56*(1-M58)*M57+M67*(1-M69)*M68</x:f>
        <x:v>231356453.5750858</x:v>
      </x:c>
      <x:c r="N98" s="39" t="n">
        <x:f>N12*(1-N14)*N13+N23*(1-N25)*N24+N34*(1-N36)*N35+N45*(1-N47)*N46+N56*(1-N58)*N57+N67*(1-N69)*N68</x:f>
        <x:v>227447125.7094798</x:v>
      </x:c>
      <x:c r="O98" s="39" t="n">
        <x:f>O12*(1-O14)*O13+O23*(1-O25)*O24+O34*(1-O36)*O35+O45*(1-O47)*O46+O56*(1-O58)*O57+O67*(1-O69)*O68</x:f>
        <x:v>231106258.80774468</x:v>
      </x:c>
      <x:c r="P98" s="39" t="n">
        <x:f>P12*(1-P14)*P13+P23*(1-P25)*P24+P34*(1-P36)*P35+P45*(1-P47)*P46+P56*(1-P58)*P57+P67*(1-P69)*P68</x:f>
        <x:v>234808641.37215048</x:v>
      </x:c>
      <x:c r="Q98" s="39" t="n">
        <x:f>Q12*(1-Q14)*Q13+Q23*(1-Q25)*Q24+Q34*(1-Q36)*Q35+Q45*(1-Q47)*Q46+Q56*(1-Q58)*Q57+Q67*(1-Q69)*Q68</x:f>
        <x:v>941606616.8293937</x:v>
      </x:c>
      <x:c r="R98" s="39" t="n">
        <x:f>R12*(1-R14)*R13+R23*(1-R25)*R24+R34*(1-R36)*R35+R45*(1-R47)*R46+R56*(1-R58)*R57+R67*(1-R69)*R68</x:f>
        <x:v>941963323.0891733</x:v>
      </x:c>
      <x:c r="S98" s="39" t="n">
        <x:f>S12*(1-S14)*S13+S23*(1-S25)*S24+S34*(1-S36)*S35+S45*(1-S47)*S46+S56*(1-S58)*S57+S67*(1-S69)*S68</x:f>
        <x:v>914702473.8240489</x:v>
      </x:c>
      <x:c r="T98" s="39" t="n">
        <x:f>T12*(1-T14)*T13+T23*(1-T25)*T24+T34*(1-T36)*T35+T45*(1-T47)*T46+T56*(1-T58)*T57+T67*(1-T69)*T68</x:f>
        <x:v>902573280.9659361</x:v>
      </x:c>
      <x:c r="U98" s="39" t="n">
        <x:f>U12*(1-U14)*U13+U23*(1-U25)*U24+U34*(1-U36)*U35+U45*(1-U47)*U46+U56*(1-U58)*U57+U67*(1-U69)*U68</x:f>
        <x:v>900747491.1714668</x:v>
      </x:c>
      <x:c r="V98" s="39" t="n">
        <x:f>V12*(1-V14)*V13+V23*(1-V25)*V24+V34*(1-V36)*V35+V45*(1-V47)*V46+V56*(1-V58)*V57+V67*(1-V69)*V68</x:f>
        <x:v>873715569.598851</x:v>
      </x:c>
      <x:c r="W98" s="39" t="n">
        <x:f>W12*(1-W14)*W13+W23*(1-W25)*W24+W34*(1-W36)*W35+W45*(1-W47)*W46+W56*(1-W58)*W57+W67*(1-W69)*W68</x:f>
        <x:v>762934738.9731079</x:v>
      </x:c>
      <x:c r="X98" s="39" t="n">
        <x:f>X12*(1-X14)*X13+X23*(1-X25)*X24+X34*(1-X36)*X35+X45*(1-X47)*X46+X56*(1-X58)*X57+X67*(1-X69)*X68</x:f>
        <x:v>721135032.4217783</x:v>
      </x:c>
      <x:c r="Y98" s="39" t="n">
        <x:f>Y12*(1-Y14)*Y13+Y23*(1-Y25)*Y24+Y34*(1-Y36)*Y35+Y45*(1-Y47)*Y46+Y56*(1-Y58)*Y57+Y67*(1-Y69)*Y68</x:f>
        <x:v>692124911.5699904</x:v>
      </x:c>
      <x:c r="Z98" s="39" t="n">
        <x:f>Z12*(1-Z14)*Z13+Z23*(1-Z25)*Z24+Z34*(1-Z36)*Z35+Z45*(1-Z47)*Z46+Z56*(1-Z58)*Z57+Z67*(1-Z69)*Z68</x:f>
        <x:v>611402606.4366152</x:v>
      </x:c>
      <x:c r="AA98" s="39" t="n">
        <x:f>AA12*(1-AA14)*AA13+AA23*(1-AA25)*AA24+AA34*(1-AA36)*AA35+AA45*(1-AA47)*AA46+AA56*(1-AA58)*AA57+AA67*(1-AA69)*AA68</x:f>
        <x:v>526362475.08949184</x:v>
      </x:c>
      <x:c r="AB98" s="39" t="n">
        <x:f>AB12*(1-AB14)*AB13+AB23*(1-AB25)*AB24+AB34*(1-AB36)*AB35+AB45*(1-AB47)*AB46+AB56*(1-AB58)*AB57+AB67*(1-AB69)*AB68</x:f>
        <x:v>324350405.97477937</x:v>
      </x:c>
      <x:c r="AC98" s="39" t="n">
        <x:f>AC12*(1-AC14)*AC13+AC23*(1-AC25)*AC24+AC34*(1-AC36)*AC35+AC45*(1-AC47)*AC46+AC56*(1-AC58)*AC57+AC67*(1-AC69)*AC68</x:f>
        <x:v>221244002.74918252</x:v>
      </x:c>
      <x:c r="AD98" s="39" t="n">
        <x:f>AD12*(1-AD14)*AD13+AD23*(1-AD25)*AD24+AD34*(1-AD36)*AD35+AD45*(1-AD47)*AD46+AD56*(1-AD58)*AD57+AD67*(1-AD69)*AD68</x:f>
        <x:v>154926998.37749848</x:v>
      </x:c>
      <x:c r="AE98" s="39" t="n">
        <x:f>AE12*(1-AE14)*AE13+AE23*(1-AE25)*AE24+AE34*(1-AE36)*AE35+AE45*(1-AE47)*AE46+AE56*(1-AE58)*AE57+AE67*(1-AE69)*AE68</x:f>
        <x:v>120144251.78478032</x:v>
      </x:c>
      <x:c r="AF98" s="39" t="n">
        <x:f>AF12*(1-AF14)*AF13+AF23*(1-AF25)*AF24+AF34*(1-AF36)*AF35+AF45*(1-AF47)*AF46+AF56*(1-AF58)*AF57+AF67*(1-AF69)*AF68</x:f>
        <x:v>88854838.67585222</x:v>
      </x:c>
      <x:c r="AG98" s="39" t="n">
        <x:f>AG12*(1-AG14)*AG13+AG23*(1-AG25)*AG24+AG34*(1-AG36)*AG35+AG45*(1-AG47)*AG46+AG56*(1-AG58)*AG57+AG67*(1-AG69)*AG68</x:f>
        <x:v>75856417.30852704</x:v>
      </x:c>
      <x:c r="AH98" s="39" t="n">
        <x:f>AH12*(1-AH14)*AH13+AH23*(1-AH25)*AH24+AH34*(1-AH36)*AH35+AH45*(1-AH47)*AH46+AH56*(1-AH58)*AH57+AH67*(1-AH69)*AH68</x:f>
        <x:v>70758143.84958251</x:v>
      </x:c>
      <x:c r="AI98" s="39" t="n">
        <x:f>AI12*(1-AI14)*AI13+AI23*(1-AI25)*AI24+AI34*(1-AI36)*AI35+AI45*(1-AI47)*AI46+AI56*(1-AI58)*AI57+AI67*(1-AI69)*AI68</x:f>
        <x:v>72373005.04117644</x:v>
      </x:c>
      <x:c r="AJ98" s="39" t="n">
        <x:f>AJ12*(1-AJ14)*AJ13+AJ23*(1-AJ25)*AJ24+AJ34*(1-AJ36)*AJ35+AJ45*(1-AJ47)*AJ46+AJ56*(1-AJ58)*AJ57+AJ67*(1-AJ69)*AJ68</x:f>
        <x:v>73620766.95716634</x:v>
      </x:c>
      <x:c r="AK98" s="39" t="n">
        <x:f>AK12*(1-AK14)*AK13+AK23*(1-AK25)*AK24+AK34*(1-AK36)*AK35+AK45*(1-AK47)*AK46+AK56*(1-AK58)*AK57+AK67*(1-AK69)*AK68</x:f>
        <x:v>75093182.29630968</x:v>
      </x:c>
      <x:c r="AL98" s="39" t="n">
        <x:f>AL12*(1-AL14)*AL13+AL23*(1-AL25)*AL24+AL34*(1-AL36)*AL35+AL45*(1-AL47)*AL46+AL56*(1-AL58)*AL57+AL67*(1-AL69)*AL68</x:f>
        <x:v>57288897.37597367</x:v>
      </x:c>
      <x:c r="AM98" s="39" t="n">
        <x:f>AM12*(1-AM14)*AM13+AM23*(1-AM25)*AM24+AM34*(1-AM36)*AM35+AM45*(1-AM47)*AM46+AM56*(1-AM58)*AM57+AM67*(1-AM69)*AM68</x:f>
        <x:v>0</x:v>
      </x:c>
      <x:c r="AN98" s="39" t="n">
        <x:f>AN12*(1-AN14)*AN13+AN23*(1-AN25)*AN24+AN34*(1-AN36)*AN35+AN45*(1-AN47)*AN46+AN56*(1-AN58)*AN57+AN67*(1-AN69)*AN68</x:f>
        <x:v>0</x:v>
      </x:c>
      <x:c r="AO98" s="39" t="n">
        <x:f>AO12*(1-AO14)*AO13+AO23*(1-AO25)*AO24+AO34*(1-AO36)*AO35+AO45*(1-AO47)*AO46+AO56*(1-AO58)*AO57+AO67*(1-AO69)*AO68</x:f>
        <x:v>0</x:v>
      </x:c>
      <x:c r="AP98" s="39" t="n">
        <x:f>AP12*(1-AP14)*AP13+AP23*(1-AP25)*AP24+AP34*(1-AP36)*AP35+AP45*(1-AP47)*AP46+AP56*(1-AP58)*AP57+AP67*(1-AP69)*AP68</x:f>
        <x:v>0</x:v>
      </x:c>
      <x:c r="AQ98" s="39" t="n">
        <x:f>AQ12*(1-AQ14)*AQ13+AQ23*(1-AQ25)*AQ24+AQ34*(1-AQ36)*AQ35+AQ45*(1-AQ47)*AQ46+AQ56*(1-AQ58)*AQ57+AQ67*(1-AQ69)*AQ68</x:f>
        <x:v>0</x:v>
      </x:c>
    </x:row>
    <x:row r="99" ht="21" customHeight="1">
      <x:c r="A99" s="2"/>
      <x:c r="B99" s="2"/>
      <x:c r="C99" s="2" t="str">
        <x:v>Open-rate working-capital target</x:v>
      </x:c>
      <x:c r="D99" s="2"/>
      <x:c r="E99" s="37" t="n">
        <x:f>E98/(E$8-E$7+1)*365*'Assumptions'!$D$150</x:f>
        <x:v>43244781.065511405</x:v>
      </x:c>
      <x:c r="F99" s="37" t="n">
        <x:f>F98/(F$8-F$7+1)*365*'Assumptions'!$D$150</x:f>
        <x:v>44327874.404865</x:v>
      </x:c>
      <x:c r="G99" s="37" t="n">
        <x:f>G98/(G$8-G$7+1)*365*'Assumptions'!$D$150</x:f>
        <x:v>44546057.98164173</x:v>
      </x:c>
      <x:c r="H99" s="37" t="n">
        <x:f>H98/(H$8-H$7+1)*365*'Assumptions'!$D$150</x:f>
        <x:v>44767744.219905496</x:v>
      </x:c>
      <x:c r="I99" s="37" t="n">
        <x:f>I98/(I$8-I$7+1)*365*'Assumptions'!$D$150</x:f>
        <x:v>44991754.16323649</x:v>
      </x:c>
      <x:c r="J99" s="37" t="n">
        <x:f>J98/(J$8-J$7+1)*365*'Assumptions'!$D$150</x:f>
        <x:v>45215658.436369866</x:v>
      </x:c>
      <x:c r="K99" s="37" t="n">
        <x:f>K98/(K$8-K$7+1)*365*'Assumptions'!$D$150</x:f>
        <x:v>45439444.335717954</x:v>
      </x:c>
      <x:c r="L99" s="37" t="n">
        <x:f>L98/(L$8-L$7+1)*365*'Assumptions'!$D$150</x:f>
        <x:v>45665576.566941045</x:v>
      </x:c>
      <x:c r="M99" s="37" t="n">
        <x:f>M98/(M$8-M$7+1)*365*'Assumptions'!$D$150</x:f>
        <x:v>45894079.10592735</x:v>
      </x:c>
      <x:c r="N99" s="37" t="n">
        <x:f>N98/(N$8-N$7+1)*365*'Assumptions'!$D$150</x:f>
        <x:v>46121222.71331119</x:v>
      </x:c>
      <x:c r="O99" s="37" t="n">
        <x:f>O98/(O$8-O$7+1)*365*'Assumptions'!$D$150</x:f>
        <x:v>46348233.222432315</x:v>
      </x:c>
      <x:c r="P99" s="37" t="n">
        <x:f>P98/(P$8-P$7+1)*365*'Assumptions'!$D$150</x:f>
        <x:v>46578888.09827986</x:v>
      </x:c>
      <x:c r="Q99" s="37" t="n">
        <x:f>Q98/(Q$8-Q$7+1)*365*'Assumptions'!$D$150</x:f>
        <x:v>47080330.84146969</x:v>
      </x:c>
      <x:c r="R99" s="37" t="n">
        <x:f>R98/(R$8-R$7+1)*365*'Assumptions'!$D$150</x:f>
        <x:v>47098166.15445867</x:v>
      </x:c>
      <x:c r="S99" s="37" t="n">
        <x:f>S98/(S$8-S$7+1)*365*'Assumptions'!$D$150</x:f>
        <x:v>45610164.3368549</x:v>
      </x:c>
      <x:c r="T99" s="37" t="n">
        <x:f>T98/(T$8-T$7+1)*365*'Assumptions'!$D$150</x:f>
        <x:v>45128664.04829681</x:v>
      </x:c>
      <x:c r="U99" s="37" t="n">
        <x:f>U98/(U$8-U$7+1)*365*'Assumptions'!$D$150</x:f>
        <x:v>45037374.55857334</x:v>
      </x:c>
      <x:c r="V99" s="37" t="n">
        <x:f>V98/(V$8-V$7+1)*365*'Assumptions'!$D$150</x:f>
        <x:v>43685778.47994256</x:v>
      </x:c>
      <x:c r="W99" s="37" t="n">
        <x:f>W98/(W$8-W$7+1)*365*'Assumptions'!$D$150</x:f>
        <x:v>38042510.891418636</x:v>
      </x:c>
      <x:c r="X99" s="37" t="n">
        <x:f>X98/(X$8-X$7+1)*365*'Assumptions'!$D$150</x:f>
        <x:v>36056751.621088915</x:v>
      </x:c>
      <x:c r="Y99" s="37" t="n">
        <x:f>Y98/(Y$8-Y$7+1)*365*'Assumptions'!$D$150</x:f>
        <x:v>34606245.57849952</x:v>
      </x:c>
      <x:c r="Z99" s="37" t="n">
        <x:f>Z98/(Z$8-Z$7+1)*365*'Assumptions'!$D$150</x:f>
        <x:v>30570130.321830764</x:v>
      </x:c>
      <x:c r="AA99" s="37" t="n">
        <x:f>AA98/(AA$8-AA$7+1)*365*'Assumptions'!$D$150</x:f>
        <x:v>26246216.312522475</x:v>
      </x:c>
      <x:c r="AB99" s="37" t="n">
        <x:f>AB98/(AB$8-AB$7+1)*365*'Assumptions'!$D$150</x:f>
        <x:v>16217520.29873897</x:v>
      </x:c>
      <x:c r="AC99" s="37" t="n">
        <x:f>AC98/(AC$8-AC$7+1)*365*'Assumptions'!$D$150</x:f>
        <x:v>11062200.137459127</x:v>
      </x:c>
      <x:c r="AD99" s="37" t="n">
        <x:f>AD98/(AD$8-AD$7+1)*365*'Assumptions'!$D$150</x:f>
        <x:v>7746349.918874924</x:v>
      </x:c>
      <x:c r="AE99" s="37" t="n">
        <x:f>AE98/(AE$8-AE$7+1)*365*'Assumptions'!$D$150</x:f>
        <x:v>5990799.44008809</x:v>
      </x:c>
      <x:c r="AF99" s="37" t="n">
        <x:f>AF98/(AF$8-AF$7+1)*365*'Assumptions'!$D$150</x:f>
        <x:v>4442741.933792612</x:v>
      </x:c>
      <x:c r="AG99" s="37" t="n">
        <x:f>AG98/(AG$8-AG$7+1)*365*'Assumptions'!$D$150</x:f>
        <x:v>3792820.8654263522</x:v>
      </x:c>
      <x:c r="AH99" s="37" t="n">
        <x:f>AH98/(AH$8-AH$7+1)*365*'Assumptions'!$D$150</x:f>
        <x:v>3537907.1924791257</x:v>
      </x:c>
      <x:c r="AI99" s="37" t="n">
        <x:f>AI98/(AI$8-AI$7+1)*365*'Assumptions'!$D$150</x:f>
        <x:v>3608763.2295122133</x:v>
      </x:c>
      <x:c r="AJ99" s="37" t="n">
        <x:f>AJ98/(AJ$8-AJ$7+1)*365*'Assumptions'!$D$150</x:f>
        <x:v>3681038.347858317</x:v>
      </x:c>
      <x:c r="AK99" s="37" t="n">
        <x:f>AK98/(AK$8-AK$7+1)*365*'Assumptions'!$D$150</x:f>
        <x:v>3754659.1148154843</x:v>
      </x:c>
      <x:c r="AL99" s="37" t="n">
        <x:f>AL98/(AL$8-AL$7+1)*365*'Assumptions'!$D$150</x:f>
        <x:v>2864444.868798684</x:v>
      </x:c>
      <x:c r="AM99" s="37" t="n">
        <x:f>AM98/(AM$8-AM$7+1)*365*'Assumptions'!$D$150</x:f>
        <x:v>0</x:v>
      </x:c>
      <x:c r="AN99" s="37" t="n">
        <x:f>AN98/(AN$8-AN$7+1)*365*'Assumptions'!$D$150</x:f>
        <x:v>0</x:v>
      </x:c>
      <x:c r="AO99" s="37" t="n">
        <x:f>AO98/(AO$8-AO$7+1)*365*'Assumptions'!$D$150</x:f>
        <x:v>0</x:v>
      </x:c>
      <x:c r="AP99" s="37" t="n">
        <x:f>AP98/(AP$8-AP$7+1)*365*'Assumptions'!$D$150</x:f>
        <x:v>0</x:v>
      </x:c>
      <x:c r="AQ99" s="37" t="n">
        <x:f>AQ98/(AQ$8-AQ$7+1)*365*'Assumptions'!$D$150</x:f>
        <x:v>0</x:v>
      </x:c>
    </x:row>
    <x:row r="100" ht="21" customHeight="1">
      <x:c r="A100" s="2"/>
      <x:c r="B100" s="2"/>
      <x:c r="C100" s="2" t="str">
        <x:v>Change in rate-sensitive working capital</x:v>
      </x:c>
      <x:c r="D100" s="2"/>
      <x:c r="E100" s="39" t="n">
        <x:f>E99-0</x:f>
        <x:v>43244781.065511405</x:v>
      </x:c>
      <x:c r="F100" s="39" t="n">
        <x:f>F99-E99</x:f>
        <x:v>1083093.3393535912</x:v>
      </x:c>
      <x:c r="G100" s="39" t="n">
        <x:f>G99-F99</x:f>
        <x:v>218183.57677673548</x:v>
      </x:c>
      <x:c r="H100" s="39" t="n">
        <x:f>H99-G99</x:f>
        <x:v>221686.2382637635</x:v>
      </x:c>
      <x:c r="I100" s="39" t="n">
        <x:f>I99-H99</x:f>
        <x:v>224009.94333099574</x:v>
      </x:c>
      <x:c r="J100" s="39" t="n">
        <x:f>J99-I99</x:f>
        <x:v>223904.27313337475</x:v>
      </x:c>
      <x:c r="K100" s="39" t="n">
        <x:f>K99-J99</x:f>
        <x:v>223785.8993480876</x:v>
      </x:c>
      <x:c r="L100" s="39" t="n">
        <x:f>L99-K99</x:f>
        <x:v>226132.23122309148</x:v>
      </x:c>
      <x:c r="M100" s="39" t="n">
        <x:f>M99-L99</x:f>
        <x:v>228502.5389863029</x:v>
      </x:c>
      <x:c r="N100" s="39" t="n">
        <x:f>N99-M99</x:f>
        <x:v>227143.6073838398</x:v>
      </x:c>
      <x:c r="O100" s="39" t="n">
        <x:f>O99-N99</x:f>
        <x:v>227010.50912112743</x:v>
      </x:c>
      <x:c r="P100" s="39" t="n">
        <x:f>P99-O99</x:f>
        <x:v>230654.87584754825</x:v>
      </x:c>
      <x:c r="Q100" s="39" t="n">
        <x:f>Q99-P99</x:f>
        <x:v>501442.7431898266</x:v>
      </x:c>
      <x:c r="R100" s="39" t="n">
        <x:f>R99-Q99</x:f>
        <x:v>17835.312988981605</x:v>
      </x:c>
      <x:c r="S100" s="39" t="n">
        <x:f>S99-R99</x:f>
        <x:v>-1488001.8176037744</x:v>
      </x:c>
      <x:c r="T100" s="39" t="n">
        <x:f>T99-S99</x:f>
        <x:v>-481500.28855808824</x:v>
      </x:c>
      <x:c r="U100" s="39" t="n">
        <x:f>U99-T99</x:f>
        <x:v>-91289.48972346634</x:v>
      </x:c>
      <x:c r="V100" s="39" t="n">
        <x:f>V99-U99</x:f>
        <x:v>-1351596.0786307827</x:v>
      </x:c>
      <x:c r="W100" s="39" t="n">
        <x:f>W99-V99</x:f>
        <x:v>-5643267.588523924</x:v>
      </x:c>
      <x:c r="X100" s="39" t="n">
        <x:f>X99-W99</x:f>
        <x:v>-1985759.2703297213</x:v>
      </x:c>
      <x:c r="Y100" s="39" t="n">
        <x:f>Y99-X99</x:f>
        <x:v>-1450506.0425893962</x:v>
      </x:c>
      <x:c r="Z100" s="39" t="n">
        <x:f>Z99-Y99</x:f>
        <x:v>-4036115.256668754</x:v>
      </x:c>
      <x:c r="AA100" s="39" t="n">
        <x:f>AA99-Z99</x:f>
        <x:v>-4323914.00930829</x:v>
      </x:c>
      <x:c r="AB100" s="39" t="n">
        <x:f>AB99-AA99</x:f>
        <x:v>-10028696.013783505</x:v>
      </x:c>
      <x:c r="AC100" s="39" t="n">
        <x:f>AC99-AB99</x:f>
        <x:v>-5155320.161279842</x:v>
      </x:c>
      <x:c r="AD100" s="39" t="n">
        <x:f>AD99-AC99</x:f>
        <x:v>-3315850.218584203</x:v>
      </x:c>
      <x:c r="AE100" s="39" t="n">
        <x:f>AE99-AD99</x:f>
        <x:v>-1755550.4787868345</x:v>
      </x:c>
      <x:c r="AF100" s="39" t="n">
        <x:f>AF99-AE99</x:f>
        <x:v>-1548057.506295478</x:v>
      </x:c>
      <x:c r="AG100" s="39" t="n">
        <x:f>AG99-AF99</x:f>
        <x:v>-649921.0683662593</x:v>
      </x:c>
      <x:c r="AH100" s="39" t="n">
        <x:f>AH99-AG99</x:f>
        <x:v>-254913.67294722656</x:v>
      </x:c>
      <x:c r="AI100" s="39" t="n">
        <x:f>AI99-AH99</x:f>
        <x:v>70856.03703308757</x:v>
      </x:c>
      <x:c r="AJ100" s="39" t="n">
        <x:f>AJ99-AI99</x:f>
        <x:v>72275.11834610393</x:v>
      </x:c>
      <x:c r="AK100" s="39" t="n">
        <x:f>AK99-AJ99</x:f>
        <x:v>73620.76695716707</x:v>
      </x:c>
      <x:c r="AL100" s="39" t="n">
        <x:f>AL99-AK99</x:f>
        <x:v>-890214.2460168004</x:v>
      </x:c>
      <x:c r="AM100" s="39" t="n">
        <x:f>AM99-AL99</x:f>
        <x:v>-2864444.868798684</x:v>
      </x:c>
      <x:c r="AN100" s="39" t="n">
        <x:f>AN99-AM99</x:f>
        <x:v>0</x:v>
      </x:c>
      <x:c r="AO100" s="39" t="n">
        <x:f>AO99-AN99</x:f>
        <x:v>0</x:v>
      </x:c>
      <x:c r="AP100" s="39" t="n">
        <x:f>AP99-AO99</x:f>
        <x:v>0</x:v>
      </x:c>
      <x:c r="AQ100" s="39" t="n">
        <x:f>AQ99-AP99</x:f>
        <x:v>0</x:v>
      </x:c>
    </x:row>
    <x:row r="101" ht="21" customHeight="1">
      <x:c r="A101" s="2"/>
      <x:c r="B101" s="2"/>
      <x:c r="C101" s="2" t="str">
        <x:v>Open revenue at unit rate multiplier</x:v>
      </x:c>
      <x:c r="D101" s="2"/>
      <x:c r="E101" s="37" t="n">
        <x:f>E12*(1-E14)*'Assumptions'!$D$10*(1+'Assumptions'!$D$90)^(((E$7+E$8)/2-46304)/365)+E23*(1-E25)*'Assumptions'!$D$15*(1+'Assumptions'!$D$90)^(((E$7+E$8)/2-46304)/365)+E34*(1-E36)*'Assumptions'!$D$20*(1+'Assumptions'!$D$90)^(((E$7+E$8)/2-46304)/365)+E45*(1-E47)*'Assumptions'!$D$25*(1+'Assumptions'!$D$90)^(((E$7+E$8)/2-46304)/365)+E56*(1-E58)*'Assumptions'!$D$30*(1+'Assumptions'!$D$90)^(((E$7+E$8)/2-46304)/365)+E67*(1-E69)*'Assumptions'!$D$35*(1+'Assumptions'!$D$90)^(((E$7+E$8)/2-46304)/365)</x:f>
        <x:v>196674894.7089012</x:v>
      </x:c>
      <x:c r="F101" s="37" t="n">
        <x:f>F12*(1-F14)*'Assumptions'!$D$10*(1+'Assumptions'!$D$90)^(((F$7+F$8)/2-46304)/365)+F23*(1-F25)*'Assumptions'!$D$15*(1+'Assumptions'!$D$90)^(((F$7+F$8)/2-46304)/365)+F34*(1-F36)*'Assumptions'!$D$20*(1+'Assumptions'!$D$90)^(((F$7+F$8)/2-46304)/365)+F45*(1-F47)*'Assumptions'!$D$25*(1+'Assumptions'!$D$90)^(((F$7+F$8)/2-46304)/365)+F56*(1-F58)*'Assumptions'!$D$30*(1+'Assumptions'!$D$90)^(((F$7+F$8)/2-46304)/365)+F67*(1-F69)*'Assumptions'!$D$35*(1+'Assumptions'!$D$90)^(((F$7+F$8)/2-46304)/365)</x:f>
        <x:v>218603216.24316984</x:v>
      </x:c>
      <x:c r="G101" s="37" t="n">
        <x:f>G12*(1-G14)*'Assumptions'!$D$10*(1+'Assumptions'!$D$90)^(((G$7+G$8)/2-46304)/365)+G23*(1-G25)*'Assumptions'!$D$15*(1+'Assumptions'!$D$90)^(((G$7+G$8)/2-46304)/365)+G34*(1-G36)*'Assumptions'!$D$20*(1+'Assumptions'!$D$90)^(((G$7+G$8)/2-46304)/365)+G45*(1-G47)*'Assumptions'!$D$25*(1+'Assumptions'!$D$90)^(((G$7+G$8)/2-46304)/365)+G56*(1-G58)*'Assumptions'!$D$30*(1+'Assumptions'!$D$90)^(((G$7+G$8)/2-46304)/365)+G67*(1-G69)*'Assumptions'!$D$35*(1+'Assumptions'!$D$90)^(((G$7+G$8)/2-46304)/365)</x:f>
        <x:v>222120069.93585736</x:v>
      </x:c>
      <x:c r="H101" s="37" t="n">
        <x:f>H12*(1-H14)*'Assumptions'!$D$10*(1+'Assumptions'!$D$90)^(((H$7+H$8)/2-46304)/365)+H23*(1-H25)*'Assumptions'!$D$15*(1+'Assumptions'!$D$90)^(((H$7+H$8)/2-46304)/365)+H34*(1-H36)*'Assumptions'!$D$20*(1+'Assumptions'!$D$90)^(((H$7+H$8)/2-46304)/365)+H45*(1-H47)*'Assumptions'!$D$25*(1+'Assumptions'!$D$90)^(((H$7+H$8)/2-46304)/365)+H56*(1-H58)*'Assumptions'!$D$30*(1+'Assumptions'!$D$90)^(((H$7+H$8)/2-46304)/365)+H67*(1-H69)*'Assumptions'!$D$35*(1+'Assumptions'!$D$90)^(((H$7+H$8)/2-46304)/365)</x:f>
        <x:v>225678491.40993452</x:v>
      </x:c>
      <x:c r="I101" s="37" t="n">
        <x:f>I12*(1-I14)*'Assumptions'!$D$10*(1+'Assumptions'!$D$90)^(((I$7+I$8)/2-46304)/365)+I23*(1-I25)*'Assumptions'!$D$15*(1+'Assumptions'!$D$90)^(((I$7+I$8)/2-46304)/365)+I34*(1-I36)*'Assumptions'!$D$20*(1+'Assumptions'!$D$90)^(((I$7+I$8)/2-46304)/365)+I45*(1-I47)*'Assumptions'!$D$25*(1+'Assumptions'!$D$90)^(((I$7+I$8)/2-46304)/365)+I56*(1-I58)*'Assumptions'!$D$30*(1+'Assumptions'!$D$90)^(((I$7+I$8)/2-46304)/365)+I67*(1-I69)*'Assumptions'!$D$35*(1+'Assumptions'!$D$90)^(((I$7+I$8)/2-46304)/365)</x:f>
        <x:v>226807747.0146716</x:v>
      </x:c>
      <x:c r="J101" s="37" t="n">
        <x:f>J12*(1-J14)*'Assumptions'!$D$10*(1+'Assumptions'!$D$90)^(((J$7+J$8)/2-46304)/365)+J23*(1-J25)*'Assumptions'!$D$15*(1+'Assumptions'!$D$90)^(((J$7+J$8)/2-46304)/365)+J34*(1-J36)*'Assumptions'!$D$20*(1+'Assumptions'!$D$90)^(((J$7+J$8)/2-46304)/365)+J45*(1-J47)*'Assumptions'!$D$25*(1+'Assumptions'!$D$90)^(((J$7+J$8)/2-46304)/365)+J56*(1-J58)*'Assumptions'!$D$30*(1+'Assumptions'!$D$90)^(((J$7+J$8)/2-46304)/365)+J67*(1-J69)*'Assumptions'!$D$35*(1+'Assumptions'!$D$90)^(((J$7+J$8)/2-46304)/365)</x:f>
        <x:v>225458899.60052913</x:v>
      </x:c>
      <x:c r="K101" s="37" t="n">
        <x:f>K12*(1-K14)*'Assumptions'!$D$10*(1+'Assumptions'!$D$90)^(((K$7+K$8)/2-46304)/365)+K23*(1-K25)*'Assumptions'!$D$15*(1+'Assumptions'!$D$90)^(((K$7+K$8)/2-46304)/365)+K34*(1-K36)*'Assumptions'!$D$20*(1+'Assumptions'!$D$90)^(((K$7+K$8)/2-46304)/365)+K45*(1-K47)*'Assumptions'!$D$25*(1+'Assumptions'!$D$90)^(((K$7+K$8)/2-46304)/365)+K56*(1-K58)*'Assumptions'!$D$30*(1+'Assumptions'!$D$90)^(((K$7+K$8)/2-46304)/365)+K67*(1-K69)*'Assumptions'!$D$35*(1+'Assumptions'!$D$90)^(((K$7+K$8)/2-46304)/365)</x:f>
        <x:v>226574763.53700456</x:v>
      </x:c>
      <x:c r="L101" s="37" t="n">
        <x:f>L12*(1-L14)*'Assumptions'!$D$10*(1+'Assumptions'!$D$90)^(((L$7+L$8)/2-46304)/365)+L23*(1-L25)*'Assumptions'!$D$15*(1+'Assumptions'!$D$90)^(((L$7+L$8)/2-46304)/365)+L34*(1-L36)*'Assumptions'!$D$20*(1+'Assumptions'!$D$90)^(((L$7+L$8)/2-46304)/365)+L45*(1-L47)*'Assumptions'!$D$25*(1+'Assumptions'!$D$90)^(((L$7+L$8)/2-46304)/365)+L56*(1-L58)*'Assumptions'!$D$30*(1+'Assumptions'!$D$90)^(((L$7+L$8)/2-46304)/365)+L67*(1-L69)*'Assumptions'!$D$35*(1+'Assumptions'!$D$90)^(((L$7+L$8)/2-46304)/365)</x:f>
        <x:v>230204550.36485347</x:v>
      </x:c>
      <x:c r="M101" s="37" t="n">
        <x:f>M12*(1-M14)*'Assumptions'!$D$10*(1+'Assumptions'!$D$90)^(((M$7+M$8)/2-46304)/365)+M23*(1-M25)*'Assumptions'!$D$15*(1+'Assumptions'!$D$90)^(((M$7+M$8)/2-46304)/365)+M34*(1-M36)*'Assumptions'!$D$20*(1+'Assumptions'!$D$90)^(((M$7+M$8)/2-46304)/365)+M45*(1-M47)*'Assumptions'!$D$25*(1+'Assumptions'!$D$90)^(((M$7+M$8)/2-46304)/365)+M56*(1-M58)*'Assumptions'!$D$30*(1+'Assumptions'!$D$90)^(((M$7+M$8)/2-46304)/365)+M67*(1-M69)*'Assumptions'!$D$35*(1+'Assumptions'!$D$90)^(((M$7+M$8)/2-46304)/365)</x:f>
        <x:v>231356453.5750858</x:v>
      </x:c>
      <x:c r="N101" s="37" t="n">
        <x:f>N12*(1-N14)*'Assumptions'!$D$10*(1+'Assumptions'!$D$90)^(((N$7+N$8)/2-46304)/365)+N23*(1-N25)*'Assumptions'!$D$15*(1+'Assumptions'!$D$90)^(((N$7+N$8)/2-46304)/365)+N34*(1-N36)*'Assumptions'!$D$20*(1+'Assumptions'!$D$90)^(((N$7+N$8)/2-46304)/365)+N45*(1-N47)*'Assumptions'!$D$25*(1+'Assumptions'!$D$90)^(((N$7+N$8)/2-46304)/365)+N56*(1-N58)*'Assumptions'!$D$30*(1+'Assumptions'!$D$90)^(((N$7+N$8)/2-46304)/365)+N67*(1-N69)*'Assumptions'!$D$35*(1+'Assumptions'!$D$90)^(((N$7+N$8)/2-46304)/365)</x:f>
        <x:v>227447125.7094798</x:v>
      </x:c>
      <x:c r="O101" s="37" t="n">
        <x:f>O12*(1-O14)*'Assumptions'!$D$10*(1+'Assumptions'!$D$90)^(((O$7+O$8)/2-46304)/365)+O23*(1-O25)*'Assumptions'!$D$15*(1+'Assumptions'!$D$90)^(((O$7+O$8)/2-46304)/365)+O34*(1-O36)*'Assumptions'!$D$20*(1+'Assumptions'!$D$90)^(((O$7+O$8)/2-46304)/365)+O45*(1-O47)*'Assumptions'!$D$25*(1+'Assumptions'!$D$90)^(((O$7+O$8)/2-46304)/365)+O56*(1-O58)*'Assumptions'!$D$30*(1+'Assumptions'!$D$90)^(((O$7+O$8)/2-46304)/365)+O67*(1-O69)*'Assumptions'!$D$35*(1+'Assumptions'!$D$90)^(((O$7+O$8)/2-46304)/365)</x:f>
        <x:v>231106258.80774468</x:v>
      </x:c>
      <x:c r="P101" s="37" t="n">
        <x:f>P12*(1-P14)*'Assumptions'!$D$10*(1+'Assumptions'!$D$90)^(((P$7+P$8)/2-46304)/365)+P23*(1-P25)*'Assumptions'!$D$15*(1+'Assumptions'!$D$90)^(((P$7+P$8)/2-46304)/365)+P34*(1-P36)*'Assumptions'!$D$20*(1+'Assumptions'!$D$90)^(((P$7+P$8)/2-46304)/365)+P45*(1-P47)*'Assumptions'!$D$25*(1+'Assumptions'!$D$90)^(((P$7+P$8)/2-46304)/365)+P56*(1-P58)*'Assumptions'!$D$30*(1+'Assumptions'!$D$90)^(((P$7+P$8)/2-46304)/365)+P67*(1-P69)*'Assumptions'!$D$35*(1+'Assumptions'!$D$90)^(((P$7+P$8)/2-46304)/365)</x:f>
        <x:v>234808641.37215048</x:v>
      </x:c>
      <x:c r="Q101" s="37" t="n">
        <x:f>Q12*(1-Q14)*'Assumptions'!$D$10*(1+'Assumptions'!$D$90)^(((Q$7+Q$8)/2-46304)/365)+Q23*(1-Q25)*'Assumptions'!$D$15*(1+'Assumptions'!$D$90)^(((Q$7+Q$8)/2-46304)/365)+Q34*(1-Q36)*'Assumptions'!$D$20*(1+'Assumptions'!$D$90)^(((Q$7+Q$8)/2-46304)/365)+Q45*(1-Q47)*'Assumptions'!$D$25*(1+'Assumptions'!$D$90)^(((Q$7+Q$8)/2-46304)/365)+Q56*(1-Q58)*'Assumptions'!$D$30*(1+'Assumptions'!$D$90)^(((Q$7+Q$8)/2-46304)/365)+Q67*(1-Q69)*'Assumptions'!$D$35*(1+'Assumptions'!$D$90)^(((Q$7+Q$8)/2-46304)/365)</x:f>
        <x:v>941606616.8293937</x:v>
      </x:c>
      <x:c r="R101" s="37" t="n">
        <x:f>R12*(1-R14)*'Assumptions'!$D$10*(1+'Assumptions'!$D$90)^(((R$7+R$8)/2-46304)/365)+R23*(1-R25)*'Assumptions'!$D$15*(1+'Assumptions'!$D$90)^(((R$7+R$8)/2-46304)/365)+R34*(1-R36)*'Assumptions'!$D$20*(1+'Assumptions'!$D$90)^(((R$7+R$8)/2-46304)/365)+R45*(1-R47)*'Assumptions'!$D$25*(1+'Assumptions'!$D$90)^(((R$7+R$8)/2-46304)/365)+R56*(1-R58)*'Assumptions'!$D$30*(1+'Assumptions'!$D$90)^(((R$7+R$8)/2-46304)/365)+R67*(1-R69)*'Assumptions'!$D$35*(1+'Assumptions'!$D$90)^(((R$7+R$8)/2-46304)/365)</x:f>
        <x:v>941963323.0891733</x:v>
      </x:c>
      <x:c r="S101" s="37" t="n">
        <x:f>S12*(1-S14)*'Assumptions'!$D$10*(1+'Assumptions'!$D$90)^(((S$7+S$8)/2-46304)/365)+S23*(1-S25)*'Assumptions'!$D$15*(1+'Assumptions'!$D$90)^(((S$7+S$8)/2-46304)/365)+S34*(1-S36)*'Assumptions'!$D$20*(1+'Assumptions'!$D$90)^(((S$7+S$8)/2-46304)/365)+S45*(1-S47)*'Assumptions'!$D$25*(1+'Assumptions'!$D$90)^(((S$7+S$8)/2-46304)/365)+S56*(1-S58)*'Assumptions'!$D$30*(1+'Assumptions'!$D$90)^(((S$7+S$8)/2-46304)/365)+S67*(1-S69)*'Assumptions'!$D$35*(1+'Assumptions'!$D$90)^(((S$7+S$8)/2-46304)/365)</x:f>
        <x:v>914702473.8240489</x:v>
      </x:c>
      <x:c r="T101" s="37" t="n">
        <x:f>T12*(1-T14)*'Assumptions'!$D$10*(1+'Assumptions'!$D$90)^(((T$7+T$8)/2-46304)/365)+T23*(1-T25)*'Assumptions'!$D$15*(1+'Assumptions'!$D$90)^(((T$7+T$8)/2-46304)/365)+T34*(1-T36)*'Assumptions'!$D$20*(1+'Assumptions'!$D$90)^(((T$7+T$8)/2-46304)/365)+T45*(1-T47)*'Assumptions'!$D$25*(1+'Assumptions'!$D$90)^(((T$7+T$8)/2-46304)/365)+T56*(1-T58)*'Assumptions'!$D$30*(1+'Assumptions'!$D$90)^(((T$7+T$8)/2-46304)/365)+T67*(1-T69)*'Assumptions'!$D$35*(1+'Assumptions'!$D$90)^(((T$7+T$8)/2-46304)/365)</x:f>
        <x:v>902573280.965936</x:v>
      </x:c>
      <x:c r="U101" s="37" t="n">
        <x:f>U12*(1-U14)*'Assumptions'!$D$10*(1+'Assumptions'!$D$90)^(((U$7+U$8)/2-46304)/365)+U23*(1-U25)*'Assumptions'!$D$15*(1+'Assumptions'!$D$90)^(((U$7+U$8)/2-46304)/365)+U34*(1-U36)*'Assumptions'!$D$20*(1+'Assumptions'!$D$90)^(((U$7+U$8)/2-46304)/365)+U45*(1-U47)*'Assumptions'!$D$25*(1+'Assumptions'!$D$90)^(((U$7+U$8)/2-46304)/365)+U56*(1-U58)*'Assumptions'!$D$30*(1+'Assumptions'!$D$90)^(((U$7+U$8)/2-46304)/365)+U67*(1-U69)*'Assumptions'!$D$35*(1+'Assumptions'!$D$90)^(((U$7+U$8)/2-46304)/365)</x:f>
        <x:v>900747491.171467</x:v>
      </x:c>
      <x:c r="V101" s="37" t="n">
        <x:f>V12*(1-V14)*'Assumptions'!$D$10*(1+'Assumptions'!$D$90)^(((V$7+V$8)/2-46304)/365)+V23*(1-V25)*'Assumptions'!$D$15*(1+'Assumptions'!$D$90)^(((V$7+V$8)/2-46304)/365)+V34*(1-V36)*'Assumptions'!$D$20*(1+'Assumptions'!$D$90)^(((V$7+V$8)/2-46304)/365)+V45*(1-V47)*'Assumptions'!$D$25*(1+'Assumptions'!$D$90)^(((V$7+V$8)/2-46304)/365)+V56*(1-V58)*'Assumptions'!$D$30*(1+'Assumptions'!$D$90)^(((V$7+V$8)/2-46304)/365)+V67*(1-V69)*'Assumptions'!$D$35*(1+'Assumptions'!$D$90)^(((V$7+V$8)/2-46304)/365)</x:f>
        <x:v>873715569.598851</x:v>
      </x:c>
      <x:c r="W101" s="37" t="n">
        <x:f>W12*(1-W14)*'Assumptions'!$D$10*(1+'Assumptions'!$D$90)^(((W$7+W$8)/2-46304)/365)+W23*(1-W25)*'Assumptions'!$D$15*(1+'Assumptions'!$D$90)^(((W$7+W$8)/2-46304)/365)+W34*(1-W36)*'Assumptions'!$D$20*(1+'Assumptions'!$D$90)^(((W$7+W$8)/2-46304)/365)+W45*(1-W47)*'Assumptions'!$D$25*(1+'Assumptions'!$D$90)^(((W$7+W$8)/2-46304)/365)+W56*(1-W58)*'Assumptions'!$D$30*(1+'Assumptions'!$D$90)^(((W$7+W$8)/2-46304)/365)+W67*(1-W69)*'Assumptions'!$D$35*(1+'Assumptions'!$D$90)^(((W$7+W$8)/2-46304)/365)</x:f>
        <x:v>762934738.9731079</x:v>
      </x:c>
      <x:c r="X101" s="37" t="n">
        <x:f>X12*(1-X14)*'Assumptions'!$D$10*(1+'Assumptions'!$D$90)^(((X$7+X$8)/2-46304)/365)+X23*(1-X25)*'Assumptions'!$D$15*(1+'Assumptions'!$D$90)^(((X$7+X$8)/2-46304)/365)+X34*(1-X36)*'Assumptions'!$D$20*(1+'Assumptions'!$D$90)^(((X$7+X$8)/2-46304)/365)+X45*(1-X47)*'Assumptions'!$D$25*(1+'Assumptions'!$D$90)^(((X$7+X$8)/2-46304)/365)+X56*(1-X58)*'Assumptions'!$D$30*(1+'Assumptions'!$D$90)^(((X$7+X$8)/2-46304)/365)+X67*(1-X69)*'Assumptions'!$D$35*(1+'Assumptions'!$D$90)^(((X$7+X$8)/2-46304)/365)</x:f>
        <x:v>721135032.4217783</x:v>
      </x:c>
      <x:c r="Y101" s="37" t="n">
        <x:f>Y12*(1-Y14)*'Assumptions'!$D$10*(1+'Assumptions'!$D$90)^(((Y$7+Y$8)/2-46304)/365)+Y23*(1-Y25)*'Assumptions'!$D$15*(1+'Assumptions'!$D$90)^(((Y$7+Y$8)/2-46304)/365)+Y34*(1-Y36)*'Assumptions'!$D$20*(1+'Assumptions'!$D$90)^(((Y$7+Y$8)/2-46304)/365)+Y45*(1-Y47)*'Assumptions'!$D$25*(1+'Assumptions'!$D$90)^(((Y$7+Y$8)/2-46304)/365)+Y56*(1-Y58)*'Assumptions'!$D$30*(1+'Assumptions'!$D$90)^(((Y$7+Y$8)/2-46304)/365)+Y67*(1-Y69)*'Assumptions'!$D$35*(1+'Assumptions'!$D$90)^(((Y$7+Y$8)/2-46304)/365)</x:f>
        <x:v>692124911.5699904</x:v>
      </x:c>
      <x:c r="Z101" s="37" t="n">
        <x:f>Z12*(1-Z14)*'Assumptions'!$D$10*(1+'Assumptions'!$D$90)^(((Z$7+Z$8)/2-46304)/365)+Z23*(1-Z25)*'Assumptions'!$D$15*(1+'Assumptions'!$D$90)^(((Z$7+Z$8)/2-46304)/365)+Z34*(1-Z36)*'Assumptions'!$D$20*(1+'Assumptions'!$D$90)^(((Z$7+Z$8)/2-46304)/365)+Z45*(1-Z47)*'Assumptions'!$D$25*(1+'Assumptions'!$D$90)^(((Z$7+Z$8)/2-46304)/365)+Z56*(1-Z58)*'Assumptions'!$D$30*(1+'Assumptions'!$D$90)^(((Z$7+Z$8)/2-46304)/365)+Z67*(1-Z69)*'Assumptions'!$D$35*(1+'Assumptions'!$D$90)^(((Z$7+Z$8)/2-46304)/365)</x:f>
        <x:v>611402606.4366152</x:v>
      </x:c>
      <x:c r="AA101" s="37" t="n">
        <x:f>AA12*(1-AA14)*'Assumptions'!$D$10*(1+'Assumptions'!$D$90)^(((AA$7+AA$8)/2-46304)/365)+AA23*(1-AA25)*'Assumptions'!$D$15*(1+'Assumptions'!$D$90)^(((AA$7+AA$8)/2-46304)/365)+AA34*(1-AA36)*'Assumptions'!$D$20*(1+'Assumptions'!$D$90)^(((AA$7+AA$8)/2-46304)/365)+AA45*(1-AA47)*'Assumptions'!$D$25*(1+'Assumptions'!$D$90)^(((AA$7+AA$8)/2-46304)/365)+AA56*(1-AA58)*'Assumptions'!$D$30*(1+'Assumptions'!$D$90)^(((AA$7+AA$8)/2-46304)/365)+AA67*(1-AA69)*'Assumptions'!$D$35*(1+'Assumptions'!$D$90)^(((AA$7+AA$8)/2-46304)/365)</x:f>
        <x:v>526362475.0894919</x:v>
      </x:c>
      <x:c r="AB101" s="37" t="n">
        <x:f>AB12*(1-AB14)*'Assumptions'!$D$10*(1+'Assumptions'!$D$90)^(((AB$7+AB$8)/2-46304)/365)+AB23*(1-AB25)*'Assumptions'!$D$15*(1+'Assumptions'!$D$90)^(((AB$7+AB$8)/2-46304)/365)+AB34*(1-AB36)*'Assumptions'!$D$20*(1+'Assumptions'!$D$90)^(((AB$7+AB$8)/2-46304)/365)+AB45*(1-AB47)*'Assumptions'!$D$25*(1+'Assumptions'!$D$90)^(((AB$7+AB$8)/2-46304)/365)+AB56*(1-AB58)*'Assumptions'!$D$30*(1+'Assumptions'!$D$90)^(((AB$7+AB$8)/2-46304)/365)+AB67*(1-AB69)*'Assumptions'!$D$35*(1+'Assumptions'!$D$90)^(((AB$7+AB$8)/2-46304)/365)</x:f>
        <x:v>324350405.9747793</x:v>
      </x:c>
      <x:c r="AC101" s="37" t="n">
        <x:f>AC12*(1-AC14)*'Assumptions'!$D$10*(1+'Assumptions'!$D$90)^(((AC$7+AC$8)/2-46304)/365)+AC23*(1-AC25)*'Assumptions'!$D$15*(1+'Assumptions'!$D$90)^(((AC$7+AC$8)/2-46304)/365)+AC34*(1-AC36)*'Assumptions'!$D$20*(1+'Assumptions'!$D$90)^(((AC$7+AC$8)/2-46304)/365)+AC45*(1-AC47)*'Assumptions'!$D$25*(1+'Assumptions'!$D$90)^(((AC$7+AC$8)/2-46304)/365)+AC56*(1-AC58)*'Assumptions'!$D$30*(1+'Assumptions'!$D$90)^(((AC$7+AC$8)/2-46304)/365)+AC67*(1-AC69)*'Assumptions'!$D$35*(1+'Assumptions'!$D$90)^(((AC$7+AC$8)/2-46304)/365)</x:f>
        <x:v>221244002.74918252</x:v>
      </x:c>
      <x:c r="AD101" s="37" t="n">
        <x:f>AD12*(1-AD14)*'Assumptions'!$D$10*(1+'Assumptions'!$D$90)^(((AD$7+AD$8)/2-46304)/365)+AD23*(1-AD25)*'Assumptions'!$D$15*(1+'Assumptions'!$D$90)^(((AD$7+AD$8)/2-46304)/365)+AD34*(1-AD36)*'Assumptions'!$D$20*(1+'Assumptions'!$D$90)^(((AD$7+AD$8)/2-46304)/365)+AD45*(1-AD47)*'Assumptions'!$D$25*(1+'Assumptions'!$D$90)^(((AD$7+AD$8)/2-46304)/365)+AD56*(1-AD58)*'Assumptions'!$D$30*(1+'Assumptions'!$D$90)^(((AD$7+AD$8)/2-46304)/365)+AD67*(1-AD69)*'Assumptions'!$D$35*(1+'Assumptions'!$D$90)^(((AD$7+AD$8)/2-46304)/365)</x:f>
        <x:v>154926998.37749848</x:v>
      </x:c>
      <x:c r="AE101" s="37" t="n">
        <x:f>AE12*(1-AE14)*'Assumptions'!$D$10*(1+'Assumptions'!$D$90)^(((AE$7+AE$8)/2-46304)/365)+AE23*(1-AE25)*'Assumptions'!$D$15*(1+'Assumptions'!$D$90)^(((AE$7+AE$8)/2-46304)/365)+AE34*(1-AE36)*'Assumptions'!$D$20*(1+'Assumptions'!$D$90)^(((AE$7+AE$8)/2-46304)/365)+AE45*(1-AE47)*'Assumptions'!$D$25*(1+'Assumptions'!$D$90)^(((AE$7+AE$8)/2-46304)/365)+AE56*(1-AE58)*'Assumptions'!$D$30*(1+'Assumptions'!$D$90)^(((AE$7+AE$8)/2-46304)/365)+AE67*(1-AE69)*'Assumptions'!$D$35*(1+'Assumptions'!$D$90)^(((AE$7+AE$8)/2-46304)/365)</x:f>
        <x:v>120144251.78478032</x:v>
      </x:c>
      <x:c r="AF101" s="37" t="n">
        <x:f>AF12*(1-AF14)*'Assumptions'!$D$10*(1+'Assumptions'!$D$90)^(((AF$7+AF$8)/2-46304)/365)+AF23*(1-AF25)*'Assumptions'!$D$15*(1+'Assumptions'!$D$90)^(((AF$7+AF$8)/2-46304)/365)+AF34*(1-AF36)*'Assumptions'!$D$20*(1+'Assumptions'!$D$90)^(((AF$7+AF$8)/2-46304)/365)+AF45*(1-AF47)*'Assumptions'!$D$25*(1+'Assumptions'!$D$90)^(((AF$7+AF$8)/2-46304)/365)+AF56*(1-AF58)*'Assumptions'!$D$30*(1+'Assumptions'!$D$90)^(((AF$7+AF$8)/2-46304)/365)+AF67*(1-AF69)*'Assumptions'!$D$35*(1+'Assumptions'!$D$90)^(((AF$7+AF$8)/2-46304)/365)</x:f>
        <x:v>88854838.67585222</x:v>
      </x:c>
      <x:c r="AG101" s="37" t="n">
        <x:f>AG12*(1-AG14)*'Assumptions'!$D$10*(1+'Assumptions'!$D$90)^(((AG$7+AG$8)/2-46304)/365)+AG23*(1-AG25)*'Assumptions'!$D$15*(1+'Assumptions'!$D$90)^(((AG$7+AG$8)/2-46304)/365)+AG34*(1-AG36)*'Assumptions'!$D$20*(1+'Assumptions'!$D$90)^(((AG$7+AG$8)/2-46304)/365)+AG45*(1-AG47)*'Assumptions'!$D$25*(1+'Assumptions'!$D$90)^(((AG$7+AG$8)/2-46304)/365)+AG56*(1-AG58)*'Assumptions'!$D$30*(1+'Assumptions'!$D$90)^(((AG$7+AG$8)/2-46304)/365)+AG67*(1-AG69)*'Assumptions'!$D$35*(1+'Assumptions'!$D$90)^(((AG$7+AG$8)/2-46304)/365)</x:f>
        <x:v>75856417.30852705</x:v>
      </x:c>
      <x:c r="AH101" s="37" t="n">
        <x:f>AH12*(1-AH14)*'Assumptions'!$D$10*(1+'Assumptions'!$D$90)^(((AH$7+AH$8)/2-46304)/365)+AH23*(1-AH25)*'Assumptions'!$D$15*(1+'Assumptions'!$D$90)^(((AH$7+AH$8)/2-46304)/365)+AH34*(1-AH36)*'Assumptions'!$D$20*(1+'Assumptions'!$D$90)^(((AH$7+AH$8)/2-46304)/365)+AH45*(1-AH47)*'Assumptions'!$D$25*(1+'Assumptions'!$D$90)^(((AH$7+AH$8)/2-46304)/365)+AH56*(1-AH58)*'Assumptions'!$D$30*(1+'Assumptions'!$D$90)^(((AH$7+AH$8)/2-46304)/365)+AH67*(1-AH69)*'Assumptions'!$D$35*(1+'Assumptions'!$D$90)^(((AH$7+AH$8)/2-46304)/365)</x:f>
        <x:v>70758143.84958251</x:v>
      </x:c>
      <x:c r="AI101" s="37" t="n">
        <x:f>AI12*(1-AI14)*'Assumptions'!$D$10*(1+'Assumptions'!$D$90)^(((AI$7+AI$8)/2-46304)/365)+AI23*(1-AI25)*'Assumptions'!$D$15*(1+'Assumptions'!$D$90)^(((AI$7+AI$8)/2-46304)/365)+AI34*(1-AI36)*'Assumptions'!$D$20*(1+'Assumptions'!$D$90)^(((AI$7+AI$8)/2-46304)/365)+AI45*(1-AI47)*'Assumptions'!$D$25*(1+'Assumptions'!$D$90)^(((AI$7+AI$8)/2-46304)/365)+AI56*(1-AI58)*'Assumptions'!$D$30*(1+'Assumptions'!$D$90)^(((AI$7+AI$8)/2-46304)/365)+AI67*(1-AI69)*'Assumptions'!$D$35*(1+'Assumptions'!$D$90)^(((AI$7+AI$8)/2-46304)/365)</x:f>
        <x:v>72373005.04117644</x:v>
      </x:c>
      <x:c r="AJ101" s="37" t="n">
        <x:f>AJ12*(1-AJ14)*'Assumptions'!$D$10*(1+'Assumptions'!$D$90)^(((AJ$7+AJ$8)/2-46304)/365)+AJ23*(1-AJ25)*'Assumptions'!$D$15*(1+'Assumptions'!$D$90)^(((AJ$7+AJ$8)/2-46304)/365)+AJ34*(1-AJ36)*'Assumptions'!$D$20*(1+'Assumptions'!$D$90)^(((AJ$7+AJ$8)/2-46304)/365)+AJ45*(1-AJ47)*'Assumptions'!$D$25*(1+'Assumptions'!$D$90)^(((AJ$7+AJ$8)/2-46304)/365)+AJ56*(1-AJ58)*'Assumptions'!$D$30*(1+'Assumptions'!$D$90)^(((AJ$7+AJ$8)/2-46304)/365)+AJ67*(1-AJ69)*'Assumptions'!$D$35*(1+'Assumptions'!$D$90)^(((AJ$7+AJ$8)/2-46304)/365)</x:f>
        <x:v>73620766.95716636</x:v>
      </x:c>
      <x:c r="AK101" s="37" t="n">
        <x:f>AK12*(1-AK14)*'Assumptions'!$D$10*(1+'Assumptions'!$D$90)^(((AK$7+AK$8)/2-46304)/365)+AK23*(1-AK25)*'Assumptions'!$D$15*(1+'Assumptions'!$D$90)^(((AK$7+AK$8)/2-46304)/365)+AK34*(1-AK36)*'Assumptions'!$D$20*(1+'Assumptions'!$D$90)^(((AK$7+AK$8)/2-46304)/365)+AK45*(1-AK47)*'Assumptions'!$D$25*(1+'Assumptions'!$D$90)^(((AK$7+AK$8)/2-46304)/365)+AK56*(1-AK58)*'Assumptions'!$D$30*(1+'Assumptions'!$D$90)^(((AK$7+AK$8)/2-46304)/365)+AK67*(1-AK69)*'Assumptions'!$D$35*(1+'Assumptions'!$D$90)^(((AK$7+AK$8)/2-46304)/365)</x:f>
        <x:v>75093182.29630968</x:v>
      </x:c>
      <x:c r="AL101" s="37" t="n">
        <x:f>AL12*(1-AL14)*'Assumptions'!$D$10*(1+'Assumptions'!$D$90)^(((AL$7+AL$8)/2-46304)/365)+AL23*(1-AL25)*'Assumptions'!$D$15*(1+'Assumptions'!$D$90)^(((AL$7+AL$8)/2-46304)/365)+AL34*(1-AL36)*'Assumptions'!$D$20*(1+'Assumptions'!$D$90)^(((AL$7+AL$8)/2-46304)/365)+AL45*(1-AL47)*'Assumptions'!$D$25*(1+'Assumptions'!$D$90)^(((AL$7+AL$8)/2-46304)/365)+AL56*(1-AL58)*'Assumptions'!$D$30*(1+'Assumptions'!$D$90)^(((AL$7+AL$8)/2-46304)/365)+AL67*(1-AL69)*'Assumptions'!$D$35*(1+'Assumptions'!$D$90)^(((AL$7+AL$8)/2-46304)/365)</x:f>
        <x:v>57288897.375973664</x:v>
      </x:c>
      <x:c r="AM101" s="37" t="n">
        <x:f>AM12*(1-AM14)*'Assumptions'!$D$10*(1+'Assumptions'!$D$90)^(((AM$7+AM$8)/2-46304)/365)+AM23*(1-AM25)*'Assumptions'!$D$15*(1+'Assumptions'!$D$90)^(((AM$7+AM$8)/2-46304)/365)+AM34*(1-AM36)*'Assumptions'!$D$20*(1+'Assumptions'!$D$90)^(((AM$7+AM$8)/2-46304)/365)+AM45*(1-AM47)*'Assumptions'!$D$25*(1+'Assumptions'!$D$90)^(((AM$7+AM$8)/2-46304)/365)+AM56*(1-AM58)*'Assumptions'!$D$30*(1+'Assumptions'!$D$90)^(((AM$7+AM$8)/2-46304)/365)+AM67*(1-AM69)*'Assumptions'!$D$35*(1+'Assumptions'!$D$90)^(((AM$7+AM$8)/2-46304)/365)</x:f>
        <x:v>0</x:v>
      </x:c>
      <x:c r="AN101" s="37" t="n">
        <x:f>AN12*(1-AN14)*'Assumptions'!$D$10*(1+'Assumptions'!$D$90)^(((AN$7+AN$8)/2-46304)/365)+AN23*(1-AN25)*'Assumptions'!$D$15*(1+'Assumptions'!$D$90)^(((AN$7+AN$8)/2-46304)/365)+AN34*(1-AN36)*'Assumptions'!$D$20*(1+'Assumptions'!$D$90)^(((AN$7+AN$8)/2-46304)/365)+AN45*(1-AN47)*'Assumptions'!$D$25*(1+'Assumptions'!$D$90)^(((AN$7+AN$8)/2-46304)/365)+AN56*(1-AN58)*'Assumptions'!$D$30*(1+'Assumptions'!$D$90)^(((AN$7+AN$8)/2-46304)/365)+AN67*(1-AN69)*'Assumptions'!$D$35*(1+'Assumptions'!$D$90)^(((AN$7+AN$8)/2-46304)/365)</x:f>
        <x:v>0</x:v>
      </x:c>
      <x:c r="AO101" s="37" t="n">
        <x:f>AO12*(1-AO14)*'Assumptions'!$D$10*(1+'Assumptions'!$D$90)^(((AO$7+AO$8)/2-46304)/365)+AO23*(1-AO25)*'Assumptions'!$D$15*(1+'Assumptions'!$D$90)^(((AO$7+AO$8)/2-46304)/365)+AO34*(1-AO36)*'Assumptions'!$D$20*(1+'Assumptions'!$D$90)^(((AO$7+AO$8)/2-46304)/365)+AO45*(1-AO47)*'Assumptions'!$D$25*(1+'Assumptions'!$D$90)^(((AO$7+AO$8)/2-46304)/365)+AO56*(1-AO58)*'Assumptions'!$D$30*(1+'Assumptions'!$D$90)^(((AO$7+AO$8)/2-46304)/365)+AO67*(1-AO69)*'Assumptions'!$D$35*(1+'Assumptions'!$D$90)^(((AO$7+AO$8)/2-46304)/365)</x:f>
        <x:v>0</x:v>
      </x:c>
      <x:c r="AP101" s="37" t="n">
        <x:f>AP12*(1-AP14)*'Assumptions'!$D$10*(1+'Assumptions'!$D$90)^(((AP$7+AP$8)/2-46304)/365)+AP23*(1-AP25)*'Assumptions'!$D$15*(1+'Assumptions'!$D$90)^(((AP$7+AP$8)/2-46304)/365)+AP34*(1-AP36)*'Assumptions'!$D$20*(1+'Assumptions'!$D$90)^(((AP$7+AP$8)/2-46304)/365)+AP45*(1-AP47)*'Assumptions'!$D$25*(1+'Assumptions'!$D$90)^(((AP$7+AP$8)/2-46304)/365)+AP56*(1-AP58)*'Assumptions'!$D$30*(1+'Assumptions'!$D$90)^(((AP$7+AP$8)/2-46304)/365)+AP67*(1-AP69)*'Assumptions'!$D$35*(1+'Assumptions'!$D$90)^(((AP$7+AP$8)/2-46304)/365)</x:f>
        <x:v>0</x:v>
      </x:c>
      <x:c r="AQ101" s="37" t="n">
        <x:f>AQ12*(1-AQ14)*'Assumptions'!$D$10*(1+'Assumptions'!$D$90)^(((AQ$7+AQ$8)/2-46304)/365)+AQ23*(1-AQ25)*'Assumptions'!$D$15*(1+'Assumptions'!$D$90)^(((AQ$7+AQ$8)/2-46304)/365)+AQ34*(1-AQ36)*'Assumptions'!$D$20*(1+'Assumptions'!$D$90)^(((AQ$7+AQ$8)/2-46304)/365)+AQ45*(1-AQ47)*'Assumptions'!$D$25*(1+'Assumptions'!$D$90)^(((AQ$7+AQ$8)/2-46304)/365)+AQ56*(1-AQ58)*'Assumptions'!$D$30*(1+'Assumptions'!$D$90)^(((AQ$7+AQ$8)/2-46304)/365)+AQ67*(1-AQ69)*'Assumptions'!$D$35*(1+'Assumptions'!$D$90)^(((AQ$7+AQ$8)/2-46304)/365)</x:f>
        <x:v>0</x:v>
      </x:c>
    </x:row>
    <x:row r="102" ht="21" customHeight="1">
      <x:c r="A102" s="2"/>
      <x:c r="B102" s="2"/>
      <x:c r="C102" s="2" t="str">
        <x:v>Open working capital at unit multiplier</x:v>
      </x:c>
      <x:c r="D102" s="2"/>
      <x:c r="E102" s="37" t="n">
        <x:f>E101/(E$8-E$7+1)*365*'Assumptions'!$D$150</x:f>
        <x:v>43244781.065511405</x:v>
      </x:c>
      <x:c r="F102" s="37" t="n">
        <x:f>F101/(F$8-F$7+1)*365*'Assumptions'!$D$150</x:f>
        <x:v>44327874.404865</x:v>
      </x:c>
      <x:c r="G102" s="37" t="n">
        <x:f>G101/(G$8-G$7+1)*365*'Assumptions'!$D$150</x:f>
        <x:v>44546057.98164173</x:v>
      </x:c>
      <x:c r="H102" s="37" t="n">
        <x:f>H101/(H$8-H$7+1)*365*'Assumptions'!$D$150</x:f>
        <x:v>44767744.219905496</x:v>
      </x:c>
      <x:c r="I102" s="37" t="n">
        <x:f>I101/(I$8-I$7+1)*365*'Assumptions'!$D$150</x:f>
        <x:v>44991754.16323649</x:v>
      </x:c>
      <x:c r="J102" s="37" t="n">
        <x:f>J101/(J$8-J$7+1)*365*'Assumptions'!$D$150</x:f>
        <x:v>45215658.436369866</x:v>
      </x:c>
      <x:c r="K102" s="37" t="n">
        <x:f>K101/(K$8-K$7+1)*365*'Assumptions'!$D$150</x:f>
        <x:v>45439444.335717954</x:v>
      </x:c>
      <x:c r="L102" s="37" t="n">
        <x:f>L101/(L$8-L$7+1)*365*'Assumptions'!$D$150</x:f>
        <x:v>45665576.566941045</x:v>
      </x:c>
      <x:c r="M102" s="37" t="n">
        <x:f>M101/(M$8-M$7+1)*365*'Assumptions'!$D$150</x:f>
        <x:v>45894079.10592735</x:v>
      </x:c>
      <x:c r="N102" s="37" t="n">
        <x:f>N101/(N$8-N$7+1)*365*'Assumptions'!$D$150</x:f>
        <x:v>46121222.71331119</x:v>
      </x:c>
      <x:c r="O102" s="37" t="n">
        <x:f>O101/(O$8-O$7+1)*365*'Assumptions'!$D$150</x:f>
        <x:v>46348233.222432315</x:v>
      </x:c>
      <x:c r="P102" s="37" t="n">
        <x:f>P101/(P$8-P$7+1)*365*'Assumptions'!$D$150</x:f>
        <x:v>46578888.09827986</x:v>
      </x:c>
      <x:c r="Q102" s="37" t="n">
        <x:f>Q101/(Q$8-Q$7+1)*365*'Assumptions'!$D$150</x:f>
        <x:v>47080330.84146969</x:v>
      </x:c>
      <x:c r="R102" s="37" t="n">
        <x:f>R101/(R$8-R$7+1)*365*'Assumptions'!$D$150</x:f>
        <x:v>47098166.15445867</x:v>
      </x:c>
      <x:c r="S102" s="37" t="n">
        <x:f>S101/(S$8-S$7+1)*365*'Assumptions'!$D$150</x:f>
        <x:v>45610164.3368549</x:v>
      </x:c>
      <x:c r="T102" s="37" t="n">
        <x:f>T101/(T$8-T$7+1)*365*'Assumptions'!$D$150</x:f>
        <x:v>45128664.04829681</x:v>
      </x:c>
      <x:c r="U102" s="37" t="n">
        <x:f>U101/(U$8-U$7+1)*365*'Assumptions'!$D$150</x:f>
        <x:v>45037374.55857335</x:v>
      </x:c>
      <x:c r="V102" s="37" t="n">
        <x:f>V101/(V$8-V$7+1)*365*'Assumptions'!$D$150</x:f>
        <x:v>43685778.47994256</x:v>
      </x:c>
      <x:c r="W102" s="37" t="n">
        <x:f>W101/(W$8-W$7+1)*365*'Assumptions'!$D$150</x:f>
        <x:v>38042510.891418636</x:v>
      </x:c>
      <x:c r="X102" s="37" t="n">
        <x:f>X101/(X$8-X$7+1)*365*'Assumptions'!$D$150</x:f>
        <x:v>36056751.621088915</x:v>
      </x:c>
      <x:c r="Y102" s="37" t="n">
        <x:f>Y101/(Y$8-Y$7+1)*365*'Assumptions'!$D$150</x:f>
        <x:v>34606245.57849952</x:v>
      </x:c>
      <x:c r="Z102" s="37" t="n">
        <x:f>Z101/(Z$8-Z$7+1)*365*'Assumptions'!$D$150</x:f>
        <x:v>30570130.321830764</x:v>
      </x:c>
      <x:c r="AA102" s="37" t="n">
        <x:f>AA101/(AA$8-AA$7+1)*365*'Assumptions'!$D$150</x:f>
        <x:v>26246216.312522482</x:v>
      </x:c>
      <x:c r="AB102" s="37" t="n">
        <x:f>AB101/(AB$8-AB$7+1)*365*'Assumptions'!$D$150</x:f>
        <x:v>16217520.298738966</x:v>
      </x:c>
      <x:c r="AC102" s="37" t="n">
        <x:f>AC101/(AC$8-AC$7+1)*365*'Assumptions'!$D$150</x:f>
        <x:v>11062200.137459127</x:v>
      </x:c>
      <x:c r="AD102" s="37" t="n">
        <x:f>AD101/(AD$8-AD$7+1)*365*'Assumptions'!$D$150</x:f>
        <x:v>7746349.918874924</x:v>
      </x:c>
      <x:c r="AE102" s="37" t="n">
        <x:f>AE101/(AE$8-AE$7+1)*365*'Assumptions'!$D$150</x:f>
        <x:v>5990799.44008809</x:v>
      </x:c>
      <x:c r="AF102" s="37" t="n">
        <x:f>AF101/(AF$8-AF$7+1)*365*'Assumptions'!$D$150</x:f>
        <x:v>4442741.933792612</x:v>
      </x:c>
      <x:c r="AG102" s="37" t="n">
        <x:f>AG101/(AG$8-AG$7+1)*365*'Assumptions'!$D$150</x:f>
        <x:v>3792820.8654263527</x:v>
      </x:c>
      <x:c r="AH102" s="37" t="n">
        <x:f>AH101/(AH$8-AH$7+1)*365*'Assumptions'!$D$150</x:f>
        <x:v>3537907.1924791257</x:v>
      </x:c>
      <x:c r="AI102" s="37" t="n">
        <x:f>AI101/(AI$8-AI$7+1)*365*'Assumptions'!$D$150</x:f>
        <x:v>3608763.2295122133</x:v>
      </x:c>
      <x:c r="AJ102" s="37" t="n">
        <x:f>AJ101/(AJ$8-AJ$7+1)*365*'Assumptions'!$D$150</x:f>
        <x:v>3681038.347858318</x:v>
      </x:c>
      <x:c r="AK102" s="37" t="n">
        <x:f>AK101/(AK$8-AK$7+1)*365*'Assumptions'!$D$150</x:f>
        <x:v>3754659.1148154843</x:v>
      </x:c>
      <x:c r="AL102" s="37" t="n">
        <x:f>AL101/(AL$8-AL$7+1)*365*'Assumptions'!$D$150</x:f>
        <x:v>2864444.868798684</x:v>
      </x:c>
      <x:c r="AM102" s="37" t="n">
        <x:f>AM101/(AM$8-AM$7+1)*365*'Assumptions'!$D$150</x:f>
        <x:v>0</x:v>
      </x:c>
      <x:c r="AN102" s="37" t="n">
        <x:f>AN101/(AN$8-AN$7+1)*365*'Assumptions'!$D$150</x:f>
        <x:v>0</x:v>
      </x:c>
      <x:c r="AO102" s="37" t="n">
        <x:f>AO101/(AO$8-AO$7+1)*365*'Assumptions'!$D$150</x:f>
        <x:v>0</x:v>
      </x:c>
      <x:c r="AP102" s="37" t="n">
        <x:f>AP101/(AP$8-AP$7+1)*365*'Assumptions'!$D$150</x:f>
        <x:v>0</x:v>
      </x:c>
      <x:c r="AQ102" s="37" t="n">
        <x:f>AQ101/(AQ$8-AQ$7+1)*365*'Assumptions'!$D$150</x:f>
        <x:v>0</x:v>
      </x:c>
    </x:row>
    <x:row r="103" ht="21" customHeight="1">
      <x:c r="A103" s="2"/>
      <x:c r="B103" s="2"/>
      <x:c r="C103" s="2" t="str">
        <x:v>Change in unit-rate working capital</x:v>
      </x:c>
      <x:c r="D103" s="2"/>
      <x:c r="E103" s="39" t="n">
        <x:f>E102-0</x:f>
        <x:v>43244781.065511405</x:v>
      </x:c>
      <x:c r="F103" s="39" t="n">
        <x:f>F102-E102</x:f>
        <x:v>1083093.3393535912</x:v>
      </x:c>
      <x:c r="G103" s="39" t="n">
        <x:f>G102-F102</x:f>
        <x:v>218183.57677673548</x:v>
      </x:c>
      <x:c r="H103" s="39" t="n">
        <x:f>H102-G102</x:f>
        <x:v>221686.2382637635</x:v>
      </x:c>
      <x:c r="I103" s="39" t="n">
        <x:f>I102-H102</x:f>
        <x:v>224009.94333099574</x:v>
      </x:c>
      <x:c r="J103" s="39" t="n">
        <x:f>J102-I102</x:f>
        <x:v>223904.27313337475</x:v>
      </x:c>
      <x:c r="K103" s="39" t="n">
        <x:f>K102-J102</x:f>
        <x:v>223785.8993480876</x:v>
      </x:c>
      <x:c r="L103" s="39" t="n">
        <x:f>L102-K102</x:f>
        <x:v>226132.23122309148</x:v>
      </x:c>
      <x:c r="M103" s="39" t="n">
        <x:f>M102-L102</x:f>
        <x:v>228502.5389863029</x:v>
      </x:c>
      <x:c r="N103" s="39" t="n">
        <x:f>N102-M102</x:f>
        <x:v>227143.6073838398</x:v>
      </x:c>
      <x:c r="O103" s="39" t="n">
        <x:f>O102-N102</x:f>
        <x:v>227010.50912112743</x:v>
      </x:c>
      <x:c r="P103" s="39" t="n">
        <x:f>P102-O102</x:f>
        <x:v>230654.87584754825</x:v>
      </x:c>
      <x:c r="Q103" s="39" t="n">
        <x:f>Q102-P102</x:f>
        <x:v>501442.7431898266</x:v>
      </x:c>
      <x:c r="R103" s="39" t="n">
        <x:f>R102-Q102</x:f>
        <x:v>17835.312988981605</x:v>
      </x:c>
      <x:c r="S103" s="39" t="n">
        <x:f>S102-R102</x:f>
        <x:v>-1488001.8176037744</x:v>
      </x:c>
      <x:c r="T103" s="39" t="n">
        <x:f>T102-S102</x:f>
        <x:v>-481500.28855808824</x:v>
      </x:c>
      <x:c r="U103" s="39" t="n">
        <x:f>U102-T102</x:f>
        <x:v>-91289.48972345889</x:v>
      </x:c>
      <x:c r="V103" s="39" t="n">
        <x:f>V102-U102</x:f>
        <x:v>-1351596.07863079</x:v>
      </x:c>
      <x:c r="W103" s="39" t="n">
        <x:f>W102-V102</x:f>
        <x:v>-5643267.588523924</x:v>
      </x:c>
      <x:c r="X103" s="39" t="n">
        <x:f>X102-W102</x:f>
        <x:v>-1985759.2703297213</x:v>
      </x:c>
      <x:c r="Y103" s="39" t="n">
        <x:f>Y102-X102</x:f>
        <x:v>-1450506.0425893962</x:v>
      </x:c>
      <x:c r="Z103" s="39" t="n">
        <x:f>Z102-Y102</x:f>
        <x:v>-4036115.256668754</x:v>
      </x:c>
      <x:c r="AA103" s="39" t="n">
        <x:f>AA102-Z102</x:f>
        <x:v>-4323914.009308282</x:v>
      </x:c>
      <x:c r="AB103" s="39" t="n">
        <x:f>AB102-AA102</x:f>
        <x:v>-10028696.013783516</x:v>
      </x:c>
      <x:c r="AC103" s="39" t="n">
        <x:f>AC102-AB102</x:f>
        <x:v>-5155320.1612798385</x:v>
      </x:c>
      <x:c r="AD103" s="39" t="n">
        <x:f>AD102-AC102</x:f>
        <x:v>-3315850.218584203</x:v>
      </x:c>
      <x:c r="AE103" s="39" t="n">
        <x:f>AE102-AD102</x:f>
        <x:v>-1755550.4787868345</x:v>
      </x:c>
      <x:c r="AF103" s="39" t="n">
        <x:f>AF102-AE102</x:f>
        <x:v>-1548057.506295478</x:v>
      </x:c>
      <x:c r="AG103" s="39" t="n">
        <x:f>AG102-AF102</x:f>
        <x:v>-649921.0683662589</x:v>
      </x:c>
      <x:c r="AH103" s="39" t="n">
        <x:f>AH102-AG102</x:f>
        <x:v>-254913.67294722702</x:v>
      </x:c>
      <x:c r="AI103" s="39" t="n">
        <x:f>AI102-AH102</x:f>
        <x:v>70856.03703308757</x:v>
      </x:c>
      <x:c r="AJ103" s="39" t="n">
        <x:f>AJ102-AI102</x:f>
        <x:v>72275.11834610486</x:v>
      </x:c>
      <x:c r="AK103" s="39" t="n">
        <x:f>AK102-AJ102</x:f>
        <x:v>73620.76695716614</x:v>
      </x:c>
      <x:c r="AL103" s="39" t="n">
        <x:f>AL102-AK102</x:f>
        <x:v>-890214.2460168004</x:v>
      </x:c>
      <x:c r="AM103" s="39" t="n">
        <x:f>AM102-AL102</x:f>
        <x:v>-2864444.868798684</x:v>
      </x:c>
      <x:c r="AN103" s="39" t="n">
        <x:f>AN102-AM102</x:f>
        <x:v>0</x:v>
      </x:c>
      <x:c r="AO103" s="39" t="n">
        <x:f>AO102-AN102</x:f>
        <x:v>0</x:v>
      </x:c>
      <x:c r="AP103" s="39" t="n">
        <x:f>AP102-AO102</x:f>
        <x:v>0</x:v>
      </x:c>
      <x:c r="AQ103" s="39" t="n">
        <x:f>AQ102-AP102</x:f>
        <x:v>0</x:v>
      </x:c>
    </x:row>
    <x:row r="104" ht="21" customHeight="1">
      <x:c r="A104" s="2"/>
      <x:c r="B104" s="2"/>
      <x:c r="C104" s="2" t="str">
        <x:v>PV sensitivity to one unit of rate multiplier</x:v>
      </x:c>
      <x:c r="D104" s="2"/>
      <x:c r="E104" s="37" t="n">
        <x:f>(E101*(1-'Assumptions'!$D$95)-E103)*E95</x:f>
        <x:v>149178266.4503062</x:v>
      </x:c>
      <x:c r="F104" s="37" t="n">
        <x:f>(F101*(1-'Assumptions'!$D$95)-F103)*F95</x:f>
        <x:v>206867685.3578731</x:v>
      </x:c>
      <x:c r="G104" s="37" t="n">
        <x:f>(G101*(1-'Assumptions'!$D$95)-G103)*G95</x:f>
        <x:v>206083447.16517374</x:v>
      </x:c>
      <x:c r="H104" s="37" t="n">
        <x:f>(H101*(1-'Assumptions'!$D$95)-H103)*H95</x:f>
        <x:v>204414754.57774293</x:v>
      </x:c>
      <x:c r="I104" s="37" t="n">
        <x:f>(I101*(1-'Assumptions'!$D$95)-I103)*I95</x:f>
        <x:v>200560031.96856737</x:v>
      </x:c>
      <x:c r="J104" s="37" t="n">
        <x:f>(J101*(1-'Assumptions'!$D$95)-J103)*J95</x:f>
        <x:v>194684641.4288053</x:v>
      </x:c>
      <x:c r="K104" s="37" t="n">
        <x:f>(K101*(1-'Assumptions'!$D$95)-K103)*K95</x:f>
        <x:v>191054991.72901607</x:v>
      </x:c>
      <x:c r="L104" s="37" t="n">
        <x:f>(L101*(1-'Assumptions'!$D$95)-L103)*L95</x:f>
        <x:v>189509019.18467012</x:v>
      </x:c>
      <x:c r="M104" s="37" t="n">
        <x:f>(M101*(1-'Assumptions'!$D$95)-M103)*M95</x:f>
        <x:v>185935379.39334086</x:v>
      </x:c>
      <x:c r="N104" s="37" t="n">
        <x:f>(N101*(1-'Assumptions'!$D$95)-N103)*N95</x:f>
        <x:v>178545803.35318956</x:v>
      </x:c>
      <x:c r="O104" s="37" t="n">
        <x:f>(O101*(1-'Assumptions'!$D$95)-O103)*O95</x:f>
        <x:v>177161048.0840355</x:v>
      </x:c>
      <x:c r="P104" s="37" t="n">
        <x:f>(P101*(1-'Assumptions'!$D$95)-P103)*P95</x:f>
        <x:v>175726545.06214863</x:v>
      </x:c>
      <x:c r="Q104" s="37" t="n">
        <x:f>(Q101*(1-'Assumptions'!$D$95)-Q103)*Q95</x:f>
        <x:v>640909302.6968516</x:v>
      </x:c>
      <x:c r="R104" s="37" t="n">
        <x:f>(R101*(1-'Assumptions'!$D$95)-R103)*R95</x:f>
        <x:v>583166570.6821805</x:v>
      </x:c>
      <x:c r="S104" s="37" t="n">
        <x:f>(S101*(1-'Assumptions'!$D$95)-S103)*S95</x:f>
        <x:v>515525460.9770726</x:v>
      </x:c>
      <x:c r="T104" s="37" t="n">
        <x:f>(T101*(1-'Assumptions'!$D$95)-T103)*T95</x:f>
        <x:v>461937667.32627594</x:v>
      </x:c>
      <x:c r="U104" s="37" t="n">
        <x:f>(U101*(1-'Assumptions'!$D$95)-U103)*U95</x:f>
        <x:v>418911928.4742381</x:v>
      </x:c>
      <x:c r="V104" s="37" t="n">
        <x:f>(V101*(1-'Assumptions'!$D$95)-V103)*V95</x:f>
        <x:v>369936774.8217926</x:v>
      </x:c>
      <x:c r="W104" s="37" t="n">
        <x:f>(W101*(1-'Assumptions'!$D$95)-W103)*W95</x:f>
        <x:v>295311686.15262955</x:v>
      </x:c>
      <x:c r="X104" s="37" t="n">
        <x:f>(X101*(1-'Assumptions'!$D$95)-X103)*X95</x:f>
        <x:v>252581078.6435539</x:v>
      </x:c>
      <x:c r="Y104" s="37" t="n">
        <x:f>(Y101*(1-'Assumptions'!$D$95)-Y103)*Y95</x:f>
        <x:v>220236624.78076527</x:v>
      </x:c>
      <x:c r="Z104" s="37" t="n">
        <x:f>(Z101*(1-'Assumptions'!$D$95)-Z103)*Z95</x:f>
        <x:v>177663302.5407978</x:v>
      </x:c>
      <x:c r="AA104" s="37" t="n">
        <x:f>(AA101*(1-'Assumptions'!$D$95)-AA103)*AA95</x:f>
        <x:v>139234943.1830393</x:v>
      </x:c>
      <x:c r="AB104" s="37" t="n">
        <x:f>(AB101*(1-'Assumptions'!$D$95)-AB103)*AB95</x:f>
        <x:v>79763536.77601326</x:v>
      </x:c>
      <x:c r="AC104" s="37" t="n">
        <x:f>(AC101*(1-'Assumptions'!$D$95)-AC103)*AC95</x:f>
        <x:v>49094400.03357985</x:v>
      </x:c>
      <x:c r="AD104" s="37" t="n">
        <x:f>(AD101*(1-'Assumptions'!$D$95)-AD103)*AD95</x:f>
        <x:v>31194948.720974613</x:v>
      </x:c>
      <x:c r="AE104" s="37" t="n">
        <x:f>(AE101*(1-'Assumptions'!$D$95)-AE103)*AE95</x:f>
        <x:v>21839505.274325516</x:v>
      </x:c>
      <x:c r="AF104" s="37" t="n">
        <x:f>(AF101*(1-'Assumptions'!$D$95)-AF103)*AF95</x:f>
        <x:v>14724324.99542603</x:v>
      </x:c>
      <x:c r="AG104" s="37" t="n">
        <x:f>(AG101*(1-'Assumptions'!$D$95)-AG103)*AG95</x:f>
        <x:v>11327627.312357457</x:v>
      </x:c>
      <x:c r="AH104" s="37" t="n">
        <x:f>(AH101*(1-'Assumptions'!$D$95)-AH103)*AH95</x:f>
        <x:v>9558205.351509543</x:v>
      </x:c>
      <x:c r="AI104" s="37" t="n">
        <x:f>(AI101*(1-'Assumptions'!$D$95)-AI103)*AI95</x:f>
        <x:v>8844500.039317468</x:v>
      </x:c>
      <x:c r="AJ104" s="37" t="n">
        <x:f>(AJ101*(1-'Assumptions'!$D$95)-AJ103)*AJ95</x:f>
        <x:v>8179055.647780526</x:v>
      </x:c>
      <x:c r="AK104" s="37" t="n">
        <x:f>(AK101*(1-'Assumptions'!$D$95)-AK103)*AK95</x:f>
        <x:v>7584225.382689832</x:v>
      </x:c>
      <x:c r="AL104" s="37" t="n">
        <x:f>(AL101*(1-'Assumptions'!$D$95)-AL103)*AL95</x:f>
        <x:v>5347448.898223233</x:v>
      </x:c>
      <x:c r="AM104" s="37" t="n">
        <x:f>(AM101*(1-'Assumptions'!$D$95)-AM103)*AM95</x:f>
        <x:v>240468.09507877045</x:v>
      </x:c>
      <x:c r="AN104" s="37" t="n">
        <x:f>(AN101*(1-'Assumptions'!$D$95)-AN103)*AN95</x:f>
        <x:v>0</x:v>
      </x:c>
      <x:c r="AO104" s="37" t="n">
        <x:f>(AO101*(1-'Assumptions'!$D$95)-AO103)*AO95</x:f>
        <x:v>0</x:v>
      </x:c>
      <x:c r="AP104" s="37" t="n">
        <x:f>(AP101*(1-'Assumptions'!$D$95)-AP103)*AP95</x:f>
        <x:v>0</x:v>
      </x:c>
      <x:c r="AQ104" s="37" t="n">
        <x:f>(AQ101*(1-'Assumptions'!$D$95)-AQ103)*AQ95</x:f>
        <x:v>0</x:v>
      </x:c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</x:row>
    <x:row r="108" ht="21" customHeight="1">
      <x:c r="A108" s="2"/>
      <x:c r="B108" s="2"/>
      <x:c r="C108" s="2" t="str">
        <x:v>Cash figures are USD millions; TCE is USD/day. No perpetual terminal value.</x:v>
      </x:c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</x:row>
    <x:row r="109" ht="21" customHeight="1">
      <x:c r="A109" s="2"/>
      <x:c r="B109" s="2"/>
      <x:c r="C109" s="2" t="str">
        <x:v>Drydocking uses an annual budget. Charter-in activity is assumed to have zero net value.</x:v>
      </x:c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</x:row>
    <x:row r="2" ht="21" customHeight="1">
      <x:c r="A2" s="2"/>
      <x:c r="B2" s="2"/>
      <x:c r="C2" s="3" t="str">
        <x:v>Debt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</x:row>
    <x:row r="6" ht="28" customHeight="1">
      <x:c r="A6" s="2"/>
      <x:c r="B6" s="2"/>
      <x:c r="C6" s="2"/>
      <x:c r="D6" s="2"/>
      <x:c r="E6" s="25" t="str">
        <x:v>Q4:26 stub</x:v>
      </x:c>
      <x:c r="F6" s="25" t="str">
        <x:v>Q1:27</x:v>
      </x:c>
      <x:c r="G6" s="25" t="str">
        <x:v>Q2:27</x:v>
      </x:c>
      <x:c r="H6" s="25" t="str">
        <x:v>Q3:27</x:v>
      </x:c>
      <x:c r="I6" s="25" t="str">
        <x:v>Q4:27</x:v>
      </x:c>
      <x:c r="J6" s="25" t="str">
        <x:v>Q1:28</x:v>
      </x:c>
      <x:c r="K6" s="25" t="str">
        <x:v>Q2:28</x:v>
      </x:c>
      <x:c r="L6" s="25" t="str">
        <x:v>Q3:28</x:v>
      </x:c>
      <x:c r="M6" s="25" t="str">
        <x:v>Q4:28</x:v>
      </x:c>
      <x:c r="N6" s="25" t="str">
        <x:v>Q1:29</x:v>
      </x:c>
      <x:c r="O6" s="25" t="str">
        <x:v>Q2:29</x:v>
      </x:c>
      <x:c r="P6" s="25" t="str">
        <x:v>Q3:29</x:v>
      </x:c>
      <x:c r="Q6" s="25" t="str">
        <x:v>Sep-30</x:v>
      </x:c>
      <x:c r="R6" s="25" t="str">
        <x:v>Sep-31</x:v>
      </x:c>
      <x:c r="S6" s="25" t="str">
        <x:v>Sep-32</x:v>
      </x:c>
      <x:c r="T6" s="25" t="str">
        <x:v>Sep-33</x:v>
      </x:c>
      <x:c r="U6" s="25" t="str">
        <x:v>Sep-34</x:v>
      </x:c>
      <x:c r="V6" s="25" t="str">
        <x:v>Sep-35</x:v>
      </x:c>
      <x:c r="W6" s="25" t="str">
        <x:v>Sep-36</x:v>
      </x:c>
      <x:c r="X6" s="25" t="str">
        <x:v>Sep-37</x:v>
      </x:c>
      <x:c r="Y6" s="25" t="str">
        <x:v>Sep-38</x:v>
      </x:c>
      <x:c r="Z6" s="25" t="str">
        <x:v>Sep-39</x:v>
      </x:c>
      <x:c r="AA6" s="25" t="str">
        <x:v>Sep-40</x:v>
      </x:c>
      <x:c r="AB6" s="25" t="str">
        <x:v>Sep-41</x:v>
      </x:c>
      <x:c r="AC6" s="25" t="str">
        <x:v>Sep-42</x:v>
      </x:c>
      <x:c r="AD6" s="25" t="str">
        <x:v>Sep-43</x:v>
      </x:c>
      <x:c r="AE6" s="25" t="str">
        <x:v>Sep-44</x:v>
      </x:c>
      <x:c r="AF6" s="25" t="str">
        <x:v>Sep-45</x:v>
      </x:c>
      <x:c r="AG6" s="25" t="str">
        <x:v>Sep-46</x:v>
      </x:c>
      <x:c r="AH6" s="25" t="str">
        <x:v>Sep-47</x:v>
      </x:c>
      <x:c r="AI6" s="25" t="str">
        <x:v>Sep-48</x:v>
      </x:c>
      <x:c r="AJ6" s="25" t="str">
        <x:v>Sep-49</x:v>
      </x:c>
      <x:c r="AK6" s="25" t="str">
        <x:v>Sep-50</x:v>
      </x:c>
      <x:c r="AL6" s="25" t="str">
        <x:v>Sep-51</x:v>
      </x:c>
      <x:c r="AM6" s="25" t="str">
        <x:v>Sep-52</x:v>
      </x:c>
      <x:c r="AN6" s="25" t="str">
        <x:v>Sep-53</x:v>
      </x:c>
      <x:c r="AO6" s="25" t="str">
        <x:v>Sep-54</x:v>
      </x:c>
      <x:c r="AP6" s="25" t="str">
        <x:v>Sep-55</x:v>
      </x:c>
      <x:c r="AQ6" s="25" t="str">
        <x:v>Sep-56</x:v>
      </x:c>
    </x:row>
    <x:row r="7" ht="21" customHeight="1">
      <x:c r="A7" s="2"/>
      <x:c r="B7" s="2"/>
      <x:c r="C7" s="2" t="str">
        <x:v>Period starts</x:v>
      </x:c>
      <x:c r="D7" s="2"/>
      <x:c r="E7" s="28" t="n">
        <x:v>46305</x:v>
      </x:c>
      <x:c r="F7" s="28" t="n">
        <x:v>46388</x:v>
      </x:c>
      <x:c r="G7" s="28" t="n">
        <x:v>46478</x:v>
      </x:c>
      <x:c r="H7" s="28" t="n">
        <x:v>46569</x:v>
      </x:c>
      <x:c r="I7" s="28" t="n">
        <x:v>46661</x:v>
      </x:c>
      <x:c r="J7" s="28" t="n">
        <x:v>46753</x:v>
      </x:c>
      <x:c r="K7" s="28" t="n">
        <x:v>46844</x:v>
      </x:c>
      <x:c r="L7" s="28" t="n">
        <x:v>46935</x:v>
      </x:c>
      <x:c r="M7" s="28" t="n">
        <x:v>47027</x:v>
      </x:c>
      <x:c r="N7" s="28" t="n">
        <x:v>47119</x:v>
      </x:c>
      <x:c r="O7" s="28" t="n">
        <x:v>47209</x:v>
      </x:c>
      <x:c r="P7" s="28" t="n">
        <x:v>47300</x:v>
      </x:c>
      <x:c r="Q7" s="28" t="n">
        <x:v>47392</x:v>
      </x:c>
      <x:c r="R7" s="28" t="n">
        <x:v>47757</x:v>
      </x:c>
      <x:c r="S7" s="28" t="n">
        <x:v>48122</x:v>
      </x:c>
      <x:c r="T7" s="28" t="n">
        <x:v>48488</x:v>
      </x:c>
      <x:c r="U7" s="28" t="n">
        <x:v>48853</x:v>
      </x:c>
      <x:c r="V7" s="28" t="n">
        <x:v>49218</x:v>
      </x:c>
      <x:c r="W7" s="28" t="n">
        <x:v>49583</x:v>
      </x:c>
      <x:c r="X7" s="28" t="n">
        <x:v>49949</x:v>
      </x:c>
      <x:c r="Y7" s="28" t="n">
        <x:v>50314</x:v>
      </x:c>
      <x:c r="Z7" s="28" t="n">
        <x:v>50679</x:v>
      </x:c>
      <x:c r="AA7" s="28" t="n">
        <x:v>51044</x:v>
      </x:c>
      <x:c r="AB7" s="28" t="n">
        <x:v>51410</x:v>
      </x:c>
      <x:c r="AC7" s="28" t="n">
        <x:v>51775</x:v>
      </x:c>
      <x:c r="AD7" s="28" t="n">
        <x:v>52140</x:v>
      </x:c>
      <x:c r="AE7" s="28" t="n">
        <x:v>52505</x:v>
      </x:c>
      <x:c r="AF7" s="28" t="n">
        <x:v>52871</x:v>
      </x:c>
      <x:c r="AG7" s="28" t="n">
        <x:v>53236</x:v>
      </x:c>
      <x:c r="AH7" s="28" t="n">
        <x:v>53601</x:v>
      </x:c>
      <x:c r="AI7" s="28" t="n">
        <x:v>53966</x:v>
      </x:c>
      <x:c r="AJ7" s="28" t="n">
        <x:v>54332</x:v>
      </x:c>
      <x:c r="AK7" s="28" t="n">
        <x:v>54697</x:v>
      </x:c>
      <x:c r="AL7" s="28" t="n">
        <x:v>55062</x:v>
      </x:c>
      <x:c r="AM7" s="28" t="n">
        <x:v>55427</x:v>
      </x:c>
      <x:c r="AN7" s="28" t="n">
        <x:v>55793</x:v>
      </x:c>
      <x:c r="AO7" s="28" t="n">
        <x:v>56158</x:v>
      </x:c>
      <x:c r="AP7" s="28" t="n">
        <x:v>56523</x:v>
      </x:c>
      <x:c r="AQ7" s="28" t="n">
        <x:v>56888</x:v>
      </x:c>
    </x:row>
    <x:row r="8" ht="21" customHeight="1">
      <x:c r="A8" s="2"/>
      <x:c r="B8" s="2"/>
      <x:c r="C8" s="2" t="str">
        <x:v>Period ends</x:v>
      </x:c>
      <x:c r="D8" s="2"/>
      <x:c r="E8" s="28" t="n">
        <x:v>46387</x:v>
      </x:c>
      <x:c r="F8" s="28" t="n">
        <x:v>46477</x:v>
      </x:c>
      <x:c r="G8" s="28" t="n">
        <x:v>46568</x:v>
      </x:c>
      <x:c r="H8" s="28" t="n">
        <x:v>46660</x:v>
      </x:c>
      <x:c r="I8" s="28" t="n">
        <x:v>46752</x:v>
      </x:c>
      <x:c r="J8" s="28" t="n">
        <x:v>46843</x:v>
      </x:c>
      <x:c r="K8" s="28" t="n">
        <x:v>46934</x:v>
      </x:c>
      <x:c r="L8" s="28" t="n">
        <x:v>47026</x:v>
      </x:c>
      <x:c r="M8" s="28" t="n">
        <x:v>47118</x:v>
      </x:c>
      <x:c r="N8" s="28" t="n">
        <x:v>47208</x:v>
      </x:c>
      <x:c r="O8" s="28" t="n">
        <x:v>47299</x:v>
      </x:c>
      <x:c r="P8" s="28" t="n">
        <x:v>47391</x:v>
      </x:c>
      <x:c r="Q8" s="28" t="n">
        <x:v>47756</x:v>
      </x:c>
      <x:c r="R8" s="28" t="n">
        <x:v>48121</x:v>
      </x:c>
      <x:c r="S8" s="28" t="n">
        <x:v>48487</x:v>
      </x:c>
      <x:c r="T8" s="28" t="n">
        <x:v>48852</x:v>
      </x:c>
      <x:c r="U8" s="28" t="n">
        <x:v>49217</x:v>
      </x:c>
      <x:c r="V8" s="28" t="n">
        <x:v>49582</x:v>
      </x:c>
      <x:c r="W8" s="28" t="n">
        <x:v>49948</x:v>
      </x:c>
      <x:c r="X8" s="28" t="n">
        <x:v>50313</x:v>
      </x:c>
      <x:c r="Y8" s="28" t="n">
        <x:v>50678</x:v>
      </x:c>
      <x:c r="Z8" s="28" t="n">
        <x:v>51043</x:v>
      </x:c>
      <x:c r="AA8" s="28" t="n">
        <x:v>51409</x:v>
      </x:c>
      <x:c r="AB8" s="28" t="n">
        <x:v>51774</x:v>
      </x:c>
      <x:c r="AC8" s="28" t="n">
        <x:v>52139</x:v>
      </x:c>
      <x:c r="AD8" s="28" t="n">
        <x:v>52504</x:v>
      </x:c>
      <x:c r="AE8" s="28" t="n">
        <x:v>52870</x:v>
      </x:c>
      <x:c r="AF8" s="28" t="n">
        <x:v>53235</x:v>
      </x:c>
      <x:c r="AG8" s="28" t="n">
        <x:v>53600</x:v>
      </x:c>
      <x:c r="AH8" s="28" t="n">
        <x:v>53965</x:v>
      </x:c>
      <x:c r="AI8" s="28" t="n">
        <x:v>54331</x:v>
      </x:c>
      <x:c r="AJ8" s="28" t="n">
        <x:v>54696</x:v>
      </x:c>
      <x:c r="AK8" s="28" t="n">
        <x:v>55061</x:v>
      </x:c>
      <x:c r="AL8" s="28" t="n">
        <x:v>55426</x:v>
      </x:c>
      <x:c r="AM8" s="28" t="n">
        <x:v>55792</x:v>
      </x:c>
      <x:c r="AN8" s="28" t="n">
        <x:v>56157</x:v>
      </x:c>
      <x:c r="AO8" s="28" t="n">
        <x:v>56522</x:v>
      </x:c>
      <x:c r="AP8" s="28" t="n">
        <x:v>56887</x:v>
      </x:c>
      <x:c r="AQ8" s="28" t="n">
        <x:v>57253</x:v>
      </x:c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</x:row>
    <x:row r="10" ht="25" customHeight="1">
      <x:c r="A10" s="2"/>
      <x:c r="B10" s="2"/>
      <x:c r="C10" s="30" t="str">
        <x:v>Debt and retained cash (USD millions)</x:v>
      </x:c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0"/>
      <x:c r="AO10" s="30"/>
      <x:c r="AP10" s="30"/>
      <x:c r="AQ10" s="30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</x:row>
    <x:row r="12" ht="21" customHeight="1">
      <x:c r="A12" s="2"/>
      <x:c r="B12" s="2"/>
      <x:c r="C12" s="2" t="str">
        <x:v>Opening debt</x:v>
      </x:c>
      <x:c r="D12" s="2"/>
      <x:c r="E12" s="37" t="n">
        <x:f>'NAV'!D20</x:f>
        <x:v>949072000</x:v>
      </x:c>
      <x:c r="F12" s="39" t="n">
        <x:f>E14</x:f>
        <x:v>949072000</x:v>
      </x:c>
      <x:c r="G12" s="39" t="n">
        <x:f>F14</x:f>
        <x:v>949072000</x:v>
      </x:c>
      <x:c r="H12" s="39" t="n">
        <x:f>G14</x:f>
        <x:v>807714000</x:v>
      </x:c>
      <x:c r="I12" s="39" t="n">
        <x:f>H14</x:f>
        <x:v>807714000</x:v>
      </x:c>
      <x:c r="J12" s="39" t="n">
        <x:f>I14</x:f>
        <x:v>807714000</x:v>
      </x:c>
      <x:c r="K12" s="39" t="n">
        <x:f>J14</x:f>
        <x:v>807714000</x:v>
      </x:c>
      <x:c r="L12" s="39" t="n">
        <x:f>K14</x:f>
        <x:v>548932000</x:v>
      </x:c>
      <x:c r="M12" s="39" t="n">
        <x:f>L14</x:f>
        <x:v>548932000</x:v>
      </x:c>
      <x:c r="N12" s="39" t="n">
        <x:f>M14</x:f>
        <x:v>548932000</x:v>
      </x:c>
      <x:c r="O12" s="39" t="n">
        <x:f>N14</x:f>
        <x:v>548932000</x:v>
      </x:c>
      <x:c r="P12" s="39" t="n">
        <x:f>O14</x:f>
        <x:v>340410000</x:v>
      </x:c>
      <x:c r="Q12" s="39" t="n">
        <x:f>P14</x:f>
        <x:v>340410000</x:v>
      </x:c>
      <x:c r="R12" s="39" t="n">
        <x:f>Q14</x:f>
        <x:v>200331000</x:v>
      </x:c>
      <x:c r="S12" s="39" t="n">
        <x:f>R14</x:f>
        <x:v>84221000</x:v>
      </x:c>
      <x:c r="T12" s="39" t="n">
        <x:f>S14</x:f>
        <x:v>84221000</x:v>
      </x:c>
      <x:c r="U12" s="39" t="n">
        <x:f>T14</x:f>
        <x:v>0</x:v>
      </x:c>
      <x:c r="V12" s="39" t="n">
        <x:f>U14</x:f>
        <x:v>0</x:v>
      </x:c>
      <x:c r="W12" s="39" t="n">
        <x:f>V14</x:f>
        <x:v>0</x:v>
      </x:c>
      <x:c r="X12" s="39" t="n">
        <x:f>W14</x:f>
        <x:v>0</x:v>
      </x:c>
      <x:c r="Y12" s="39" t="n">
        <x:f>X14</x:f>
        <x:v>0</x:v>
      </x:c>
      <x:c r="Z12" s="39" t="n">
        <x:f>Y14</x:f>
        <x:v>0</x:v>
      </x:c>
      <x:c r="AA12" s="39" t="n">
        <x:f>Z14</x:f>
        <x:v>0</x:v>
      </x:c>
      <x:c r="AB12" s="39" t="n">
        <x:f>AA14</x:f>
        <x:v>0</x:v>
      </x:c>
      <x:c r="AC12" s="39" t="n">
        <x:f>AB14</x:f>
        <x:v>0</x:v>
      </x:c>
      <x:c r="AD12" s="39" t="n">
        <x:f>AC14</x:f>
        <x:v>0</x:v>
      </x:c>
      <x:c r="AE12" s="39" t="n">
        <x:f>AD14</x:f>
        <x:v>0</x:v>
      </x:c>
      <x:c r="AF12" s="39" t="n">
        <x:f>AE14</x:f>
        <x:v>0</x:v>
      </x:c>
      <x:c r="AG12" s="39" t="n">
        <x:f>AF14</x:f>
        <x:v>0</x:v>
      </x:c>
      <x:c r="AH12" s="39" t="n">
        <x:f>AG14</x:f>
        <x:v>0</x:v>
      </x:c>
      <x:c r="AI12" s="39" t="n">
        <x:f>AH14</x:f>
        <x:v>0</x:v>
      </x:c>
      <x:c r="AJ12" s="39" t="n">
        <x:f>AI14</x:f>
        <x:v>0</x:v>
      </x:c>
      <x:c r="AK12" s="39" t="n">
        <x:f>AJ14</x:f>
        <x:v>0</x:v>
      </x:c>
      <x:c r="AL12" s="39" t="n">
        <x:f>AK14</x:f>
        <x:v>0</x:v>
      </x:c>
      <x:c r="AM12" s="39" t="n">
        <x:f>AL14</x:f>
        <x:v>0</x:v>
      </x:c>
      <x:c r="AN12" s="39" t="n">
        <x:f>AM14</x:f>
        <x:v>0</x:v>
      </x:c>
      <x:c r="AO12" s="39" t="n">
        <x:f>AN14</x:f>
        <x:v>0</x:v>
      </x:c>
      <x:c r="AP12" s="39" t="n">
        <x:f>AO14</x:f>
        <x:v>0</x:v>
      </x:c>
      <x:c r="AQ12" s="39" t="n">
        <x:f>AP14</x:f>
        <x:v>0</x:v>
      </x:c>
    </x:row>
    <x:row r="13" ht="21" customHeight="1">
      <x:c r="A13" s="2"/>
      <x:c r="B13" s="2"/>
      <x:c r="C13" s="2" t="str">
        <x:v>Principal paid</x:v>
      </x:c>
      <x:c r="D13" s="2"/>
      <x:c r="E13" s="39" t="n">
        <x:f>MIN(E12,SUMIFS($D$31:$D$36,$C$31:$C$36,"&gt;="&amp;E$7,$C$31:$C$36,"&lt;="&amp;E$8))</x:f>
        <x:v>0</x:v>
      </x:c>
      <x:c r="F13" s="39" t="n">
        <x:f>MIN(F12,SUMIFS($D$31:$D$36,$C$31:$C$36,"&gt;="&amp;F$7,$C$31:$C$36,"&lt;="&amp;F$8))</x:f>
        <x:v>0</x:v>
      </x:c>
      <x:c r="G13" s="39" t="n">
        <x:f>MIN(G12,SUMIFS($D$31:$D$36,$C$31:$C$36,"&gt;="&amp;G$7,$C$31:$C$36,"&lt;="&amp;G$8))</x:f>
        <x:v>141358000</x:v>
      </x:c>
      <x:c r="H13" s="39" t="n">
        <x:f>MIN(H12,SUMIFS($D$31:$D$36,$C$31:$C$36,"&gt;="&amp;H$7,$C$31:$C$36,"&lt;="&amp;H$8))</x:f>
        <x:v>0</x:v>
      </x:c>
      <x:c r="I13" s="39" t="n">
        <x:f>MIN(I12,SUMIFS($D$31:$D$36,$C$31:$C$36,"&gt;="&amp;I$7,$C$31:$C$36,"&lt;="&amp;I$8))</x:f>
        <x:v>0</x:v>
      </x:c>
      <x:c r="J13" s="39" t="n">
        <x:f>MIN(J12,SUMIFS($D$31:$D$36,$C$31:$C$36,"&gt;="&amp;J$7,$C$31:$C$36,"&lt;="&amp;J$8))</x:f>
        <x:v>0</x:v>
      </x:c>
      <x:c r="K13" s="39" t="n">
        <x:f>MIN(K12,SUMIFS($D$31:$D$36,$C$31:$C$36,"&gt;="&amp;K$7,$C$31:$C$36,"&lt;="&amp;K$8))</x:f>
        <x:v>258782000</x:v>
      </x:c>
      <x:c r="L13" s="39" t="n">
        <x:f>MIN(L12,SUMIFS($D$31:$D$36,$C$31:$C$36,"&gt;="&amp;L$7,$C$31:$C$36,"&lt;="&amp;L$8))</x:f>
        <x:v>0</x:v>
      </x:c>
      <x:c r="M13" s="39" t="n">
        <x:f>MIN(M12,SUMIFS($D$31:$D$36,$C$31:$C$36,"&gt;="&amp;M$7,$C$31:$C$36,"&lt;="&amp;M$8))</x:f>
        <x:v>0</x:v>
      </x:c>
      <x:c r="N13" s="39" t="n">
        <x:f>MIN(N12,SUMIFS($D$31:$D$36,$C$31:$C$36,"&gt;="&amp;N$7,$C$31:$C$36,"&lt;="&amp;N$8))</x:f>
        <x:v>0</x:v>
      </x:c>
      <x:c r="O13" s="39" t="n">
        <x:f>MIN(O12,SUMIFS($D$31:$D$36,$C$31:$C$36,"&gt;="&amp;O$7,$C$31:$C$36,"&lt;="&amp;O$8))</x:f>
        <x:v>208522000</x:v>
      </x:c>
      <x:c r="P13" s="39" t="n">
        <x:f>MIN(P12,SUMIFS($D$31:$D$36,$C$31:$C$36,"&gt;="&amp;P$7,$C$31:$C$36,"&lt;="&amp;P$8))</x:f>
        <x:v>0</x:v>
      </x:c>
      <x:c r="Q13" s="39" t="n">
        <x:f>MIN(Q12,SUMIFS($D$31:$D$36,$C$31:$C$36,"&gt;="&amp;Q$7,$C$31:$C$36,"&lt;="&amp;Q$8))</x:f>
        <x:v>140079000</x:v>
      </x:c>
      <x:c r="R13" s="39" t="n">
        <x:f>MIN(R12,SUMIFS($D$31:$D$36,$C$31:$C$36,"&gt;="&amp;R$7,$C$31:$C$36,"&lt;="&amp;R$8))</x:f>
        <x:v>116110000</x:v>
      </x:c>
      <x:c r="S13" s="39" t="n">
        <x:f>MIN(S12,SUMIFS($D$31:$D$36,$C$31:$C$36,"&gt;="&amp;S$7,$C$31:$C$36,"&lt;="&amp;S$8))</x:f>
        <x:v>0</x:v>
      </x:c>
      <x:c r="T13" s="39" t="n">
        <x:f>MIN(T12,SUMIFS($D$31:$D$36,$C$31:$C$36,"&gt;="&amp;T$7,$C$31:$C$36,"&lt;="&amp;T$8))</x:f>
        <x:v>84221000</x:v>
      </x:c>
      <x:c r="U13" s="39" t="n">
        <x:f>MIN(U12,SUMIFS($D$31:$D$36,$C$31:$C$36,"&gt;="&amp;U$7,$C$31:$C$36,"&lt;="&amp;U$8))</x:f>
        <x:v>0</x:v>
      </x:c>
      <x:c r="V13" s="39" t="n">
        <x:f>MIN(V12,SUMIFS($D$31:$D$36,$C$31:$C$36,"&gt;="&amp;V$7,$C$31:$C$36,"&lt;="&amp;V$8))</x:f>
        <x:v>0</x:v>
      </x:c>
      <x:c r="W13" s="39" t="n">
        <x:f>MIN(W12,SUMIFS($D$31:$D$36,$C$31:$C$36,"&gt;="&amp;W$7,$C$31:$C$36,"&lt;="&amp;W$8))</x:f>
        <x:v>0</x:v>
      </x:c>
      <x:c r="X13" s="39" t="n">
        <x:f>MIN(X12,SUMIFS($D$31:$D$36,$C$31:$C$36,"&gt;="&amp;X$7,$C$31:$C$36,"&lt;="&amp;X$8))</x:f>
        <x:v>0</x:v>
      </x:c>
      <x:c r="Y13" s="39" t="n">
        <x:f>MIN(Y12,SUMIFS($D$31:$D$36,$C$31:$C$36,"&gt;="&amp;Y$7,$C$31:$C$36,"&lt;="&amp;Y$8))</x:f>
        <x:v>0</x:v>
      </x:c>
      <x:c r="Z13" s="39" t="n">
        <x:f>MIN(Z12,SUMIFS($D$31:$D$36,$C$31:$C$36,"&gt;="&amp;Z$7,$C$31:$C$36,"&lt;="&amp;Z$8))</x:f>
        <x:v>0</x:v>
      </x:c>
      <x:c r="AA13" s="39" t="n">
        <x:f>MIN(AA12,SUMIFS($D$31:$D$36,$C$31:$C$36,"&gt;="&amp;AA$7,$C$31:$C$36,"&lt;="&amp;AA$8))</x:f>
        <x:v>0</x:v>
      </x:c>
      <x:c r="AB13" s="39" t="n">
        <x:f>MIN(AB12,SUMIFS($D$31:$D$36,$C$31:$C$36,"&gt;="&amp;AB$7,$C$31:$C$36,"&lt;="&amp;AB$8))</x:f>
        <x:v>0</x:v>
      </x:c>
      <x:c r="AC13" s="39" t="n">
        <x:f>MIN(AC12,SUMIFS($D$31:$D$36,$C$31:$C$36,"&gt;="&amp;AC$7,$C$31:$C$36,"&lt;="&amp;AC$8))</x:f>
        <x:v>0</x:v>
      </x:c>
      <x:c r="AD13" s="39" t="n">
        <x:f>MIN(AD12,SUMIFS($D$31:$D$36,$C$31:$C$36,"&gt;="&amp;AD$7,$C$31:$C$36,"&lt;="&amp;AD$8))</x:f>
        <x:v>0</x:v>
      </x:c>
      <x:c r="AE13" s="39" t="n">
        <x:f>MIN(AE12,SUMIFS($D$31:$D$36,$C$31:$C$36,"&gt;="&amp;AE$7,$C$31:$C$36,"&lt;="&amp;AE$8))</x:f>
        <x:v>0</x:v>
      </x:c>
      <x:c r="AF13" s="39" t="n">
        <x:f>MIN(AF12,SUMIFS($D$31:$D$36,$C$31:$C$36,"&gt;="&amp;AF$7,$C$31:$C$36,"&lt;="&amp;AF$8))</x:f>
        <x:v>0</x:v>
      </x:c>
      <x:c r="AG13" s="39" t="n">
        <x:f>MIN(AG12,SUMIFS($D$31:$D$36,$C$31:$C$36,"&gt;="&amp;AG$7,$C$31:$C$36,"&lt;="&amp;AG$8))</x:f>
        <x:v>0</x:v>
      </x:c>
      <x:c r="AH13" s="39" t="n">
        <x:f>MIN(AH12,SUMIFS($D$31:$D$36,$C$31:$C$36,"&gt;="&amp;AH$7,$C$31:$C$36,"&lt;="&amp;AH$8))</x:f>
        <x:v>0</x:v>
      </x:c>
      <x:c r="AI13" s="39" t="n">
        <x:f>MIN(AI12,SUMIFS($D$31:$D$36,$C$31:$C$36,"&gt;="&amp;AI$7,$C$31:$C$36,"&lt;="&amp;AI$8))</x:f>
        <x:v>0</x:v>
      </x:c>
      <x:c r="AJ13" s="39" t="n">
        <x:f>MIN(AJ12,SUMIFS($D$31:$D$36,$C$31:$C$36,"&gt;="&amp;AJ$7,$C$31:$C$36,"&lt;="&amp;AJ$8))</x:f>
        <x:v>0</x:v>
      </x:c>
      <x:c r="AK13" s="39" t="n">
        <x:f>MIN(AK12,SUMIFS($D$31:$D$36,$C$31:$C$36,"&gt;="&amp;AK$7,$C$31:$C$36,"&lt;="&amp;AK$8))</x:f>
        <x:v>0</x:v>
      </x:c>
      <x:c r="AL13" s="39" t="n">
        <x:f>MIN(AL12,SUMIFS($D$31:$D$36,$C$31:$C$36,"&gt;="&amp;AL$7,$C$31:$C$36,"&lt;="&amp;AL$8))</x:f>
        <x:v>0</x:v>
      </x:c>
      <x:c r="AM13" s="39" t="n">
        <x:f>MIN(AM12,SUMIFS($D$31:$D$36,$C$31:$C$36,"&gt;="&amp;AM$7,$C$31:$C$36,"&lt;="&amp;AM$8))</x:f>
        <x:v>0</x:v>
      </x:c>
      <x:c r="AN13" s="39" t="n">
        <x:f>MIN(AN12,SUMIFS($D$31:$D$36,$C$31:$C$36,"&gt;="&amp;AN$7,$C$31:$C$36,"&lt;="&amp;AN$8))</x:f>
        <x:v>0</x:v>
      </x:c>
      <x:c r="AO13" s="39" t="n">
        <x:f>MIN(AO12,SUMIFS($D$31:$D$36,$C$31:$C$36,"&gt;="&amp;AO$7,$C$31:$C$36,"&lt;="&amp;AO$8))</x:f>
        <x:v>0</x:v>
      </x:c>
      <x:c r="AP13" s="39" t="n">
        <x:f>MIN(AP12,SUMIFS($D$31:$D$36,$C$31:$C$36,"&gt;="&amp;AP$7,$C$31:$C$36,"&lt;="&amp;AP$8))</x:f>
        <x:v>0</x:v>
      </x:c>
      <x:c r="AQ13" s="39" t="n">
        <x:f>MIN(AQ12,SUMIFS($D$31:$D$36,$C$31:$C$36,"&gt;="&amp;AQ$7,$C$31:$C$36,"&lt;="&amp;AQ$8))</x:f>
        <x:v>0</x:v>
      </x:c>
    </x:row>
    <x:row r="14" ht="21" customHeight="1">
      <x:c r="A14" s="2"/>
      <x:c r="B14" s="2"/>
      <x:c r="C14" s="2" t="str">
        <x:v>Closing debt</x:v>
      </x:c>
      <x:c r="D14" s="2"/>
      <x:c r="E14" s="39" t="n">
        <x:f>E12-E13</x:f>
        <x:v>949072000</x:v>
      </x:c>
      <x:c r="F14" s="39" t="n">
        <x:f>F12-F13</x:f>
        <x:v>949072000</x:v>
      </x:c>
      <x:c r="G14" s="39" t="n">
        <x:f>G12-G13</x:f>
        <x:v>807714000</x:v>
      </x:c>
      <x:c r="H14" s="39" t="n">
        <x:f>H12-H13</x:f>
        <x:v>807714000</x:v>
      </x:c>
      <x:c r="I14" s="39" t="n">
        <x:f>I12-I13</x:f>
        <x:v>807714000</x:v>
      </x:c>
      <x:c r="J14" s="39" t="n">
        <x:f>J12-J13</x:f>
        <x:v>807714000</x:v>
      </x:c>
      <x:c r="K14" s="39" t="n">
        <x:f>K12-K13</x:f>
        <x:v>548932000</x:v>
      </x:c>
      <x:c r="L14" s="39" t="n">
        <x:f>L12-L13</x:f>
        <x:v>548932000</x:v>
      </x:c>
      <x:c r="M14" s="39" t="n">
        <x:f>M12-M13</x:f>
        <x:v>548932000</x:v>
      </x:c>
      <x:c r="N14" s="39" t="n">
        <x:f>N12-N13</x:f>
        <x:v>548932000</x:v>
      </x:c>
      <x:c r="O14" s="39" t="n">
        <x:f>O12-O13</x:f>
        <x:v>340410000</x:v>
      </x:c>
      <x:c r="P14" s="39" t="n">
        <x:f>P12-P13</x:f>
        <x:v>340410000</x:v>
      </x:c>
      <x:c r="Q14" s="39" t="n">
        <x:f>Q12-Q13</x:f>
        <x:v>200331000</x:v>
      </x:c>
      <x:c r="R14" s="39" t="n">
        <x:f>R12-R13</x:f>
        <x:v>84221000</x:v>
      </x:c>
      <x:c r="S14" s="39" t="n">
        <x:f>S12-S13</x:f>
        <x:v>84221000</x:v>
      </x:c>
      <x:c r="T14" s="39" t="n">
        <x:f>T12-T13</x:f>
        <x:v>0</x:v>
      </x:c>
      <x:c r="U14" s="39" t="n">
        <x:f>U12-U13</x:f>
        <x:v>0</x:v>
      </x:c>
      <x:c r="V14" s="39" t="n">
        <x:f>V12-V13</x:f>
        <x:v>0</x:v>
      </x:c>
      <x:c r="W14" s="39" t="n">
        <x:f>W12-W13</x:f>
        <x:v>0</x:v>
      </x:c>
      <x:c r="X14" s="39" t="n">
        <x:f>X12-X13</x:f>
        <x:v>0</x:v>
      </x:c>
      <x:c r="Y14" s="39" t="n">
        <x:f>Y12-Y13</x:f>
        <x:v>0</x:v>
      </x:c>
      <x:c r="Z14" s="39" t="n">
        <x:f>Z12-Z13</x:f>
        <x:v>0</x:v>
      </x:c>
      <x:c r="AA14" s="39" t="n">
        <x:f>AA12-AA13</x:f>
        <x:v>0</x:v>
      </x:c>
      <x:c r="AB14" s="39" t="n">
        <x:f>AB12-AB13</x:f>
        <x:v>0</x:v>
      </x:c>
      <x:c r="AC14" s="39" t="n">
        <x:f>AC12-AC13</x:f>
        <x:v>0</x:v>
      </x:c>
      <x:c r="AD14" s="39" t="n">
        <x:f>AD12-AD13</x:f>
        <x:v>0</x:v>
      </x:c>
      <x:c r="AE14" s="39" t="n">
        <x:f>AE12-AE13</x:f>
        <x:v>0</x:v>
      </x:c>
      <x:c r="AF14" s="39" t="n">
        <x:f>AF12-AF13</x:f>
        <x:v>0</x:v>
      </x:c>
      <x:c r="AG14" s="39" t="n">
        <x:f>AG12-AG13</x:f>
        <x:v>0</x:v>
      </x:c>
      <x:c r="AH14" s="39" t="n">
        <x:f>AH12-AH13</x:f>
        <x:v>0</x:v>
      </x:c>
      <x:c r="AI14" s="39" t="n">
        <x:f>AI12-AI13</x:f>
        <x:v>0</x:v>
      </x:c>
      <x:c r="AJ14" s="39" t="n">
        <x:f>AJ12-AJ13</x:f>
        <x:v>0</x:v>
      </x:c>
      <x:c r="AK14" s="39" t="n">
        <x:f>AK12-AK13</x:f>
        <x:v>0</x:v>
      </x:c>
      <x:c r="AL14" s="39" t="n">
        <x:f>AL12-AL13</x:f>
        <x:v>0</x:v>
      </x:c>
      <x:c r="AM14" s="39" t="n">
        <x:f>AM12-AM13</x:f>
        <x:v>0</x:v>
      </x:c>
      <x:c r="AN14" s="39" t="n">
        <x:f>AN12-AN13</x:f>
        <x:v>0</x:v>
      </x:c>
      <x:c r="AO14" s="39" t="n">
        <x:f>AO12-AO13</x:f>
        <x:v>0</x:v>
      </x:c>
      <x:c r="AP14" s="39" t="n">
        <x:f>AP12-AP13</x:f>
        <x:v>0</x:v>
      </x:c>
      <x:c r="AQ14" s="39" t="n">
        <x:f>AQ12-AQ13</x:f>
        <x:v>0</x:v>
      </x:c>
    </x:row>
    <x:row r="15" ht="21" customHeight="1">
      <x:c r="A15" s="2"/>
      <x:c r="B15" s="2"/>
      <x:c r="C15" s="2" t="str">
        <x:v>Cash interest</x:v>
      </x:c>
      <x:c r="D15" s="2"/>
      <x:c r="E15" s="37" t="n">
        <x:f>AVERAGE(E12,E14)*'Assumptions'!$D$100*(E$8-E$7+1)/365</x:f>
        <x:v>12948982.356164383</x:v>
      </x:c>
      <x:c r="F15" s="37" t="n">
        <x:f>AVERAGE(F12,F14)*'Assumptions'!$D$100*(F$8-F$7+1)/365</x:f>
        <x:v>14041065.205479452</x:v>
      </x:c>
      <x:c r="G15" s="37" t="n">
        <x:f>AVERAGE(G12,G14)*'Assumptions'!$D$100*(G$8-G$7+1)/365</x:f>
        <x:v>13139796.657534247</x:v>
      </x:c>
      <x:c r="H15" s="37" t="n">
        <x:f>AVERAGE(H12,H14)*'Assumptions'!$D$100*(H$8-H$7+1)/365</x:f>
        <x:v>12215291.178082192</x:v>
      </x:c>
      <x:c r="I15" s="37" t="n">
        <x:f>AVERAGE(I12,I14)*'Assumptions'!$D$100*(I$8-I$7+1)/365</x:f>
        <x:v>12215291.178082192</x:v>
      </x:c>
      <x:c r="J15" s="37" t="n">
        <x:f>AVERAGE(J12,J14)*'Assumptions'!$D$100*(J$8-J$7+1)/365</x:f>
        <x:v>12082516.273972603</x:v>
      </x:c>
      <x:c r="K15" s="37" t="n">
        <x:f>AVERAGE(K12,K14)*'Assumptions'!$D$100*(K$8-K$7+1)/365</x:f>
        <x:v>10146968.712328767</x:v>
      </x:c>
      <x:c r="L15" s="37" t="n">
        <x:f>AVERAGE(L12,L14)*'Assumptions'!$D$100*(L$8-L$7+1)/365</x:f>
        <x:v>8301656.547945205</x:v>
      </x:c>
      <x:c r="M15" s="37" t="n">
        <x:f>AVERAGE(M12,M14)*'Assumptions'!$D$100*(M$8-M$7+1)/365</x:f>
        <x:v>8301656.547945205</x:v>
      </x:c>
      <x:c r="N15" s="37" t="n">
        <x:f>AVERAGE(N12,N14)*'Assumptions'!$D$100*(N$8-N$7+1)/365</x:f>
        <x:v>8121185.7534246575</x:v>
      </x:c>
      <x:c r="O15" s="37" t="n">
        <x:f>AVERAGE(O12,O14)*'Assumptions'!$D$100*(O$8-O$7+1)/365</x:f>
        <x:v>6651790.849315069</x:v>
      </x:c>
      <x:c r="P15" s="37" t="n">
        <x:f>AVERAGE(P12,P14)*'Assumptions'!$D$100*(P$8-P$7+1)/365</x:f>
        <x:v>5148118.356164384</x:v>
      </x:c>
      <x:c r="Q15" s="37" t="n">
        <x:f>AVERAGE(Q12,Q14)*'Assumptions'!$D$100*(Q$8-Q$7+1)/365</x:f>
        <x:v>16222230</x:v>
      </x:c>
      <x:c r="R15" s="37" t="n">
        <x:f>AVERAGE(R12,R14)*'Assumptions'!$D$100*(R$8-R$7+1)/365</x:f>
        <x:v>8536560</x:v>
      </x:c>
      <x:c r="S15" s="37" t="n">
        <x:f>AVERAGE(S12,S14)*'Assumptions'!$D$100*(S$8-S$7+1)/365</x:f>
        <x:v>5067104.547945205</x:v>
      </x:c>
      <x:c r="T15" s="37" t="n">
        <x:f>AVERAGE(T12,T14)*'Assumptions'!$D$100*(T$8-T$7+1)/365</x:f>
        <x:v>2526630</x:v>
      </x:c>
      <x:c r="U15" s="37" t="n">
        <x:f>AVERAGE(U12,U14)*'Assumptions'!$D$100*(U$8-U$7+1)/365</x:f>
        <x:v>0</x:v>
      </x:c>
      <x:c r="V15" s="37" t="n">
        <x:f>AVERAGE(V12,V14)*'Assumptions'!$D$100*(V$8-V$7+1)/365</x:f>
        <x:v>0</x:v>
      </x:c>
      <x:c r="W15" s="37" t="n">
        <x:f>AVERAGE(W12,W14)*'Assumptions'!$D$100*(W$8-W$7+1)/365</x:f>
        <x:v>0</x:v>
      </x:c>
      <x:c r="X15" s="37" t="n">
        <x:f>AVERAGE(X12,X14)*'Assumptions'!$D$100*(X$8-X$7+1)/365</x:f>
        <x:v>0</x:v>
      </x:c>
      <x:c r="Y15" s="37" t="n">
        <x:f>AVERAGE(Y12,Y14)*'Assumptions'!$D$100*(Y$8-Y$7+1)/365</x:f>
        <x:v>0</x:v>
      </x:c>
      <x:c r="Z15" s="37" t="n">
        <x:f>AVERAGE(Z12,Z14)*'Assumptions'!$D$100*(Z$8-Z$7+1)/365</x:f>
        <x:v>0</x:v>
      </x:c>
      <x:c r="AA15" s="37" t="n">
        <x:f>AVERAGE(AA12,AA14)*'Assumptions'!$D$100*(AA$8-AA$7+1)/365</x:f>
        <x:v>0</x:v>
      </x:c>
      <x:c r="AB15" s="37" t="n">
        <x:f>AVERAGE(AB12,AB14)*'Assumptions'!$D$100*(AB$8-AB$7+1)/365</x:f>
        <x:v>0</x:v>
      </x:c>
      <x:c r="AC15" s="37" t="n">
        <x:f>AVERAGE(AC12,AC14)*'Assumptions'!$D$100*(AC$8-AC$7+1)/365</x:f>
        <x:v>0</x:v>
      </x:c>
      <x:c r="AD15" s="37" t="n">
        <x:f>AVERAGE(AD12,AD14)*'Assumptions'!$D$100*(AD$8-AD$7+1)/365</x:f>
        <x:v>0</x:v>
      </x:c>
      <x:c r="AE15" s="37" t="n">
        <x:f>AVERAGE(AE12,AE14)*'Assumptions'!$D$100*(AE$8-AE$7+1)/365</x:f>
        <x:v>0</x:v>
      </x:c>
      <x:c r="AF15" s="37" t="n">
        <x:f>AVERAGE(AF12,AF14)*'Assumptions'!$D$100*(AF$8-AF$7+1)/365</x:f>
        <x:v>0</x:v>
      </x:c>
      <x:c r="AG15" s="37" t="n">
        <x:f>AVERAGE(AG12,AG14)*'Assumptions'!$D$100*(AG$8-AG$7+1)/365</x:f>
        <x:v>0</x:v>
      </x:c>
      <x:c r="AH15" s="37" t="n">
        <x:f>AVERAGE(AH12,AH14)*'Assumptions'!$D$100*(AH$8-AH$7+1)/365</x:f>
        <x:v>0</x:v>
      </x:c>
      <x:c r="AI15" s="37" t="n">
        <x:f>AVERAGE(AI12,AI14)*'Assumptions'!$D$100*(AI$8-AI$7+1)/365</x:f>
        <x:v>0</x:v>
      </x:c>
      <x:c r="AJ15" s="37" t="n">
        <x:f>AVERAGE(AJ12,AJ14)*'Assumptions'!$D$100*(AJ$8-AJ$7+1)/365</x:f>
        <x:v>0</x:v>
      </x:c>
      <x:c r="AK15" s="37" t="n">
        <x:f>AVERAGE(AK12,AK14)*'Assumptions'!$D$100*(AK$8-AK$7+1)/365</x:f>
        <x:v>0</x:v>
      </x:c>
      <x:c r="AL15" s="37" t="n">
        <x:f>AVERAGE(AL12,AL14)*'Assumptions'!$D$100*(AL$8-AL$7+1)/365</x:f>
        <x:v>0</x:v>
      </x:c>
      <x:c r="AM15" s="37" t="n">
        <x:f>AVERAGE(AM12,AM14)*'Assumptions'!$D$100*(AM$8-AM$7+1)/365</x:f>
        <x:v>0</x:v>
      </x:c>
      <x:c r="AN15" s="37" t="n">
        <x:f>AVERAGE(AN12,AN14)*'Assumptions'!$D$100*(AN$8-AN$7+1)/365</x:f>
        <x:v>0</x:v>
      </x:c>
      <x:c r="AO15" s="37" t="n">
        <x:f>AVERAGE(AO12,AO14)*'Assumptions'!$D$100*(AO$8-AO$7+1)/365</x:f>
        <x:v>0</x:v>
      </x:c>
      <x:c r="AP15" s="37" t="n">
        <x:f>AVERAGE(AP12,AP14)*'Assumptions'!$D$100*(AP$8-AP$7+1)/365</x:f>
        <x:v>0</x:v>
      </x:c>
      <x:c r="AQ15" s="37" t="n">
        <x:f>AVERAGE(AQ12,AQ14)*'Assumptions'!$D$100*(AQ$8-AQ$7+1)/365</x:f>
        <x:v>0</x:v>
      </x:c>
    </x:row>
    <x:row r="16" ht="21" customHeight="1">
      <x:c r="A16" s="2"/>
      <x:c r="B16" s="2"/>
      <x:c r="C16" s="2"/>
      <x:c r="D16" s="2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  <x:c r="AN16" s="38"/>
      <x:c r="AO16" s="38"/>
      <x:c r="AP16" s="38"/>
      <x:c r="AQ16" s="38"/>
    </x:row>
    <x:row r="17" ht="21" customHeight="1">
      <x:c r="A17" s="2"/>
      <x:c r="B17" s="2"/>
      <x:c r="C17" s="2" t="str">
        <x:v>Unlevered free cash flow</x:v>
      </x:c>
      <x:c r="D17" s="2"/>
      <x:c r="E17" s="37" t="n">
        <x:f>'Cash Flow'!E94</x:f>
        <x:v>8051548.906688228</x:v>
      </x:c>
      <x:c r="F17" s="37" t="n">
        <x:f>'Cash Flow'!F94</x:f>
        <x:v>107643931.26295498</x:v>
      </x:c>
      <x:c r="G17" s="37" t="n">
        <x:f>'Cash Flow'!G94</x:f>
        <x:v>110258024.06381887</x:v>
      </x:c>
      <x:c r="H17" s="37" t="n">
        <x:f>'Cash Flow'!H94</x:f>
        <x:v>112024379.07325923</x:v>
      </x:c>
      <x:c r="I17" s="37" t="n">
        <x:f>'Cash Flow'!I94</x:f>
        <x:v>112583714.99986902</x:v>
      </x:c>
      <x:c r="J17" s="37" t="n">
        <x:f>'Cash Flow'!J94</x:f>
        <x:v>111912942.31565535</x:v>
      </x:c>
      <x:c r="K17" s="37" t="n">
        <x:f>'Cash Flow'!K94</x:f>
        <x:v>112468059.68606576</x:v>
      </x:c>
      <x:c r="L17" s="37" t="n">
        <x:f>'Cash Flow'!L94</x:f>
        <x:v>114271066.12307985</x:v>
      </x:c>
      <x:c r="M17" s="37" t="n">
        <x:f>'Cash Flow'!M94</x:f>
        <x:v>114841619.7220678</x:v>
      </x:c>
      <x:c r="N17" s="37" t="n">
        <x:f>'Cash Flow'!N94</x:f>
        <x:v>112898590.12029475</x:v>
      </x:c>
      <x:c r="O17" s="37" t="n">
        <x:f>'Cash Flow'!O94</x:f>
        <x:v>114718671.98800105</x:v>
      </x:c>
      <x:c r="P17" s="37" t="n">
        <x:f>'Cash Flow'!P94</x:f>
        <x:v>116556487.44554141</x:v>
      </x:c>
      <x:c r="Q17" s="37" t="n">
        <x:f>'Cash Flow'!Q94</x:f>
        <x:v>473661453.4641803</x:v>
      </x:c>
      <x:c r="R17" s="37" t="n">
        <x:f>'Cash Flow'!R94</x:f>
        <x:v>521419679.0428681</x:v>
      </x:c>
      <x:c r="S17" s="37" t="n">
        <x:f>'Cash Flow'!S94</x:f>
        <x:v>486208844.11205214</x:v>
      </x:c>
      <x:c r="T17" s="37" t="n">
        <x:f>'Cash Flow'!T94</x:f>
        <x:v>472855017.8739425</x:v>
      </x:c>
      <x:c r="U17" s="37" t="n">
        <x:f>'Cash Flow'!U94</x:f>
        <x:v>458923544.7165148</x:v>
      </x:c>
      <x:c r="V17" s="37" t="n">
        <x:f>'Cash Flow'!V94</x:f>
        <x:v>581262059.7630051</x:v>
      </x:c>
      <x:c r="W17" s="37" t="n">
        <x:f>'Cash Flow'!W94</x:f>
        <x:v>445140963.79567546</x:v>
      </x:c>
      <x:c r="X17" s="37" t="n">
        <x:f>'Cash Flow'!X94</x:f>
        <x:v>373591592.0416752</x:v>
      </x:c>
      <x:c r="Y17" s="37" t="n">
        <x:f>'Cash Flow'!Y94</x:f>
        <x:v>416223083.0237658</x:v>
      </x:c>
      <x:c r="Z17" s="37" t="n">
        <x:f>'Cash Flow'!Z94</x:f>
        <x:v>356025487.7508499</x:v>
      </x:c>
      <x:c r="AA17" s="37" t="n">
        <x:f>'Cash Flow'!AA94</x:f>
        <x:v>433883961.02925044</x:v>
      </x:c>
      <x:c r="AB17" s="37" t="n">
        <x:f>'Cash Flow'!AB94</x:f>
        <x:v>273845153.1259053</x:v>
      </x:c>
      <x:c r="AC17" s="37" t="n">
        <x:f>'Cash Flow'!AC94</x:f>
        <x:v>189097750.16507083</x:v>
      </x:c>
      <x:c r="AD17" s="37" t="n">
        <x:f>'Cash Flow'!AD94</x:f>
        <x:v>114311732.85601048</x:v>
      </x:c>
      <x:c r="AE17" s="37" t="n">
        <x:f>'Cash Flow'!AE94</x:f>
        <x:v>89098100.75986873</x:v>
      </x:c>
      <x:c r="AF17" s="37" t="n">
        <x:f>'Cash Flow'!AF94</x:f>
        <x:v>34156846.350602865</x:v>
      </x:c>
      <x:c r="AG17" s="37" t="n">
        <x:f>'Cash Flow'!AG94</x:f>
        <x:v>23819264.866832774</x:v>
      </x:c>
      <x:c r="AH17" s="37" t="n">
        <x:f>'Cash Flow'!AH94</x:f>
        <x:v>14882930.23117896</x:v>
      </x:c>
      <x:c r="AI17" s="37" t="n">
        <x:f>'Cash Flow'!AI94</x:f>
        <x:v>14891005.008415528</x:v>
      </x:c>
      <x:c r="AJ17" s="37" t="n">
        <x:f>'Cash Flow'!AJ94</x:f>
        <x:v>15147539.018786656</x:v>
      </x:c>
      <x:c r="AK17" s="37" t="n">
        <x:f>'Cash Flow'!AK94</x:f>
        <x:v>15450589.65291825</x:v>
      </x:c>
      <x:c r="AL17" s="37" t="n">
        <x:f>'Cash Flow'!AL94</x:f>
        <x:v>53599567.40374854</x:v>
      </x:c>
      <x:c r="AM17" s="37" t="n">
        <x:f>'Cash Flow'!AM94</x:f>
        <x:v>2864444.868798684</x:v>
      </x:c>
      <x:c r="AN17" s="37" t="n">
        <x:f>'Cash Flow'!AN94</x:f>
        <x:v>0</x:v>
      </x:c>
      <x:c r="AO17" s="37" t="n">
        <x:f>'Cash Flow'!AO94</x:f>
        <x:v>0</x:v>
      </x:c>
      <x:c r="AP17" s="37" t="n">
        <x:f>'Cash Flow'!AP94</x:f>
        <x:v>0</x:v>
      </x:c>
      <x:c r="AQ17" s="37" t="n">
        <x:f>'Cash Flow'!AQ94</x:f>
        <x:v>0</x:v>
      </x:c>
    </x:row>
    <x:row r="18" ht="21" customHeight="1">
      <x:c r="A18" s="2"/>
      <x:c r="B18" s="2"/>
      <x:c r="C18" s="2" t="str">
        <x:v>Cash after financing, before dividends</x:v>
      </x:c>
      <x:c r="D18" s="2"/>
      <x:c r="E18" s="39" t="n">
        <x:f>E17-E13-E15</x:f>
        <x:v>-4897433.4494761545</x:v>
      </x:c>
      <x:c r="F18" s="39" t="n">
        <x:f>F17-F13-F15</x:f>
        <x:v>93602866.05747552</x:v>
      </x:c>
      <x:c r="G18" s="39" t="n">
        <x:f>G17-G13-G15</x:f>
        <x:v>-44239772.59371538</x:v>
      </x:c>
      <x:c r="H18" s="39" t="n">
        <x:f>H17-H13-H15</x:f>
        <x:v>99809087.89517704</x:v>
      </x:c>
      <x:c r="I18" s="39" t="n">
        <x:f>I17-I13-I15</x:f>
        <x:v>100368423.82178682</x:v>
      </x:c>
      <x:c r="J18" s="39" t="n">
        <x:f>J17-J13-J15</x:f>
        <x:v>99830426.04168275</x:v>
      </x:c>
      <x:c r="K18" s="39" t="n">
        <x:f>K17-K13-K15</x:f>
        <x:v>-156460909.026263</x:v>
      </x:c>
      <x:c r="L18" s="39" t="n">
        <x:f>L17-L13-L15</x:f>
        <x:v>105969409.57513465</x:v>
      </x:c>
      <x:c r="M18" s="39" t="n">
        <x:f>M17-M13-M15</x:f>
        <x:v>106539963.1741226</x:v>
      </x:c>
      <x:c r="N18" s="39" t="n">
        <x:f>N17-N13-N15</x:f>
        <x:v>104777404.36687009</x:v>
      </x:c>
      <x:c r="O18" s="39" t="n">
        <x:f>O17-O13-O15</x:f>
        <x:v>-100455118.86131401</x:v>
      </x:c>
      <x:c r="P18" s="39" t="n">
        <x:f>P17-P13-P15</x:f>
        <x:v>111408369.08937703</x:v>
      </x:c>
      <x:c r="Q18" s="39" t="n">
        <x:f>Q17-Q13-Q15</x:f>
        <x:v>317360223.4641803</x:v>
      </x:c>
      <x:c r="R18" s="39" t="n">
        <x:f>R17-R13-R15</x:f>
        <x:v>396773119.0428681</x:v>
      </x:c>
      <x:c r="S18" s="39" t="n">
        <x:f>S17-S13-S15</x:f>
        <x:v>481141739.56410694</x:v>
      </x:c>
      <x:c r="T18" s="39" t="n">
        <x:f>T17-T13-T15</x:f>
        <x:v>386107387.8739425</x:v>
      </x:c>
      <x:c r="U18" s="39" t="n">
        <x:f>U17-U13-U15</x:f>
        <x:v>458923544.7165148</x:v>
      </x:c>
      <x:c r="V18" s="39" t="n">
        <x:f>V17-V13-V15</x:f>
        <x:v>581262059.7630051</x:v>
      </x:c>
      <x:c r="W18" s="39" t="n">
        <x:f>W17-W13-W15</x:f>
        <x:v>445140963.79567546</x:v>
      </x:c>
      <x:c r="X18" s="39" t="n">
        <x:f>X17-X13-X15</x:f>
        <x:v>373591592.0416752</x:v>
      </x:c>
      <x:c r="Y18" s="39" t="n">
        <x:f>Y17-Y13-Y15</x:f>
        <x:v>416223083.0237658</x:v>
      </x:c>
      <x:c r="Z18" s="39" t="n">
        <x:f>Z17-Z13-Z15</x:f>
        <x:v>356025487.7508499</x:v>
      </x:c>
      <x:c r="AA18" s="39" t="n">
        <x:f>AA17-AA13-AA15</x:f>
        <x:v>433883961.02925044</x:v>
      </x:c>
      <x:c r="AB18" s="39" t="n">
        <x:f>AB17-AB13-AB15</x:f>
        <x:v>273845153.1259053</x:v>
      </x:c>
      <x:c r="AC18" s="39" t="n">
        <x:f>AC17-AC13-AC15</x:f>
        <x:v>189097750.16507083</x:v>
      </x:c>
      <x:c r="AD18" s="39" t="n">
        <x:f>AD17-AD13-AD15</x:f>
        <x:v>114311732.85601048</x:v>
      </x:c>
      <x:c r="AE18" s="39" t="n">
        <x:f>AE17-AE13-AE15</x:f>
        <x:v>89098100.75986873</x:v>
      </x:c>
      <x:c r="AF18" s="39" t="n">
        <x:f>AF17-AF13-AF15</x:f>
        <x:v>34156846.350602865</x:v>
      </x:c>
      <x:c r="AG18" s="39" t="n">
        <x:f>AG17-AG13-AG15</x:f>
        <x:v>23819264.866832774</x:v>
      </x:c>
      <x:c r="AH18" s="39" t="n">
        <x:f>AH17-AH13-AH15</x:f>
        <x:v>14882930.23117896</x:v>
      </x:c>
      <x:c r="AI18" s="39" t="n">
        <x:f>AI17-AI13-AI15</x:f>
        <x:v>14891005.008415528</x:v>
      </x:c>
      <x:c r="AJ18" s="39" t="n">
        <x:f>AJ17-AJ13-AJ15</x:f>
        <x:v>15147539.018786656</x:v>
      </x:c>
      <x:c r="AK18" s="39" t="n">
        <x:f>AK17-AK13-AK15</x:f>
        <x:v>15450589.65291825</x:v>
      </x:c>
      <x:c r="AL18" s="39" t="n">
        <x:f>AL17-AL13-AL15</x:f>
        <x:v>53599567.40374854</x:v>
      </x:c>
      <x:c r="AM18" s="39" t="n">
        <x:f>AM17-AM13-AM15</x:f>
        <x:v>2864444.868798684</x:v>
      </x:c>
      <x:c r="AN18" s="39" t="n">
        <x:f>AN17-AN13-AN15</x:f>
        <x:v>0</x:v>
      </x:c>
      <x:c r="AO18" s="39" t="n">
        <x:f>AO17-AO13-AO15</x:f>
        <x:v>0</x:v>
      </x:c>
      <x:c r="AP18" s="39" t="n">
        <x:f>AP17-AP13-AP15</x:f>
        <x:v>0</x:v>
      </x:c>
      <x:c r="AQ18" s="39" t="n">
        <x:f>AQ17-AQ13-AQ15</x:f>
        <x:v>0</x:v>
      </x:c>
    </x:row>
    <x:row r="19" ht="21" customHeight="1">
      <x:c r="A19" s="2"/>
      <x:c r="B19" s="2"/>
      <x:c r="C19" s="2"/>
      <x:c r="D19" s="2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  <x:c r="AO19" s="38"/>
      <x:c r="AP19" s="38"/>
      <x:c r="AQ19" s="38"/>
    </x:row>
    <x:row r="20" ht="21" customHeight="1">
      <x:c r="A20" s="2"/>
      <x:c r="B20" s="2"/>
      <x:c r="C20" s="2" t="str">
        <x:v>Opening retained cash</x:v>
      </x:c>
      <x:c r="D20" s="2"/>
      <x:c r="E20" s="37" t="n">
        <x:f>'NAV'!D17</x:f>
        <x:v>521142000</x:v>
      </x:c>
      <x:c r="F20" s="39" t="n">
        <x:f>E21</x:f>
        <x:v>516244566.5505238</x:v>
      </x:c>
      <x:c r="G20" s="39" t="n">
        <x:f>F21</x:f>
        <x:v>609847432.6079993</x:v>
      </x:c>
      <x:c r="H20" s="39" t="n">
        <x:f>G21</x:f>
        <x:v>565607660.0142839</x:v>
      </x:c>
      <x:c r="I20" s="39" t="n">
        <x:f>H21</x:f>
        <x:v>665416747.9094609</x:v>
      </x:c>
      <x:c r="J20" s="39" t="n">
        <x:f>I21</x:f>
        <x:v>765785171.7312477</x:v>
      </x:c>
      <x:c r="K20" s="39" t="n">
        <x:f>J21</x:f>
        <x:v>865615597.7729304</x:v>
      </x:c>
      <x:c r="L20" s="39" t="n">
        <x:f>K21</x:f>
        <x:v>709154688.7466674</x:v>
      </x:c>
      <x:c r="M20" s="39" t="n">
        <x:f>L21</x:f>
        <x:v>815124098.321802</x:v>
      </x:c>
      <x:c r="N20" s="39" t="n">
        <x:f>M21</x:f>
        <x:v>921664061.4959246</x:v>
      </x:c>
      <x:c r="O20" s="39" t="n">
        <x:f>N21</x:f>
        <x:v>1026441465.8627946</x:v>
      </x:c>
      <x:c r="P20" s="39" t="n">
        <x:f>O21</x:f>
        <x:v>925986347.0014806</x:v>
      </x:c>
      <x:c r="Q20" s="39" t="n">
        <x:f>P21</x:f>
        <x:v>1037394716.0908576</x:v>
      </x:c>
      <x:c r="R20" s="39" t="n">
        <x:f>Q21</x:f>
        <x:v>1354754939.555038</x:v>
      </x:c>
      <x:c r="S20" s="39" t="n">
        <x:f>R21</x:f>
        <x:v>1751528058.597906</x:v>
      </x:c>
      <x:c r="T20" s="39" t="n">
        <x:f>S21</x:f>
        <x:v>2232669798.162013</x:v>
      </x:c>
      <x:c r="U20" s="39" t="n">
        <x:f>T21</x:f>
        <x:v>2618777186.0359554</x:v>
      </x:c>
      <x:c r="V20" s="39" t="n">
        <x:f>U21</x:f>
        <x:v>3077700730.75247</x:v>
      </x:c>
      <x:c r="W20" s="39" t="n">
        <x:f>V21</x:f>
        <x:v>3658962790.5154753</x:v>
      </x:c>
      <x:c r="X20" s="39" t="n">
        <x:f>W21</x:f>
        <x:v>4104103754.3111506</x:v>
      </x:c>
      <x:c r="Y20" s="39" t="n">
        <x:f>X21</x:f>
        <x:v>4477695346.352826</x:v>
      </x:c>
      <x:c r="Z20" s="39" t="n">
        <x:f>Y21</x:f>
        <x:v>4893918429.376592</x:v>
      </x:c>
      <x:c r="AA20" s="39" t="n">
        <x:f>Z21</x:f>
        <x:v>5249943917.127441</x:v>
      </x:c>
      <x:c r="AB20" s="39" t="n">
        <x:f>AA21</x:f>
        <x:v>5683827878.156692</x:v>
      </x:c>
      <x:c r="AC20" s="39" t="n">
        <x:f>AB21</x:f>
        <x:v>5957673031.282597</x:v>
      </x:c>
      <x:c r="AD20" s="39" t="n">
        <x:f>AC21</x:f>
        <x:v>6146770781.447667</x:v>
      </x:c>
      <x:c r="AE20" s="39" t="n">
        <x:f>AD21</x:f>
        <x:v>6261082514.303678</x:v>
      </x:c>
      <x:c r="AF20" s="39" t="n">
        <x:f>AE21</x:f>
        <x:v>6350180615.063546</x:v>
      </x:c>
      <x:c r="AG20" s="39" t="n">
        <x:f>AF21</x:f>
        <x:v>6384337461.414149</x:v>
      </x:c>
      <x:c r="AH20" s="39" t="n">
        <x:f>AG21</x:f>
        <x:v>6408156726.280982</x:v>
      </x:c>
      <x:c r="AI20" s="39" t="n">
        <x:f>AH21</x:f>
        <x:v>6423039656.512161</x:v>
      </x:c>
      <x:c r="AJ20" s="39" t="n">
        <x:f>AI21</x:f>
        <x:v>6437930661.5205765</x:v>
      </x:c>
      <x:c r="AK20" s="39" t="n">
        <x:f>AJ21</x:f>
        <x:v>6453078200.539363</x:v>
      </x:c>
      <x:c r="AL20" s="39" t="n">
        <x:f>AK21</x:f>
        <x:v>6468528790.192281</x:v>
      </x:c>
      <x:c r="AM20" s="39" t="n">
        <x:f>AL21</x:f>
        <x:v>6522128357.596029</x:v>
      </x:c>
      <x:c r="AN20" s="39" t="n">
        <x:f>AM21</x:f>
        <x:v>6524992802.464828</x:v>
      </x:c>
      <x:c r="AO20" s="39" t="n">
        <x:f>AN21</x:f>
        <x:v>6524992802.464828</x:v>
      </x:c>
      <x:c r="AP20" s="39" t="n">
        <x:f>AO21</x:f>
        <x:v>6524992802.464828</x:v>
      </x:c>
      <x:c r="AQ20" s="39" t="n">
        <x:f>AP21</x:f>
        <x:v>6524992802.464828</x:v>
      </x:c>
    </x:row>
    <x:row r="21" ht="21" customHeight="1">
      <x:c r="A21" s="2"/>
      <x:c r="B21" s="2"/>
      <x:c r="C21" s="2" t="str">
        <x:v>Closing retained cash</x:v>
      </x:c>
      <x:c r="D21" s="2"/>
      <x:c r="E21" s="39" t="n">
        <x:f>E20+E18</x:f>
        <x:v>516244566.5505238</x:v>
      </x:c>
      <x:c r="F21" s="39" t="n">
        <x:f>F20+F18</x:f>
        <x:v>609847432.6079993</x:v>
      </x:c>
      <x:c r="G21" s="39" t="n">
        <x:f>G20+G18</x:f>
        <x:v>565607660.0142839</x:v>
      </x:c>
      <x:c r="H21" s="39" t="n">
        <x:f>H20+H18</x:f>
        <x:v>665416747.9094609</x:v>
      </x:c>
      <x:c r="I21" s="39" t="n">
        <x:f>I20+I18</x:f>
        <x:v>765785171.7312477</x:v>
      </x:c>
      <x:c r="J21" s="39" t="n">
        <x:f>J20+J18</x:f>
        <x:v>865615597.7729304</x:v>
      </x:c>
      <x:c r="K21" s="39" t="n">
        <x:f>K20+K18</x:f>
        <x:v>709154688.7466674</x:v>
      </x:c>
      <x:c r="L21" s="39" t="n">
        <x:f>L20+L18</x:f>
        <x:v>815124098.321802</x:v>
      </x:c>
      <x:c r="M21" s="39" t="n">
        <x:f>M20+M18</x:f>
        <x:v>921664061.4959246</x:v>
      </x:c>
      <x:c r="N21" s="39" t="n">
        <x:f>N20+N18</x:f>
        <x:v>1026441465.8627946</x:v>
      </x:c>
      <x:c r="O21" s="39" t="n">
        <x:f>O20+O18</x:f>
        <x:v>925986347.0014806</x:v>
      </x:c>
      <x:c r="P21" s="39" t="n">
        <x:f>P20+P18</x:f>
        <x:v>1037394716.0908576</x:v>
      </x:c>
      <x:c r="Q21" s="39" t="n">
        <x:f>Q20+Q18</x:f>
        <x:v>1354754939.555038</x:v>
      </x:c>
      <x:c r="R21" s="39" t="n">
        <x:f>R20+R18</x:f>
        <x:v>1751528058.597906</x:v>
      </x:c>
      <x:c r="S21" s="39" t="n">
        <x:f>S20+S18</x:f>
        <x:v>2232669798.162013</x:v>
      </x:c>
      <x:c r="T21" s="39" t="n">
        <x:f>T20+T18</x:f>
        <x:v>2618777186.0359554</x:v>
      </x:c>
      <x:c r="U21" s="39" t="n">
        <x:f>U20+U18</x:f>
        <x:v>3077700730.75247</x:v>
      </x:c>
      <x:c r="V21" s="39" t="n">
        <x:f>V20+V18</x:f>
        <x:v>3658962790.5154753</x:v>
      </x:c>
      <x:c r="W21" s="39" t="n">
        <x:f>W20+W18</x:f>
        <x:v>4104103754.3111506</x:v>
      </x:c>
      <x:c r="X21" s="39" t="n">
        <x:f>X20+X18</x:f>
        <x:v>4477695346.352826</x:v>
      </x:c>
      <x:c r="Y21" s="39" t="n">
        <x:f>Y20+Y18</x:f>
        <x:v>4893918429.376592</x:v>
      </x:c>
      <x:c r="Z21" s="39" t="n">
        <x:f>Z20+Z18</x:f>
        <x:v>5249943917.127441</x:v>
      </x:c>
      <x:c r="AA21" s="39" t="n">
        <x:f>AA20+AA18</x:f>
        <x:v>5683827878.156692</x:v>
      </x:c>
      <x:c r="AB21" s="39" t="n">
        <x:f>AB20+AB18</x:f>
        <x:v>5957673031.282597</x:v>
      </x:c>
      <x:c r="AC21" s="39" t="n">
        <x:f>AC20+AC18</x:f>
        <x:v>6146770781.447667</x:v>
      </x:c>
      <x:c r="AD21" s="39" t="n">
        <x:f>AD20+AD18</x:f>
        <x:v>6261082514.303678</x:v>
      </x:c>
      <x:c r="AE21" s="39" t="n">
        <x:f>AE20+AE18</x:f>
        <x:v>6350180615.063546</x:v>
      </x:c>
      <x:c r="AF21" s="39" t="n">
        <x:f>AF20+AF18</x:f>
        <x:v>6384337461.414149</x:v>
      </x:c>
      <x:c r="AG21" s="39" t="n">
        <x:f>AG20+AG18</x:f>
        <x:v>6408156726.280982</x:v>
      </x:c>
      <x:c r="AH21" s="39" t="n">
        <x:f>AH20+AH18</x:f>
        <x:v>6423039656.512161</x:v>
      </x:c>
      <x:c r="AI21" s="39" t="n">
        <x:f>AI20+AI18</x:f>
        <x:v>6437930661.5205765</x:v>
      </x:c>
      <x:c r="AJ21" s="39" t="n">
        <x:f>AJ20+AJ18</x:f>
        <x:v>6453078200.539363</x:v>
      </x:c>
      <x:c r="AK21" s="39" t="n">
        <x:f>AK20+AK18</x:f>
        <x:v>6468528790.192281</x:v>
      </x:c>
      <x:c r="AL21" s="39" t="n">
        <x:f>AL20+AL18</x:f>
        <x:v>6522128357.596029</x:v>
      </x:c>
      <x:c r="AM21" s="39" t="n">
        <x:f>AM20+AM18</x:f>
        <x:v>6524992802.464828</x:v>
      </x:c>
      <x:c r="AN21" s="39" t="n">
        <x:f>AN20+AN18</x:f>
        <x:v>6524992802.464828</x:v>
      </x:c>
      <x:c r="AO21" s="39" t="n">
        <x:f>AO20+AO18</x:f>
        <x:v>6524992802.464828</x:v>
      </x:c>
      <x:c r="AP21" s="39" t="n">
        <x:f>AP20+AP18</x:f>
        <x:v>6524992802.464828</x:v>
      </x:c>
      <x:c r="AQ21" s="39" t="n">
        <x:f>AQ20+AQ18</x:f>
        <x:v>6524992802.464828</x:v>
      </x:c>
    </x:row>
    <x:row r="22" ht="21" customHeight="1">
      <x:c r="A22" s="2"/>
      <x:c r="B22" s="2"/>
      <x:c r="C22" s="2" t="str">
        <x:v>Illustrative minimum cash</x:v>
      </x:c>
      <x:c r="D22" s="2"/>
      <x:c r="E22" s="37" t="n">
        <x:f>IF('Cash Flow'!E80=0,0,'Sources'!$D$35)</x:f>
        <x:v>67500000</x:v>
      </x:c>
      <x:c r="F22" s="37" t="n">
        <x:f>IF('Cash Flow'!F80=0,0,'Sources'!$D$35)</x:f>
        <x:v>67500000</x:v>
      </x:c>
      <x:c r="G22" s="37" t="n">
        <x:f>IF('Cash Flow'!G80=0,0,'Sources'!$D$35)</x:f>
        <x:v>67500000</x:v>
      </x:c>
      <x:c r="H22" s="37" t="n">
        <x:f>IF('Cash Flow'!H80=0,0,'Sources'!$D$35)</x:f>
        <x:v>67500000</x:v>
      </x:c>
      <x:c r="I22" s="37" t="n">
        <x:f>IF('Cash Flow'!I80=0,0,'Sources'!$D$35)</x:f>
        <x:v>67500000</x:v>
      </x:c>
      <x:c r="J22" s="37" t="n">
        <x:f>IF('Cash Flow'!J80=0,0,'Sources'!$D$35)</x:f>
        <x:v>67500000</x:v>
      </x:c>
      <x:c r="K22" s="37" t="n">
        <x:f>IF('Cash Flow'!K80=0,0,'Sources'!$D$35)</x:f>
        <x:v>67500000</x:v>
      </x:c>
      <x:c r="L22" s="37" t="n">
        <x:f>IF('Cash Flow'!L80=0,0,'Sources'!$D$35)</x:f>
        <x:v>67500000</x:v>
      </x:c>
      <x:c r="M22" s="37" t="n">
        <x:f>IF('Cash Flow'!M80=0,0,'Sources'!$D$35)</x:f>
        <x:v>67500000</x:v>
      </x:c>
      <x:c r="N22" s="37" t="n">
        <x:f>IF('Cash Flow'!N80=0,0,'Sources'!$D$35)</x:f>
        <x:v>67500000</x:v>
      </x:c>
      <x:c r="O22" s="37" t="n">
        <x:f>IF('Cash Flow'!O80=0,0,'Sources'!$D$35)</x:f>
        <x:v>67500000</x:v>
      </x:c>
      <x:c r="P22" s="37" t="n">
        <x:f>IF('Cash Flow'!P80=0,0,'Sources'!$D$35)</x:f>
        <x:v>67500000</x:v>
      </x:c>
      <x:c r="Q22" s="37" t="n">
        <x:f>IF('Cash Flow'!Q80=0,0,'Sources'!$D$35)</x:f>
        <x:v>67500000</x:v>
      </x:c>
      <x:c r="R22" s="37" t="n">
        <x:f>IF('Cash Flow'!R80=0,0,'Sources'!$D$35)</x:f>
        <x:v>67500000</x:v>
      </x:c>
      <x:c r="S22" s="37" t="n">
        <x:f>IF('Cash Flow'!S80=0,0,'Sources'!$D$35)</x:f>
        <x:v>67500000</x:v>
      </x:c>
      <x:c r="T22" s="37" t="n">
        <x:f>IF('Cash Flow'!T80=0,0,'Sources'!$D$35)</x:f>
        <x:v>67500000</x:v>
      </x:c>
      <x:c r="U22" s="37" t="n">
        <x:f>IF('Cash Flow'!U80=0,0,'Sources'!$D$35)</x:f>
        <x:v>67500000</x:v>
      </x:c>
      <x:c r="V22" s="37" t="n">
        <x:f>IF('Cash Flow'!V80=0,0,'Sources'!$D$35)</x:f>
        <x:v>67500000</x:v>
      </x:c>
      <x:c r="W22" s="37" t="n">
        <x:f>IF('Cash Flow'!W80=0,0,'Sources'!$D$35)</x:f>
        <x:v>67500000</x:v>
      </x:c>
      <x:c r="X22" s="37" t="n">
        <x:f>IF('Cash Flow'!X80=0,0,'Sources'!$D$35)</x:f>
        <x:v>67500000</x:v>
      </x:c>
      <x:c r="Y22" s="37" t="n">
        <x:f>IF('Cash Flow'!Y80=0,0,'Sources'!$D$35)</x:f>
        <x:v>67500000</x:v>
      </x:c>
      <x:c r="Z22" s="37" t="n">
        <x:f>IF('Cash Flow'!Z80=0,0,'Sources'!$D$35)</x:f>
        <x:v>67500000</x:v>
      </x:c>
      <x:c r="AA22" s="37" t="n">
        <x:f>IF('Cash Flow'!AA80=0,0,'Sources'!$D$35)</x:f>
        <x:v>67500000</x:v>
      </x:c>
      <x:c r="AB22" s="37" t="n">
        <x:f>IF('Cash Flow'!AB80=0,0,'Sources'!$D$35)</x:f>
        <x:v>67500000</x:v>
      </x:c>
      <x:c r="AC22" s="37" t="n">
        <x:f>IF('Cash Flow'!AC80=0,0,'Sources'!$D$35)</x:f>
        <x:v>67500000</x:v>
      </x:c>
      <x:c r="AD22" s="37" t="n">
        <x:f>IF('Cash Flow'!AD80=0,0,'Sources'!$D$35)</x:f>
        <x:v>67500000</x:v>
      </x:c>
      <x:c r="AE22" s="37" t="n">
        <x:f>IF('Cash Flow'!AE80=0,0,'Sources'!$D$35)</x:f>
        <x:v>67500000</x:v>
      </x:c>
      <x:c r="AF22" s="37" t="n">
        <x:f>IF('Cash Flow'!AF80=0,0,'Sources'!$D$35)</x:f>
        <x:v>67500000</x:v>
      </x:c>
      <x:c r="AG22" s="37" t="n">
        <x:f>IF('Cash Flow'!AG80=0,0,'Sources'!$D$35)</x:f>
        <x:v>67500000</x:v>
      </x:c>
      <x:c r="AH22" s="37" t="n">
        <x:f>IF('Cash Flow'!AH80=0,0,'Sources'!$D$35)</x:f>
        <x:v>67500000</x:v>
      </x:c>
      <x:c r="AI22" s="37" t="n">
        <x:f>IF('Cash Flow'!AI80=0,0,'Sources'!$D$35)</x:f>
        <x:v>67500000</x:v>
      </x:c>
      <x:c r="AJ22" s="37" t="n">
        <x:f>IF('Cash Flow'!AJ80=0,0,'Sources'!$D$35)</x:f>
        <x:v>67500000</x:v>
      </x:c>
      <x:c r="AK22" s="37" t="n">
        <x:f>IF('Cash Flow'!AK80=0,0,'Sources'!$D$35)</x:f>
        <x:v>67500000</x:v>
      </x:c>
      <x:c r="AL22" s="37" t="n">
        <x:f>IF('Cash Flow'!AL80=0,0,'Sources'!$D$35)</x:f>
        <x:v>67500000</x:v>
      </x:c>
      <x:c r="AM22" s="37" t="n">
        <x:f>IF('Cash Flow'!AM80=0,0,'Sources'!$D$35)</x:f>
        <x:v>0</x:v>
      </x:c>
      <x:c r="AN22" s="37" t="n">
        <x:f>IF('Cash Flow'!AN80=0,0,'Sources'!$D$35)</x:f>
        <x:v>0</x:v>
      </x:c>
      <x:c r="AO22" s="37" t="n">
        <x:f>IF('Cash Flow'!AO80=0,0,'Sources'!$D$35)</x:f>
        <x:v>0</x:v>
      </x:c>
      <x:c r="AP22" s="37" t="n">
        <x:f>IF('Cash Flow'!AP80=0,0,'Sources'!$D$35)</x:f>
        <x:v>0</x:v>
      </x:c>
      <x:c r="AQ22" s="37" t="n">
        <x:f>IF('Cash Flow'!AQ80=0,0,'Sources'!$D$35)</x:f>
        <x:v>0</x:v>
      </x:c>
    </x:row>
    <x:row r="23" ht="21" customHeight="1">
      <x:c r="A23" s="2"/>
      <x:c r="B23" s="2"/>
      <x:c r="C23" s="2" t="str">
        <x:v>Cash above / (below) minimum</x:v>
      </x:c>
      <x:c r="D23" s="2"/>
      <x:c r="E23" s="39" t="n">
        <x:f>E21-E22</x:f>
        <x:v>448744566.5505238</x:v>
      </x:c>
      <x:c r="F23" s="39" t="n">
        <x:f>F21-F22</x:f>
        <x:v>542347432.6079993</x:v>
      </x:c>
      <x:c r="G23" s="39" t="n">
        <x:f>G21-G22</x:f>
        <x:v>498107660.0142839</x:v>
      </x:c>
      <x:c r="H23" s="39" t="n">
        <x:f>H21-H22</x:f>
        <x:v>597916747.9094609</x:v>
      </x:c>
      <x:c r="I23" s="39" t="n">
        <x:f>I21-I22</x:f>
        <x:v>698285171.7312477</x:v>
      </x:c>
      <x:c r="J23" s="39" t="n">
        <x:f>J21-J22</x:f>
        <x:v>798115597.7729304</x:v>
      </x:c>
      <x:c r="K23" s="39" t="n">
        <x:f>K21-K22</x:f>
        <x:v>641654688.7466674</x:v>
      </x:c>
      <x:c r="L23" s="39" t="n">
        <x:f>L21-L22</x:f>
        <x:v>747624098.321802</x:v>
      </x:c>
      <x:c r="M23" s="39" t="n">
        <x:f>M21-M22</x:f>
        <x:v>854164061.4959246</x:v>
      </x:c>
      <x:c r="N23" s="39" t="n">
        <x:f>N21-N22</x:f>
        <x:v>958941465.8627946</x:v>
      </x:c>
      <x:c r="O23" s="39" t="n">
        <x:f>O21-O22</x:f>
        <x:v>858486347.0014806</x:v>
      </x:c>
      <x:c r="P23" s="39" t="n">
        <x:f>P21-P22</x:f>
        <x:v>969894716.0908576</x:v>
      </x:c>
      <x:c r="Q23" s="39" t="n">
        <x:f>Q21-Q22</x:f>
        <x:v>1287254939.555038</x:v>
      </x:c>
      <x:c r="R23" s="39" t="n">
        <x:f>R21-R22</x:f>
        <x:v>1684028058.597906</x:v>
      </x:c>
      <x:c r="S23" s="39" t="n">
        <x:f>S21-S22</x:f>
        <x:v>2165169798.162013</x:v>
      </x:c>
      <x:c r="T23" s="39" t="n">
        <x:f>T21-T22</x:f>
        <x:v>2551277186.0359554</x:v>
      </x:c>
      <x:c r="U23" s="39" t="n">
        <x:f>U21-U22</x:f>
        <x:v>3010200730.75247</x:v>
      </x:c>
      <x:c r="V23" s="39" t="n">
        <x:f>V21-V22</x:f>
        <x:v>3591462790.5154753</x:v>
      </x:c>
      <x:c r="W23" s="39" t="n">
        <x:f>W21-W22</x:f>
        <x:v>4036603754.3111506</x:v>
      </x:c>
      <x:c r="X23" s="39" t="n">
        <x:f>X21-X22</x:f>
        <x:v>4410195346.352826</x:v>
      </x:c>
      <x:c r="Y23" s="39" t="n">
        <x:f>Y21-Y22</x:f>
        <x:v>4826418429.376592</x:v>
      </x:c>
      <x:c r="Z23" s="39" t="n">
        <x:f>Z21-Z22</x:f>
        <x:v>5182443917.127441</x:v>
      </x:c>
      <x:c r="AA23" s="39" t="n">
        <x:f>AA21-AA22</x:f>
        <x:v>5616327878.156692</x:v>
      </x:c>
      <x:c r="AB23" s="39" t="n">
        <x:f>AB21-AB22</x:f>
        <x:v>5890173031.282597</x:v>
      </x:c>
      <x:c r="AC23" s="39" t="n">
        <x:f>AC21-AC22</x:f>
        <x:v>6079270781.447667</x:v>
      </x:c>
      <x:c r="AD23" s="39" t="n">
        <x:f>AD21-AD22</x:f>
        <x:v>6193582514.303678</x:v>
      </x:c>
      <x:c r="AE23" s="39" t="n">
        <x:f>AE21-AE22</x:f>
        <x:v>6282680615.063546</x:v>
      </x:c>
      <x:c r="AF23" s="39" t="n">
        <x:f>AF21-AF22</x:f>
        <x:v>6316837461.414149</x:v>
      </x:c>
      <x:c r="AG23" s="39" t="n">
        <x:f>AG21-AG22</x:f>
        <x:v>6340656726.280982</x:v>
      </x:c>
      <x:c r="AH23" s="39" t="n">
        <x:f>AH21-AH22</x:f>
        <x:v>6355539656.512161</x:v>
      </x:c>
      <x:c r="AI23" s="39" t="n">
        <x:f>AI21-AI22</x:f>
        <x:v>6370430661.5205765</x:v>
      </x:c>
      <x:c r="AJ23" s="39" t="n">
        <x:f>AJ21-AJ22</x:f>
        <x:v>6385578200.539363</x:v>
      </x:c>
      <x:c r="AK23" s="39" t="n">
        <x:f>AK21-AK22</x:f>
        <x:v>6401028790.192281</x:v>
      </x:c>
      <x:c r="AL23" s="39" t="n">
        <x:f>AL21-AL22</x:f>
        <x:v>6454628357.596029</x:v>
      </x:c>
      <x:c r="AM23" s="39" t="n">
        <x:f>AM21-AM22</x:f>
        <x:v>6524992802.464828</x:v>
      </x:c>
      <x:c r="AN23" s="39" t="n">
        <x:f>AN21-AN22</x:f>
        <x:v>6524992802.464828</x:v>
      </x:c>
      <x:c r="AO23" s="39" t="n">
        <x:f>AO21-AO22</x:f>
        <x:v>6524992802.464828</x:v>
      </x:c>
      <x:c r="AP23" s="39" t="n">
        <x:f>AP21-AP22</x:f>
        <x:v>6524992802.464828</x:v>
      </x:c>
      <x:c r="AQ23" s="39" t="n">
        <x:f>AQ21-AQ22</x:f>
        <x:v>6524992802.464828</x:v>
      </x:c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</x:row>
    <x:row r="28" ht="25" customHeight="1">
      <x:c r="A28" s="2"/>
      <x:c r="B28" s="2"/>
      <x:c r="C28" s="30" t="str">
        <x:v>Repayment inputs (USD millions)</x:v>
      </x:c>
      <x:c r="D28" s="30"/>
      <x:c r="E28" s="30"/>
      <x:c r="F28" s="30"/>
      <x:c r="G28" s="30"/>
      <x:c r="H28" s="30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</x:row>
    <x:row r="30" ht="28" customHeight="1">
      <x:c r="A30" s="2"/>
      <x:c r="B30" s="2"/>
      <x:c r="C30" s="25" t="str">
        <x:v>Assumed pay date</x:v>
      </x:c>
      <x:c r="D30" s="25" t="str">
        <x:v>Principal</x:v>
      </x:c>
      <x:c r="E30" s="25" t="str">
        <x:v>Source</x:v>
      </x:c>
      <x:c r="F30" s="25" t="str">
        <x:v>Basis</x:v>
      </x:c>
      <x:c r="G30" s="25" t="str">
        <x:v>Notes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</x:row>
    <x:row r="31" ht="21" customHeight="1">
      <x:c r="A31" s="2"/>
      <x:c r="B31" s="2"/>
      <x:c r="C31" s="28" t="n">
        <x:v>46568</x:v>
      </x:c>
      <x:c r="D31" s="38" t="n">
        <x:v>141358000</x:v>
      </x:c>
      <x:c r="E31" s="2" t="str">
        <x:v>SBLK_INTERIM</x:v>
      </x:c>
      <x:c r="F31" s="2" t="str">
        <x:v>estimated</x:v>
      </x:c>
      <x:c r="G31" s="2" t="str">
        <x:v>Annual bucket paid at endpoint; all disclosed subsequent repayments allocated earliest. Thereafter assigned 2033; no refinancing.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</x:row>
    <x:row r="32" ht="21" customHeight="1">
      <x:c r="A32" s="2"/>
      <x:c r="B32" s="2"/>
      <x:c r="C32" s="28" t="n">
        <x:v>46934</x:v>
      </x:c>
      <x:c r="D32" s="38" t="n">
        <x:v>258782000</x:v>
      </x:c>
      <x:c r="E32" s="2" t="str">
        <x:v>SBLK_INTERIM</x:v>
      </x:c>
      <x:c r="F32" s="2" t="str">
        <x:v>estimated</x:v>
      </x:c>
      <x:c r="G32" s="2" t="str">
        <x:v>Annual bucket paid at endpoint; all disclosed subsequent repayments allocated earliest. Thereafter assigned 2033; no refinancing.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</x:row>
    <x:row r="33" ht="21" customHeight="1">
      <x:c r="A33" s="2"/>
      <x:c r="B33" s="2"/>
      <x:c r="C33" s="28" t="n">
        <x:v>47299</x:v>
      </x:c>
      <x:c r="D33" s="38" t="n">
        <x:v>208522000</x:v>
      </x:c>
      <x:c r="E33" s="2" t="str">
        <x:v>SBLK_INTERIM</x:v>
      </x:c>
      <x:c r="F33" s="2" t="str">
        <x:v>estimated</x:v>
      </x:c>
      <x:c r="G33" s="2" t="str">
        <x:v>Annual bucket paid at endpoint; all disclosed subsequent repayments allocated earliest. Thereafter assigned 2033; no refinancing.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</x:row>
    <x:row r="34" ht="21" customHeight="1">
      <x:c r="A34" s="2"/>
      <x:c r="B34" s="2"/>
      <x:c r="C34" s="28" t="n">
        <x:v>47664</x:v>
      </x:c>
      <x:c r="D34" s="38" t="n">
        <x:v>140079000</x:v>
      </x:c>
      <x:c r="E34" s="2" t="str">
        <x:v>SBLK_INTERIM</x:v>
      </x:c>
      <x:c r="F34" s="2" t="str">
        <x:v>estimated</x:v>
      </x:c>
      <x:c r="G34" s="2" t="str">
        <x:v>Annual bucket paid at endpoint; all disclosed subsequent repayments allocated earliest. Thereafter assigned 2033; no refinancing.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</x:row>
    <x:row r="35" ht="21" customHeight="1">
      <x:c r="A35" s="2"/>
      <x:c r="B35" s="2"/>
      <x:c r="C35" s="28" t="n">
        <x:v>48029</x:v>
      </x:c>
      <x:c r="D35" s="38" t="n">
        <x:v>116110000</x:v>
      </x:c>
      <x:c r="E35" s="2" t="str">
        <x:v>SBLK_INTERIM</x:v>
      </x:c>
      <x:c r="F35" s="2" t="str">
        <x:v>estimated</x:v>
      </x:c>
      <x:c r="G35" s="2" t="str">
        <x:v>Annual bucket paid at endpoint; all disclosed subsequent repayments allocated earliest. Thereafter assigned 2033; no refinancing.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</x:row>
    <x:row r="36" ht="21" customHeight="1">
      <x:c r="A36" s="2"/>
      <x:c r="B36" s="2"/>
      <x:c r="C36" s="28" t="n">
        <x:v>48760</x:v>
      </x:c>
      <x:c r="D36" s="38" t="n">
        <x:v>84221000</x:v>
      </x:c>
      <x:c r="E36" s="2" t="str">
        <x:v>SBLK_INTERIM</x:v>
      </x:c>
      <x:c r="F36" s="2" t="str">
        <x:v>estimated</x:v>
      </x:c>
      <x:c r="G36" s="2" t="str">
        <x:v>Annual bucket paid at endpoint; all disclosed subsequent repayments allocated earliest. Thereafter assigned 2033; no refinancing.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</x:row>
    <x:row r="39" ht="21" customHeight="1">
      <x:c r="A39" s="2"/>
      <x:c r="B39" s="2"/>
      <x:c r="C39" s="2" t="str">
        <x:v>No refinancing or future dividends assumed; annual maturity buckets paid at endpoint.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</x:row>
    <x:row r="40" ht="21" customHeight="1">
      <x:c r="A40" s="2"/>
      <x:c r="B40" s="2"/>
      <x:c r="C40" s="2" t="str">
        <x:v>Average-balance interest is an approximation. This is a financing scenario, not a covenant forecast.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</x:row>
  </x:sheetData>
  <x:conditionalFormatting sqref="E23:AQ23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5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23" hidden="0" customWidth="1"/>
    <x:col min="11" max="11" width="12" hidden="0" customWidth="1"/>
    <x:col min="12" max="12" width="16" hidden="0" customWidth="1"/>
    <x:col min="13" max="13" width="35" hidden="0" customWidth="1"/>
    <x:col min="14" max="14" width="16" hidden="0" customWidth="1"/>
    <x:col min="18" max="18" width="70" hidden="0" customWidth="1"/>
    <x:col min="15" max="15" width="18" hidden="0" customWidth="1"/>
    <x:col min="16" max="16" width="24" hidden="0" customWidth="1"/>
    <x:col min="17" max="17" width="2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1" customHeight="1">
      <x:c r="A2" s="2"/>
      <x:c r="B2" s="2"/>
      <x:c r="C2" s="3" t="str">
        <x:v>Fleet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8" customHeight="1">
      <x:c r="A6" s="2"/>
      <x:c r="B6" s="2"/>
      <x:c r="C6" s="25" t="str">
        <x:v>Vessel</x:v>
      </x:c>
      <x:c r="D6" s="25" t="str">
        <x:v>Class</x:v>
      </x:c>
      <x:c r="E6" s="25" t="str">
        <x:v>DWT</x:v>
      </x:c>
      <x:c r="F6" s="25" t="str">
        <x:v>Built</x:v>
      </x:c>
      <x:c r="G6" s="25" t="str">
        <x:v>Delivery</x:v>
      </x:c>
      <x:c r="H6" s="25" t="str">
        <x:v>Appraisal date</x:v>
      </x:c>
      <x:c r="I6" s="25" t="str">
        <x:v>Appraisal USD</x:v>
      </x:c>
      <x:c r="J6" s="25" t="str">
        <x:v>Remaining capex USD</x:v>
      </x:c>
      <x:c r="K6" s="25" t="str">
        <x:v>Scrubber</x:v>
      </x:c>
      <x:c r="L6" s="25" t="str">
        <x:v>Source IMO</x:v>
      </x:c>
      <x:c r="M6" s="25" t="str">
        <x:v>Source IDs</x:v>
      </x:c>
      <x:c r="N6" s="25" t="str">
        <x:v>Delivery basis</x:v>
      </x:c>
      <x:c r="O6" s="25" t="str">
        <x:v>Retirement</x:v>
      </x:c>
      <x:c r="P6" s="25" t="str">
        <x:v>Scenario value USD</x:v>
      </x:c>
      <x:c r="Q6" s="25" t="str">
        <x:v>Future capex USD</x:v>
      </x:c>
      <x:c r="R6" s="25" t="str">
        <x:v>Notes</x:v>
      </x:c>
    </x:row>
    <x:row r="7" ht="21" customHeight="1">
      <x:c r="A7" s="2"/>
      <x:c r="B7" s="2"/>
      <x:c r="C7" s="2" t="str">
        <x:v>Goliath</x:v>
      </x:c>
      <x:c r="D7" s="2" t="str">
        <x:v>Newcastlemax</x:v>
      </x:c>
      <x:c r="E7" s="26" t="n">
        <x:v>209537</x:v>
      </x:c>
      <x:c r="F7" s="26" t="n">
        <x:v>2015</x:v>
      </x:c>
      <x:c r="G7" s="35" t="n">
        <x:v>42200</x:v>
      </x:c>
      <x:c r="H7" s="35" t="n">
        <x:v>46203</x:v>
      </x:c>
      <x:c r="I7" s="36" t="n">
        <x:v>61500000</x:v>
      </x:c>
      <x:c r="J7" s="36" t="n">
        <x:v>0</x:v>
      </x:c>
      <x:c r="K7" s="36" t="n">
        <x:v>1</x:v>
      </x:c>
      <x:c r="L7" s="2" t="str">
        <x:v>9735153</x:v>
      </x:c>
      <x:c r="M7" s="2" t="str">
        <x:v>SBLK_PROSPECTUS;SBLK_APPRAISAL</x:v>
      </x:c>
      <x:c r="N7" s="2" t="str">
        <x:v>observed</x:v>
      </x:c>
      <x:c r="O7" s="32" t="n">
        <x:f>DATE(F7+'Assumptions'!$D$50,7,1)</x:f>
        <x:v>51318</x:v>
      </x:c>
      <x:c r="P7" s="34" t="n">
        <x:f>I7*'Assumptions'!$D$45</x:f>
        <x:v>61500000</x:v>
      </x:c>
      <x:c r="Q7" s="34" t="n">
        <x:f>J7*'Assumptions'!$D$110</x:f>
        <x:v>0</x:v>
      </x:c>
      <x:c r="R7" s="2" t="str"/>
    </x:row>
    <x:row r="8" ht="21" customHeight="1">
      <x:c r="A8" s="2"/>
      <x:c r="B8" s="2"/>
      <x:c r="C8" s="2" t="str">
        <x:v>Gargantua</x:v>
      </x:c>
      <x:c r="D8" s="2" t="str">
        <x:v>Newcastlemax</x:v>
      </x:c>
      <x:c r="E8" s="26" t="n">
        <x:v>209529</x:v>
      </x:c>
      <x:c r="F8" s="26" t="n">
        <x:v>2015</x:v>
      </x:c>
      <x:c r="G8" s="35" t="n">
        <x:v>42096</x:v>
      </x:c>
      <x:c r="H8" s="35" t="n">
        <x:v>46203</x:v>
      </x:c>
      <x:c r="I8" s="36" t="n">
        <x:v>61500000</x:v>
      </x:c>
      <x:c r="J8" s="36" t="n">
        <x:v>0</x:v>
      </x:c>
      <x:c r="K8" s="36" t="n">
        <x:v>1</x:v>
      </x:c>
      <x:c r="L8" s="2" t="str">
        <x:v>9712682</x:v>
      </x:c>
      <x:c r="M8" s="2" t="str">
        <x:v>SBLK_PROSPECTUS;SBLK_APPRAISAL</x:v>
      </x:c>
      <x:c r="N8" s="2" t="str">
        <x:v>observed</x:v>
      </x:c>
      <x:c r="O8" s="32" t="n">
        <x:f>DATE(F8+'Assumptions'!$D$50,7,1)</x:f>
        <x:v>51318</x:v>
      </x:c>
      <x:c r="P8" s="34" t="n">
        <x:f>I8*'Assumptions'!$D$45</x:f>
        <x:v>61500000</x:v>
      </x:c>
      <x:c r="Q8" s="34" t="n">
        <x:f>J8*'Assumptions'!$D$110</x:f>
        <x:v>0</x:v>
      </x:c>
      <x:c r="R8" s="2" t="str"/>
    </x:row>
    <x:row r="9" ht="21" customHeight="1">
      <x:c r="A9" s="2"/>
      <x:c r="B9" s="2"/>
      <x:c r="C9" s="2" t="str">
        <x:v>Star Gina 2GR</x:v>
      </x:c>
      <x:c r="D9" s="2" t="str">
        <x:v>Newcastlemax</x:v>
      </x:c>
      <x:c r="E9" s="26" t="n">
        <x:v>209475</x:v>
      </x:c>
      <x:c r="F9" s="26" t="n">
        <x:v>2016</x:v>
      </x:c>
      <x:c r="G9" s="35" t="n">
        <x:v>42426</x:v>
      </x:c>
      <x:c r="H9" s="35" t="n">
        <x:v>46203</x:v>
      </x:c>
      <x:c r="I9" s="36" t="n">
        <x:v>64500000</x:v>
      </x:c>
      <x:c r="J9" s="36" t="n">
        <x:v>0</x:v>
      </x:c>
      <x:c r="K9" s="36" t="n">
        <x:v>1</x:v>
      </x:c>
      <x:c r="L9" s="2" t="str">
        <x:v>9735177</x:v>
      </x:c>
      <x:c r="M9" s="2" t="str">
        <x:v>SBLK_PROSPECTUS;SBLK_APPRAISAL</x:v>
      </x:c>
      <x:c r="N9" s="2" t="str">
        <x:v>observed</x:v>
      </x:c>
      <x:c r="O9" s="32" t="n">
        <x:f>DATE(F9+'Assumptions'!$D$50,7,1)</x:f>
        <x:v>51683</x:v>
      </x:c>
      <x:c r="P9" s="34" t="n">
        <x:f>I9*'Assumptions'!$D$45</x:f>
        <x:v>64500000</x:v>
      </x:c>
      <x:c r="Q9" s="34" t="n">
        <x:f>J9*'Assumptions'!$D$110</x:f>
        <x:v>0</x:v>
      </x:c>
      <x:c r="R9" s="2" t="str"/>
    </x:row>
    <x:row r="10" ht="21" customHeight="1">
      <x:c r="A10" s="2"/>
      <x:c r="B10" s="2"/>
      <x:c r="C10" s="2" t="str">
        <x:v>Maharaj</x:v>
      </x:c>
      <x:c r="D10" s="2" t="str">
        <x:v>Newcastlemax</x:v>
      </x:c>
      <x:c r="E10" s="26" t="n">
        <x:v>209472</x:v>
      </x:c>
      <x:c r="F10" s="26" t="n">
        <x:v>2015</x:v>
      </x:c>
      <x:c r="G10" s="35" t="n">
        <x:v>42200</x:v>
      </x:c>
      <x:c r="H10" s="35" t="n">
        <x:v>46203</x:v>
      </x:c>
      <x:c r="I10" s="36" t="n">
        <x:v>61500000</x:v>
      </x:c>
      <x:c r="J10" s="36" t="n">
        <x:v>0</x:v>
      </x:c>
      <x:c r="K10" s="36" t="n">
        <x:v>1</x:v>
      </x:c>
      <x:c r="L10" s="2" t="str">
        <x:v>9735165</x:v>
      </x:c>
      <x:c r="M10" s="2" t="str">
        <x:v>SBLK_PROSPECTUS;SBLK_APPRAISAL</x:v>
      </x:c>
      <x:c r="N10" s="2" t="str">
        <x:v>observed</x:v>
      </x:c>
      <x:c r="O10" s="32" t="n">
        <x:f>DATE(F10+'Assumptions'!$D$50,7,1)</x:f>
        <x:v>51318</x:v>
      </x:c>
      <x:c r="P10" s="34" t="n">
        <x:f>I10*'Assumptions'!$D$45</x:f>
        <x:v>61500000</x:v>
      </x:c>
      <x:c r="Q10" s="34" t="n">
        <x:f>J10*'Assumptions'!$D$110</x:f>
        <x:v>0</x:v>
      </x:c>
      <x:c r="R10" s="2" t="str"/>
    </x:row>
    <x:row r="11" ht="21" customHeight="1">
      <x:c r="A11" s="2"/>
      <x:c r="B11" s="2"/>
      <x:c r="C11" s="2" t="str">
        <x:v>Star Leo</x:v>
      </x:c>
      <x:c r="D11" s="2" t="str">
        <x:v>Newcastlemax</x:v>
      </x:c>
      <x:c r="E11" s="26" t="n">
        <x:v>207939</x:v>
      </x:c>
      <x:c r="F11" s="26" t="n">
        <x:v>2018</x:v>
      </x:c>
      <x:c r="G11" s="35" t="n">
        <x:v>43234</x:v>
      </x:c>
      <x:c r="H11" s="35" t="n">
        <x:v>46203</x:v>
      </x:c>
      <x:c r="I11" s="36" t="n">
        <x:v>70500000</x:v>
      </x:c>
      <x:c r="J11" s="36" t="n">
        <x:v>0</x:v>
      </x:c>
      <x:c r="K11" s="36" t="n">
        <x:v>1</x:v>
      </x:c>
      <x:c r="L11" s="2" t="str">
        <x:v>9712670</x:v>
      </x:c>
      <x:c r="M11" s="2" t="str">
        <x:v>SBLK_PROSPECTUS;SBLK_APPRAISAL</x:v>
      </x:c>
      <x:c r="N11" s="2" t="str">
        <x:v>observed</x:v>
      </x:c>
      <x:c r="O11" s="32" t="n">
        <x:f>DATE(F11+'Assumptions'!$D$50,7,1)</x:f>
        <x:v>52413</x:v>
      </x:c>
      <x:c r="P11" s="34" t="n">
        <x:f>I11*'Assumptions'!$D$45</x:f>
        <x:v>70500000</x:v>
      </x:c>
      <x:c r="Q11" s="34" t="n">
        <x:f>J11*'Assumptions'!$D$110</x:f>
        <x:v>0</x:v>
      </x:c>
      <x:c r="R11" s="2" t="str"/>
    </x:row>
    <x:row r="12" ht="21" customHeight="1">
      <x:c r="A12" s="2"/>
      <x:c r="B12" s="2"/>
      <x:c r="C12" s="2" t="str">
        <x:v>Star Laetitia</x:v>
      </x:c>
      <x:c r="D12" s="2" t="str">
        <x:v>Newcastlemax</x:v>
      </x:c>
      <x:c r="E12" s="26" t="n">
        <x:v>207896</x:v>
      </x:c>
      <x:c r="F12" s="26" t="n">
        <x:v>2017</x:v>
      </x:c>
      <x:c r="G12" s="35" t="n">
        <x:v>43315</x:v>
      </x:c>
      <x:c r="H12" s="35" t="n">
        <x:v>46203</x:v>
      </x:c>
      <x:c r="I12" s="36" t="n">
        <x:v>67000000</x:v>
      </x:c>
      <x:c r="J12" s="36" t="n">
        <x:v>0</x:v>
      </x:c>
      <x:c r="K12" s="36" t="n">
        <x:v>1</x:v>
      </x:c>
      <x:c r="L12" s="2" t="str">
        <x:v>9756248</x:v>
      </x:c>
      <x:c r="M12" s="2" t="str">
        <x:v>SBLK_PROSPECTUS;SBLK_APPRAISAL</x:v>
      </x:c>
      <x:c r="N12" s="2" t="str">
        <x:v>observed</x:v>
      </x:c>
      <x:c r="O12" s="32" t="n">
        <x:f>DATE(F12+'Assumptions'!$D$50,7,1)</x:f>
        <x:v>52048</x:v>
      </x:c>
      <x:c r="P12" s="34" t="n">
        <x:f>I12*'Assumptions'!$D$45</x:f>
        <x:v>67000000</x:v>
      </x:c>
      <x:c r="Q12" s="34" t="n">
        <x:f>J12*'Assumptions'!$D$110</x:f>
        <x:v>0</x:v>
      </x:c>
      <x:c r="R12" s="2" t="str"/>
    </x:row>
    <x:row r="13" ht="21" customHeight="1">
      <x:c r="A13" s="2"/>
      <x:c r="B13" s="2"/>
      <x:c r="C13" s="2" t="str">
        <x:v>Star Ariadne</x:v>
      </x:c>
      <x:c r="D13" s="2" t="str">
        <x:v>Newcastlemax</x:v>
      </x:c>
      <x:c r="E13" s="26" t="n">
        <x:v>207812</x:v>
      </x:c>
      <x:c r="F13" s="26" t="n">
        <x:v>2017</x:v>
      </x:c>
      <x:c r="G13" s="35" t="n">
        <x:v>42822</x:v>
      </x:c>
      <x:c r="H13" s="35" t="n">
        <x:v>46203</x:v>
      </x:c>
      <x:c r="I13" s="36" t="n">
        <x:v>67000000</x:v>
      </x:c>
      <x:c r="J13" s="36" t="n">
        <x:v>0</x:v>
      </x:c>
      <x:c r="K13" s="36" t="n">
        <x:v>1</x:v>
      </x:c>
      <x:c r="L13" s="2" t="str">
        <x:v>9731468</x:v>
      </x:c>
      <x:c r="M13" s="2" t="str">
        <x:v>SBLK_PROSPECTUS;SBLK_APPRAISAL</x:v>
      </x:c>
      <x:c r="N13" s="2" t="str">
        <x:v>observed</x:v>
      </x:c>
      <x:c r="O13" s="32" t="n">
        <x:f>DATE(F13+'Assumptions'!$D$50,7,1)</x:f>
        <x:v>52048</x:v>
      </x:c>
      <x:c r="P13" s="34" t="n">
        <x:f>I13*'Assumptions'!$D$45</x:f>
        <x:v>67000000</x:v>
      </x:c>
      <x:c r="Q13" s="34" t="n">
        <x:f>J13*'Assumptions'!$D$110</x:f>
        <x:v>0</x:v>
      </x:c>
      <x:c r="R13" s="2" t="str"/>
    </x:row>
    <x:row r="14" ht="21" customHeight="1">
      <x:c r="A14" s="2"/>
      <x:c r="B14" s="2"/>
      <x:c r="C14" s="2" t="str">
        <x:v>Star Virgo</x:v>
      </x:c>
      <x:c r="D14" s="2" t="str">
        <x:v>Newcastlemax</x:v>
      </x:c>
      <x:c r="E14" s="26" t="n">
        <x:v>207810</x:v>
      </x:c>
      <x:c r="F14" s="26" t="n">
        <x:v>2017</x:v>
      </x:c>
      <x:c r="G14" s="35" t="n">
        <x:v>42795</x:v>
      </x:c>
      <x:c r="H14" s="35" t="n">
        <x:v>46203</x:v>
      </x:c>
      <x:c r="I14" s="36" t="n">
        <x:v>67000000</x:v>
      </x:c>
      <x:c r="J14" s="36" t="n">
        <x:v>0</x:v>
      </x:c>
      <x:c r="K14" s="36" t="n">
        <x:v>1</x:v>
      </x:c>
      <x:c r="L14" s="2" t="str">
        <x:v>9731432</x:v>
      </x:c>
      <x:c r="M14" s="2" t="str">
        <x:v>SBLK_PROSPECTUS;SBLK_APPRAISAL</x:v>
      </x:c>
      <x:c r="N14" s="2" t="str">
        <x:v>observed</x:v>
      </x:c>
      <x:c r="O14" s="32" t="n">
        <x:f>DATE(F14+'Assumptions'!$D$50,7,1)</x:f>
        <x:v>52048</x:v>
      </x:c>
      <x:c r="P14" s="34" t="n">
        <x:f>I14*'Assumptions'!$D$45</x:f>
        <x:v>67000000</x:v>
      </x:c>
      <x:c r="Q14" s="34" t="n">
        <x:f>J14*'Assumptions'!$D$110</x:f>
        <x:v>0</x:v>
      </x:c>
      <x:c r="R14" s="2" t="str"/>
    </x:row>
    <x:row r="15" ht="21" customHeight="1">
      <x:c r="A15" s="2"/>
      <x:c r="B15" s="2"/>
      <x:c r="C15" s="2" t="str">
        <x:v>Star Libra</x:v>
      </x:c>
      <x:c r="D15" s="2" t="str">
        <x:v>Newcastlemax</x:v>
      </x:c>
      <x:c r="E15" s="26" t="n">
        <x:v>207765</x:v>
      </x:c>
      <x:c r="F15" s="26" t="n">
        <x:v>2016</x:v>
      </x:c>
      <x:c r="G15" s="35" t="n">
        <x:v>42527</x:v>
      </x:c>
      <x:c r="H15" s="35" t="n">
        <x:v>46203</x:v>
      </x:c>
      <x:c r="I15" s="36" t="n">
        <x:v>63500000</x:v>
      </x:c>
      <x:c r="J15" s="36" t="n">
        <x:v>0</x:v>
      </x:c>
      <x:c r="K15" s="36" t="n">
        <x:v>1</x:v>
      </x:c>
      <x:c r="L15" s="2" t="str">
        <x:v>9731444</x:v>
      </x:c>
      <x:c r="M15" s="2" t="str">
        <x:v>SBLK_PROSPECTUS;SBLK_APPRAISAL</x:v>
      </x:c>
      <x:c r="N15" s="2" t="str">
        <x:v>observed</x:v>
      </x:c>
      <x:c r="O15" s="32" t="n">
        <x:f>DATE(F15+'Assumptions'!$D$50,7,1)</x:f>
        <x:v>51683</x:v>
      </x:c>
      <x:c r="P15" s="34" t="n">
        <x:f>I15*'Assumptions'!$D$45</x:f>
        <x:v>63500000</x:v>
      </x:c>
      <x:c r="Q15" s="34" t="n">
        <x:f>J15*'Assumptions'!$D$110</x:f>
        <x:v>0</x:v>
      </x:c>
      <x:c r="R15" s="2" t="str"/>
    </x:row>
    <x:row r="16" ht="21" customHeight="1">
      <x:c r="A16" s="2"/>
      <x:c r="B16" s="2"/>
      <x:c r="C16" s="2" t="str">
        <x:v>Star Sienna</x:v>
      </x:c>
      <x:c r="D16" s="2" t="str">
        <x:v>Newcastlemax</x:v>
      </x:c>
      <x:c r="E16" s="26" t="n">
        <x:v>207721</x:v>
      </x:c>
      <x:c r="F16" s="26" t="n">
        <x:v>2017</x:v>
      </x:c>
      <x:c r="G16" s="35" t="n">
        <x:v>43315</x:v>
      </x:c>
      <x:c r="H16" s="35" t="n">
        <x:v>46203</x:v>
      </x:c>
      <x:c r="I16" s="36" t="n">
        <x:v>67000000</x:v>
      </x:c>
      <x:c r="J16" s="36" t="n">
        <x:v>0</x:v>
      </x:c>
      <x:c r="K16" s="36" t="n">
        <x:v>1</x:v>
      </x:c>
      <x:c r="L16" s="2" t="str">
        <x:v>9756224</x:v>
      </x:c>
      <x:c r="M16" s="2" t="str">
        <x:v>SBLK_PROSPECTUS;SBLK_APPRAISAL</x:v>
      </x:c>
      <x:c r="N16" s="2" t="str">
        <x:v>observed</x:v>
      </x:c>
      <x:c r="O16" s="32" t="n">
        <x:f>DATE(F16+'Assumptions'!$D$50,7,1)</x:f>
        <x:v>52048</x:v>
      </x:c>
      <x:c r="P16" s="34" t="n">
        <x:f>I16*'Assumptions'!$D$45</x:f>
        <x:v>67000000</x:v>
      </x:c>
      <x:c r="Q16" s="34" t="n">
        <x:f>J16*'Assumptions'!$D$110</x:f>
        <x:v>0</x:v>
      </x:c>
      <x:c r="R16" s="2" t="str"/>
    </x:row>
    <x:row r="17" ht="21" customHeight="1">
      <x:c r="A17" s="2"/>
      <x:c r="B17" s="2"/>
      <x:c r="C17" s="2" t="str">
        <x:v>Star Marisa</x:v>
      </x:c>
      <x:c r="D17" s="2" t="str">
        <x:v>Newcastlemax</x:v>
      </x:c>
      <x:c r="E17" s="26" t="n">
        <x:v>207709</x:v>
      </x:c>
      <x:c r="F17" s="26" t="n">
        <x:v>2016</x:v>
      </x:c>
      <x:c r="G17" s="35" t="n">
        <x:v>42440</x:v>
      </x:c>
      <x:c r="H17" s="35" t="n">
        <x:v>46203</x:v>
      </x:c>
      <x:c r="I17" s="36" t="n">
        <x:v>63500000</x:v>
      </x:c>
      <x:c r="J17" s="36" t="n">
        <x:v>0</x:v>
      </x:c>
      <x:c r="K17" s="36" t="n">
        <x:v>1</x:v>
      </x:c>
      <x:c r="L17" s="2" t="str">
        <x:v>9731456</x:v>
      </x:c>
      <x:c r="M17" s="2" t="str">
        <x:v>SBLK_PROSPECTUS;SBLK_APPRAISAL</x:v>
      </x:c>
      <x:c r="N17" s="2" t="str">
        <x:v>observed</x:v>
      </x:c>
      <x:c r="O17" s="32" t="n">
        <x:f>DATE(F17+'Assumptions'!$D$50,7,1)</x:f>
        <x:v>51683</x:v>
      </x:c>
      <x:c r="P17" s="34" t="n">
        <x:f>I17*'Assumptions'!$D$45</x:f>
        <x:v>63500000</x:v>
      </x:c>
      <x:c r="Q17" s="34" t="n">
        <x:f>J17*'Assumptions'!$D$110</x:f>
        <x:v>0</x:v>
      </x:c>
      <x:c r="R17" s="2" t="str"/>
    </x:row>
    <x:row r="18" ht="21" customHeight="1">
      <x:c r="A18" s="2"/>
      <x:c r="B18" s="2"/>
      <x:c r="C18" s="2" t="str">
        <x:v>Star Karlie</x:v>
      </x:c>
      <x:c r="D18" s="2" t="str">
        <x:v>Newcastlemax</x:v>
      </x:c>
      <x:c r="E18" s="26" t="n">
        <x:v>207566</x:v>
      </x:c>
      <x:c r="F18" s="26" t="n">
        <x:v>2016</x:v>
      </x:c>
      <x:c r="G18" s="35" t="n">
        <x:v>43315</x:v>
      </x:c>
      <x:c r="H18" s="35" t="n">
        <x:v>46203</x:v>
      </x:c>
      <x:c r="I18" s="36" t="n">
        <x:v>63500000</x:v>
      </x:c>
      <x:c r="J18" s="36" t="n">
        <x:v>0</x:v>
      </x:c>
      <x:c r="K18" s="36" t="n">
        <x:v>1</x:v>
      </x:c>
      <x:c r="L18" s="2" t="str">
        <x:v>9756236</x:v>
      </x:c>
      <x:c r="M18" s="2" t="str">
        <x:v>SBLK_PROSPECTUS;SBLK_APPRAISAL</x:v>
      </x:c>
      <x:c r="N18" s="2" t="str">
        <x:v>observed</x:v>
      </x:c>
      <x:c r="O18" s="32" t="n">
        <x:f>DATE(F18+'Assumptions'!$D$50,7,1)</x:f>
        <x:v>51683</x:v>
      </x:c>
      <x:c r="P18" s="34" t="n">
        <x:f>I18*'Assumptions'!$D$45</x:f>
        <x:v>63500000</x:v>
      </x:c>
      <x:c r="Q18" s="34" t="n">
        <x:f>J18*'Assumptions'!$D$110</x:f>
        <x:v>0</x:v>
      </x:c>
      <x:c r="R18" s="2" t="str"/>
    </x:row>
    <x:row r="19" ht="21" customHeight="1">
      <x:c r="A19" s="2"/>
      <x:c r="B19" s="2"/>
      <x:c r="C19" s="2" t="str">
        <x:v>Star Eleni</x:v>
      </x:c>
      <x:c r="D19" s="2" t="str">
        <x:v>Newcastlemax</x:v>
      </x:c>
      <x:c r="E19" s="26" t="n">
        <x:v>207555</x:v>
      </x:c>
      <x:c r="F19" s="26" t="n">
        <x:v>2018</x:v>
      </x:c>
      <x:c r="G19" s="35" t="n">
        <x:v>43103</x:v>
      </x:c>
      <x:c r="H19" s="35" t="n">
        <x:v>46203</x:v>
      </x:c>
      <x:c r="I19" s="36" t="n">
        <x:v>70500000</x:v>
      </x:c>
      <x:c r="J19" s="36" t="n">
        <x:v>0</x:v>
      </x:c>
      <x:c r="K19" s="36" t="n">
        <x:v>1</x:v>
      </x:c>
      <x:c r="L19" s="2" t="str">
        <x:v>9712668</x:v>
      </x:c>
      <x:c r="M19" s="2" t="str">
        <x:v>SBLK_PROSPECTUS;SBLK_APPRAISAL</x:v>
      </x:c>
      <x:c r="N19" s="2" t="str">
        <x:v>observed</x:v>
      </x:c>
      <x:c r="O19" s="32" t="n">
        <x:f>DATE(F19+'Assumptions'!$D$50,7,1)</x:f>
        <x:v>52413</x:v>
      </x:c>
      <x:c r="P19" s="34" t="n">
        <x:f>I19*'Assumptions'!$D$45</x:f>
        <x:v>70500000</x:v>
      </x:c>
      <x:c r="Q19" s="34" t="n">
        <x:f>J19*'Assumptions'!$D$110</x:f>
        <x:v>0</x:v>
      </x:c>
      <x:c r="R19" s="2" t="str"/>
    </x:row>
    <x:row r="20" ht="21" customHeight="1">
      <x:c r="A20" s="2"/>
      <x:c r="B20" s="2"/>
      <x:c r="C20" s="2" t="str">
        <x:v>Star Magnanimus</x:v>
      </x:c>
      <x:c r="D20" s="2" t="str">
        <x:v>Newcastlemax</x:v>
      </x:c>
      <x:c r="E20" s="26" t="n">
        <x:v>207526</x:v>
      </x:c>
      <x:c r="F20" s="26" t="n">
        <x:v>2018</x:v>
      </x:c>
      <x:c r="G20" s="35" t="n">
        <x:v>43185</x:v>
      </x:c>
      <x:c r="H20" s="35" t="n">
        <x:v>46203</x:v>
      </x:c>
      <x:c r="I20" s="36" t="n">
        <x:v>70500000</x:v>
      </x:c>
      <x:c r="J20" s="36" t="n">
        <x:v>0</x:v>
      </x:c>
      <x:c r="K20" s="36" t="n">
        <x:v>1</x:v>
      </x:c>
      <x:c r="L20" s="2" t="str">
        <x:v>9731470</x:v>
      </x:c>
      <x:c r="M20" s="2" t="str">
        <x:v>SBLK_PROSPECTUS;SBLK_APPRAISAL</x:v>
      </x:c>
      <x:c r="N20" s="2" t="str">
        <x:v>observed</x:v>
      </x:c>
      <x:c r="O20" s="32" t="n">
        <x:f>DATE(F20+'Assumptions'!$D$50,7,1)</x:f>
        <x:v>52413</x:v>
      </x:c>
      <x:c r="P20" s="34" t="n">
        <x:f>I20*'Assumptions'!$D$45</x:f>
        <x:v>70500000</x:v>
      </x:c>
      <x:c r="Q20" s="34" t="n">
        <x:f>J20*'Assumptions'!$D$110</x:f>
        <x:v>0</x:v>
      </x:c>
      <x:c r="R20" s="2" t="str">
        <x:v>Appraisal name: Star Magnaminus</x:v>
      </x:c>
    </x:row>
    <x:row r="21" ht="21" customHeight="1">
      <x:c r="A21" s="2"/>
      <x:c r="B21" s="2"/>
      <x:c r="C21" s="2" t="str">
        <x:v>Debbie H</x:v>
      </x:c>
      <x:c r="D21" s="2" t="str">
        <x:v>Newcastlemax</x:v>
      </x:c>
      <x:c r="E21" s="26" t="n">
        <x:v>206861</x:v>
      </x:c>
      <x:c r="F21" s="26" t="n">
        <x:v>2019</x:v>
      </x:c>
      <x:c r="G21" s="35" t="n">
        <x:v>43613</x:v>
      </x:c>
      <x:c r="H21" s="35" t="n">
        <x:v>46203</x:v>
      </x:c>
      <x:c r="I21" s="36" t="n">
        <x:v>74250000</x:v>
      </x:c>
      <x:c r="J21" s="36" t="n">
        <x:v>0</x:v>
      </x:c>
      <x:c r="K21" s="36" t="n">
        <x:v>1</x:v>
      </x:c>
      <x:c r="L21" s="2" t="str">
        <x:v>9796303</x:v>
      </x:c>
      <x:c r="M21" s="2" t="str">
        <x:v>SBLK_PROSPECTUS;SBLK_APPRAISAL</x:v>
      </x:c>
      <x:c r="N21" s="2" t="str">
        <x:v>observed</x:v>
      </x:c>
      <x:c r="O21" s="32" t="n">
        <x:f>DATE(F21+'Assumptions'!$D$50,7,1)</x:f>
        <x:v>52779</x:v>
      </x:c>
      <x:c r="P21" s="34" t="n">
        <x:f>I21*'Assumptions'!$D$45</x:f>
        <x:v>74250000</x:v>
      </x:c>
      <x:c r="Q21" s="34" t="n">
        <x:f>J21*'Assumptions'!$D$110</x:f>
        <x:v>0</x:v>
      </x:c>
      <x:c r="R21" s="2" t="str"/>
    </x:row>
    <x:row r="22" ht="21" customHeight="1">
      <x:c r="A22" s="2"/>
      <x:c r="B22" s="2"/>
      <x:c r="C22" s="2" t="str">
        <x:v>Star Ayesha</x:v>
      </x:c>
      <x:c r="D22" s="2" t="str">
        <x:v>Newcastlemax</x:v>
      </x:c>
      <x:c r="E22" s="26" t="n">
        <x:v>206852</x:v>
      </x:c>
      <x:c r="F22" s="26" t="n">
        <x:v>2019</x:v>
      </x:c>
      <x:c r="G22" s="35" t="n">
        <x:v>43661</x:v>
      </x:c>
      <x:c r="H22" s="35" t="n">
        <x:v>46203</x:v>
      </x:c>
      <x:c r="I22" s="36" t="n">
        <x:v>74250000</x:v>
      </x:c>
      <x:c r="J22" s="36" t="n">
        <x:v>0</x:v>
      </x:c>
      <x:c r="K22" s="36" t="n">
        <x:v>1</x:v>
      </x:c>
      <x:c r="L22" s="2" t="str">
        <x:v>9796315</x:v>
      </x:c>
      <x:c r="M22" s="2" t="str">
        <x:v>SBLK_PROSPECTUS;SBLK_APPRAISAL</x:v>
      </x:c>
      <x:c r="N22" s="2" t="str">
        <x:v>observed</x:v>
      </x:c>
      <x:c r="O22" s="32" t="n">
        <x:f>DATE(F22+'Assumptions'!$D$50,7,1)</x:f>
        <x:v>52779</x:v>
      </x:c>
      <x:c r="P22" s="34" t="n">
        <x:f>I22*'Assumptions'!$D$45</x:f>
        <x:v>74250000</x:v>
      </x:c>
      <x:c r="Q22" s="34" t="n">
        <x:f>J22*'Assumptions'!$D$110</x:f>
        <x:v>0</x:v>
      </x:c>
      <x:c r="R22" s="2" t="str"/>
    </x:row>
    <x:row r="23" ht="21" customHeight="1">
      <x:c r="A23" s="2"/>
      <x:c r="B23" s="2"/>
      <x:c r="C23" s="2" t="str">
        <x:v>Katie K</x:v>
      </x:c>
      <x:c r="D23" s="2" t="str">
        <x:v>Newcastlemax</x:v>
      </x:c>
      <x:c r="E23" s="26" t="n">
        <x:v>206839</x:v>
      </x:c>
      <x:c r="F23" s="26" t="n">
        <x:v>2019</x:v>
      </x:c>
      <x:c r="G23" s="35" t="n">
        <x:v>43571</x:v>
      </x:c>
      <x:c r="H23" s="35" t="n">
        <x:v>46203</x:v>
      </x:c>
      <x:c r="I23" s="36" t="n">
        <x:v>74250000</x:v>
      </x:c>
      <x:c r="J23" s="36" t="n">
        <x:v>0</x:v>
      </x:c>
      <x:c r="K23" s="36" t="n">
        <x:v>1</x:v>
      </x:c>
      <x:c r="L23" s="2" t="str">
        <x:v>9796298</x:v>
      </x:c>
      <x:c r="M23" s="2" t="str">
        <x:v>SBLK_PROSPECTUS;SBLK_APPRAISAL</x:v>
      </x:c>
      <x:c r="N23" s="2" t="str">
        <x:v>observed</x:v>
      </x:c>
      <x:c r="O23" s="32" t="n">
        <x:f>DATE(F23+'Assumptions'!$D$50,7,1)</x:f>
        <x:v>52779</x:v>
      </x:c>
      <x:c r="P23" s="34" t="n">
        <x:f>I23*'Assumptions'!$D$45</x:f>
        <x:v>74250000</x:v>
      </x:c>
      <x:c r="Q23" s="34" t="n">
        <x:f>J23*'Assumptions'!$D$110</x:f>
        <x:v>0</x:v>
      </x:c>
      <x:c r="R23" s="2" t="str"/>
    </x:row>
    <x:row r="24" ht="21" customHeight="1">
      <x:c r="A24" s="2"/>
      <x:c r="B24" s="2"/>
      <x:c r="C24" s="2" t="str">
        <x:v>Leviathan</x:v>
      </x:c>
      <x:c r="D24" s="2" t="str">
        <x:v>Capesize</x:v>
      </x:c>
      <x:c r="E24" s="26" t="n">
        <x:v>182511</x:v>
      </x:c>
      <x:c r="F24" s="26" t="n">
        <x:v>2014</x:v>
      </x:c>
      <x:c r="G24" s="35" t="n">
        <x:v>41901</x:v>
      </x:c>
      <x:c r="H24" s="35" t="n">
        <x:v>46203</x:v>
      </x:c>
      <x:c r="I24" s="36" t="n">
        <x:v>52500000</x:v>
      </x:c>
      <x:c r="J24" s="36" t="n">
        <x:v>0</x:v>
      </x:c>
      <x:c r="K24" s="36" t="n">
        <x:v>1</x:v>
      </x:c>
      <x:c r="L24" s="2" t="str">
        <x:v>9702546</x:v>
      </x:c>
      <x:c r="M24" s="2" t="str">
        <x:v>SBLK_PROSPECTUS;SBLK_APPRAISAL</x:v>
      </x:c>
      <x:c r="N24" s="2" t="str">
        <x:v>observed</x:v>
      </x:c>
      <x:c r="O24" s="32" t="n">
        <x:f>DATE(F24+'Assumptions'!$D$50,7,1)</x:f>
        <x:v>50952</x:v>
      </x:c>
      <x:c r="P24" s="34" t="n">
        <x:f>I24*'Assumptions'!$D$45</x:f>
        <x:v>52500000</x:v>
      </x:c>
      <x:c r="Q24" s="34" t="n">
        <x:f>J24*'Assumptions'!$D$110</x:f>
        <x:v>0</x:v>
      </x:c>
      <x:c r="R24" s="2" t="str"/>
    </x:row>
    <x:row r="25" ht="21" customHeight="1">
      <x:c r="A25" s="2"/>
      <x:c r="B25" s="2"/>
      <x:c r="C25" s="2" t="str">
        <x:v>Peloreus</x:v>
      </x:c>
      <x:c r="D25" s="2" t="str">
        <x:v>Capesize</x:v>
      </x:c>
      <x:c r="E25" s="26" t="n">
        <x:v>182496</x:v>
      </x:c>
      <x:c r="F25" s="26" t="n">
        <x:v>2014</x:v>
      </x:c>
      <x:c r="G25" s="35" t="n">
        <x:v>41842</x:v>
      </x:c>
      <x:c r="H25" s="35" t="n">
        <x:v>46203</x:v>
      </x:c>
      <x:c r="I25" s="36" t="n">
        <x:v>52500000</x:v>
      </x:c>
      <x:c r="J25" s="36" t="n">
        <x:v>0</x:v>
      </x:c>
      <x:c r="K25" s="36" t="n">
        <x:v>1</x:v>
      </x:c>
      <x:c r="L25" s="2" t="str">
        <x:v>9702534</x:v>
      </x:c>
      <x:c r="M25" s="2" t="str">
        <x:v>SBLK_PROSPECTUS;SBLK_APPRAISAL</x:v>
      </x:c>
      <x:c r="N25" s="2" t="str">
        <x:v>observed</x:v>
      </x:c>
      <x:c r="O25" s="32" t="n">
        <x:f>DATE(F25+'Assumptions'!$D$50,7,1)</x:f>
        <x:v>50952</x:v>
      </x:c>
      <x:c r="P25" s="34" t="n">
        <x:f>I25*'Assumptions'!$D$45</x:f>
        <x:v>52500000</x:v>
      </x:c>
      <x:c r="Q25" s="34" t="n">
        <x:f>J25*'Assumptions'!$D$110</x:f>
        <x:v>0</x:v>
      </x:c>
      <x:c r="R25" s="2" t="str"/>
    </x:row>
    <x:row r="26" ht="21" customHeight="1">
      <x:c r="A26" s="2"/>
      <x:c r="B26" s="2"/>
      <x:c r="C26" s="2" t="str">
        <x:v>Star Claudine</x:v>
      </x:c>
      <x:c r="D26" s="2" t="str">
        <x:v>Capesize</x:v>
      </x:c>
      <x:c r="E26" s="26" t="n">
        <x:v>181258</x:v>
      </x:c>
      <x:c r="F26" s="26" t="n">
        <x:v>2011</x:v>
      </x:c>
      <x:c r="G26" s="35" t="n">
        <x:v>43287</x:v>
      </x:c>
      <x:c r="H26" s="35" t="n">
        <x:v>46203</x:v>
      </x:c>
      <x:c r="I26" s="36" t="n">
        <x:v>37000000</x:v>
      </x:c>
      <x:c r="J26" s="36" t="n">
        <x:v>0</x:v>
      </x:c>
      <x:c r="K26" s="36" t="n">
        <x:v>1</x:v>
      </x:c>
      <x:c r="L26" s="2" t="str">
        <x:v>9444534</x:v>
      </x:c>
      <x:c r="M26" s="2" t="str">
        <x:v>SBLK_PROSPECTUS;SBLK_APPRAISAL</x:v>
      </x:c>
      <x:c r="N26" s="2" t="str">
        <x:v>observed</x:v>
      </x:c>
      <x:c r="O26" s="32" t="n">
        <x:f>DATE(F26+'Assumptions'!$D$50,7,1)</x:f>
        <x:v>49857</x:v>
      </x:c>
      <x:c r="P26" s="34" t="n">
        <x:f>I26*'Assumptions'!$D$45</x:f>
        <x:v>37000000</x:v>
      </x:c>
      <x:c r="Q26" s="34" t="n">
        <x:f>J26*'Assumptions'!$D$110</x:f>
        <x:v>0</x:v>
      </x:c>
      <x:c r="R26" s="2" t="str"/>
    </x:row>
    <x:row r="27" ht="21" customHeight="1">
      <x:c r="A27" s="2"/>
      <x:c r="B27" s="2"/>
      <x:c r="C27" s="2" t="str">
        <x:v>Star Ophelia</x:v>
      </x:c>
      <x:c r="D27" s="2" t="str">
        <x:v>Capesize</x:v>
      </x:c>
      <x:c r="E27" s="26" t="n">
        <x:v>180716</x:v>
      </x:c>
      <x:c r="F27" s="26" t="n">
        <x:v>2010</x:v>
      </x:c>
      <x:c r="G27" s="35" t="n">
        <x:v>43287</x:v>
      </x:c>
      <x:c r="H27" s="35" t="n">
        <x:v>46203</x:v>
      </x:c>
      <x:c r="I27" s="36" t="n">
        <x:v>35000000</x:v>
      </x:c>
      <x:c r="J27" s="36" t="n">
        <x:v>0</x:v>
      </x:c>
      <x:c r="K27" s="36" t="n">
        <x:v>1</x:v>
      </x:c>
      <x:c r="L27" s="2" t="str">
        <x:v>9486726</x:v>
      </x:c>
      <x:c r="M27" s="2" t="str">
        <x:v>SBLK_PROSPECTUS;SBLK_APPRAISAL</x:v>
      </x:c>
      <x:c r="N27" s="2" t="str">
        <x:v>observed</x:v>
      </x:c>
      <x:c r="O27" s="32" t="n">
        <x:f>DATE(F27+'Assumptions'!$D$50,7,1)</x:f>
        <x:v>49491</x:v>
      </x:c>
      <x:c r="P27" s="34" t="n">
        <x:f>I27*'Assumptions'!$D$45</x:f>
        <x:v>35000000</x:v>
      </x:c>
      <x:c r="Q27" s="34" t="n">
        <x:f>J27*'Assumptions'!$D$110</x:f>
        <x:v>0</x:v>
      </x:c>
      <x:c r="R27" s="2" t="str"/>
    </x:row>
    <x:row r="28" ht="21" customHeight="1">
      <x:c r="A28" s="2"/>
      <x:c r="B28" s="2"/>
      <x:c r="C28" s="2" t="str">
        <x:v>Star Pauline</x:v>
      </x:c>
      <x:c r="D28" s="2" t="str">
        <x:v>Capesize</x:v>
      </x:c>
      <x:c r="E28" s="26" t="n">
        <x:v>180274</x:v>
      </x:c>
      <x:c r="F28" s="26" t="n">
        <x:v>2008</x:v>
      </x:c>
      <x:c r="G28" s="35" t="n">
        <x:v>42002</x:v>
      </x:c>
      <x:c r="H28" s="35" t="n">
        <x:v>46203</x:v>
      </x:c>
      <x:c r="I28" s="36" t="n">
        <x:v>32500000</x:v>
      </x:c>
      <x:c r="J28" s="36" t="n">
        <x:v>0</x:v>
      </x:c>
      <x:c r="K28" s="36" t="n">
        <x:v>1</x:v>
      </x:c>
      <x:c r="L28" s="2" t="str">
        <x:v>9479890</x:v>
      </x:c>
      <x:c r="M28" s="2" t="str">
        <x:v>SBLK_PROSPECTUS;SBLK_APPRAISAL</x:v>
      </x:c>
      <x:c r="N28" s="2" t="str">
        <x:v>observed</x:v>
      </x:c>
      <x:c r="O28" s="32" t="n">
        <x:f>DATE(F28+'Assumptions'!$D$50,7,1)</x:f>
        <x:v>48761</x:v>
      </x:c>
      <x:c r="P28" s="34" t="n">
        <x:f>I28*'Assumptions'!$D$45</x:f>
        <x:v>32500000</x:v>
      </x:c>
      <x:c r="Q28" s="34" t="n">
        <x:f>J28*'Assumptions'!$D$110</x:f>
        <x:v>0</x:v>
      </x:c>
      <x:c r="R28" s="2" t="str"/>
    </x:row>
    <x:row r="29" ht="21" customHeight="1">
      <x:c r="A29" s="2"/>
      <x:c r="B29" s="2"/>
      <x:c r="C29" s="2" t="str">
        <x:v>Star Martha</x:v>
      </x:c>
      <x:c r="D29" s="2" t="str">
        <x:v>Capesize</x:v>
      </x:c>
      <x:c r="E29" s="26" t="n">
        <x:v>180274</x:v>
      </x:c>
      <x:c r="F29" s="26" t="n">
        <x:v>2010</x:v>
      </x:c>
      <x:c r="G29" s="35" t="n">
        <x:v>41943</x:v>
      </x:c>
      <x:c r="H29" s="35" t="n">
        <x:v>46203</x:v>
      </x:c>
      <x:c r="I29" s="36" t="n">
        <x:v>36750000</x:v>
      </x:c>
      <x:c r="J29" s="36" t="n">
        <x:v>0</x:v>
      </x:c>
      <x:c r="K29" s="36" t="n">
        <x:v>1</x:v>
      </x:c>
      <x:c r="L29" s="2" t="str">
        <x:v>9564097</x:v>
      </x:c>
      <x:c r="M29" s="2" t="str">
        <x:v>SBLK_PROSPECTUS;SBLK_APPRAISAL</x:v>
      </x:c>
      <x:c r="N29" s="2" t="str">
        <x:v>observed</x:v>
      </x:c>
      <x:c r="O29" s="32" t="n">
        <x:f>DATE(F29+'Assumptions'!$D$50,7,1)</x:f>
        <x:v>49491</x:v>
      </x:c>
      <x:c r="P29" s="34" t="n">
        <x:f>I29*'Assumptions'!$D$45</x:f>
        <x:v>36750000</x:v>
      </x:c>
      <x:c r="Q29" s="34" t="n">
        <x:f>J29*'Assumptions'!$D$110</x:f>
        <x:v>0</x:v>
      </x:c>
      <x:c r="R29" s="2" t="str"/>
    </x:row>
    <x:row r="30" ht="21" customHeight="1">
      <x:c r="A30" s="2"/>
      <x:c r="B30" s="2"/>
      <x:c r="C30" s="2" t="str">
        <x:v>Star Lyra</x:v>
      </x:c>
      <x:c r="D30" s="2" t="str">
        <x:v>Capesize</x:v>
      </x:c>
      <x:c r="E30" s="26" t="n">
        <x:v>179147</x:v>
      </x:c>
      <x:c r="F30" s="26" t="n">
        <x:v>2009</x:v>
      </x:c>
      <x:c r="G30" s="35" t="n">
        <x:v>43287</x:v>
      </x:c>
      <x:c r="H30" s="35" t="n">
        <x:v>46203</x:v>
      </x:c>
      <x:c r="I30" s="36" t="n">
        <x:v>32750000</x:v>
      </x:c>
      <x:c r="J30" s="36" t="n">
        <x:v>0</x:v>
      </x:c>
      <x:c r="K30" s="36" t="n">
        <x:v>1</x:v>
      </x:c>
      <x:c r="L30" s="2" t="str">
        <x:v>9444039</x:v>
      </x:c>
      <x:c r="M30" s="2" t="str">
        <x:v>SBLK_PROSPECTUS;SBLK_APPRAISAL</x:v>
      </x:c>
      <x:c r="N30" s="2" t="str">
        <x:v>observed</x:v>
      </x:c>
      <x:c r="O30" s="32" t="n">
        <x:f>DATE(F30+'Assumptions'!$D$50,7,1)</x:f>
        <x:v>49126</x:v>
      </x:c>
      <x:c r="P30" s="34" t="n">
        <x:f>I30*'Assumptions'!$D$45</x:f>
        <x:v>32750000</x:v>
      </x:c>
      <x:c r="Q30" s="34" t="n">
        <x:f>J30*'Assumptions'!$D$110</x:f>
        <x:v>0</x:v>
      </x:c>
      <x:c r="R30" s="2" t="str"/>
    </x:row>
    <x:row r="31" ht="21" customHeight="1">
      <x:c r="A31" s="2"/>
      <x:c r="B31" s="2"/>
      <x:c r="C31" s="2" t="str">
        <x:v>Star Borneo</x:v>
      </x:c>
      <x:c r="D31" s="2" t="str">
        <x:v>Capesize</x:v>
      </x:c>
      <x:c r="E31" s="26" t="n">
        <x:v>178978</x:v>
      </x:c>
      <x:c r="F31" s="26" t="n">
        <x:v>2010</x:v>
      </x:c>
      <x:c r="G31" s="35" t="n">
        <x:v>44222</x:v>
      </x:c>
      <x:c r="H31" s="35" t="n">
        <x:v>46203</x:v>
      </x:c>
      <x:c r="I31" s="36" t="n">
        <x:v>35000000</x:v>
      </x:c>
      <x:c r="J31" s="36" t="n">
        <x:v>0</x:v>
      </x:c>
      <x:c r="K31" s="36" t="n">
        <x:v>1</x:v>
      </x:c>
      <x:c r="L31" s="2" t="str">
        <x:v>9507518</x:v>
      </x:c>
      <x:c r="M31" s="2" t="str">
        <x:v>SBLK_PROSPECTUS;SBLK_APPRAISAL</x:v>
      </x:c>
      <x:c r="N31" s="2" t="str">
        <x:v>observed</x:v>
      </x:c>
      <x:c r="O31" s="32" t="n">
        <x:f>DATE(F31+'Assumptions'!$D$50,7,1)</x:f>
        <x:v>49491</x:v>
      </x:c>
      <x:c r="P31" s="34" t="n">
        <x:f>I31*'Assumptions'!$D$45</x:f>
        <x:v>35000000</x:v>
      </x:c>
      <x:c r="Q31" s="34" t="n">
        <x:f>J31*'Assumptions'!$D$110</x:f>
        <x:v>0</x:v>
      </x:c>
      <x:c r="R31" s="2" t="str"/>
    </x:row>
    <x:row r="32" ht="21" customHeight="1">
      <x:c r="A32" s="2"/>
      <x:c r="B32" s="2"/>
      <x:c r="C32" s="2" t="str">
        <x:v>Star Bueno</x:v>
      </x:c>
      <x:c r="D32" s="2" t="str">
        <x:v>Capesize</x:v>
      </x:c>
      <x:c r="E32" s="26" t="n">
        <x:v>178978</x:v>
      </x:c>
      <x:c r="F32" s="26" t="n">
        <x:v>2010</x:v>
      </x:c>
      <x:c r="G32" s="35" t="n">
        <x:v>44222</x:v>
      </x:c>
      <x:c r="H32" s="35" t="n">
        <x:v>46203</x:v>
      </x:c>
      <x:c r="I32" s="36" t="n">
        <x:v>35000000</x:v>
      </x:c>
      <x:c r="J32" s="36" t="n">
        <x:v>0</x:v>
      </x:c>
      <x:c r="K32" s="36" t="n">
        <x:v>1</x:v>
      </x:c>
      <x:c r="L32" s="2" t="str">
        <x:v>9507544</x:v>
      </x:c>
      <x:c r="M32" s="2" t="str">
        <x:v>SBLK_PROSPECTUS;SBLK_APPRAISAL</x:v>
      </x:c>
      <x:c r="N32" s="2" t="str">
        <x:v>observed</x:v>
      </x:c>
      <x:c r="O32" s="32" t="n">
        <x:f>DATE(F32+'Assumptions'!$D$50,7,1)</x:f>
        <x:v>49491</x:v>
      </x:c>
      <x:c r="P32" s="34" t="n">
        <x:f>I32*'Assumptions'!$D$45</x:f>
        <x:v>35000000</x:v>
      </x:c>
      <x:c r="Q32" s="34" t="n">
        <x:f>J32*'Assumptions'!$D$110</x:f>
        <x:v>0</x:v>
      </x:c>
      <x:c r="R32" s="2" t="str"/>
    </x:row>
    <x:row r="33" ht="21" customHeight="1">
      <x:c r="A33" s="2"/>
      <x:c r="B33" s="2"/>
      <x:c r="C33" s="2" t="str">
        <x:v>Star Marilena</x:v>
      </x:c>
      <x:c r="D33" s="2" t="str">
        <x:v>Capesize</x:v>
      </x:c>
      <x:c r="E33" s="26" t="n">
        <x:v>178978</x:v>
      </x:c>
      <x:c r="F33" s="26" t="n">
        <x:v>2010</x:v>
      </x:c>
      <x:c r="G33" s="35" t="n">
        <x:v>44222</x:v>
      </x:c>
      <x:c r="H33" s="35" t="n">
        <x:v>46203</x:v>
      </x:c>
      <x:c r="I33" s="36" t="n">
        <x:v>35000000</x:v>
      </x:c>
      <x:c r="J33" s="36" t="n">
        <x:v>0</x:v>
      </x:c>
      <x:c r="K33" s="36" t="n">
        <x:v>1</x:v>
      </x:c>
      <x:c r="L33" s="2" t="str">
        <x:v>9507520</x:v>
      </x:c>
      <x:c r="M33" s="2" t="str">
        <x:v>SBLK_PROSPECTUS;SBLK_APPRAISAL</x:v>
      </x:c>
      <x:c r="N33" s="2" t="str">
        <x:v>observed</x:v>
      </x:c>
      <x:c r="O33" s="32" t="n">
        <x:f>DATE(F33+'Assumptions'!$D$50,7,1)</x:f>
        <x:v>49491</x:v>
      </x:c>
      <x:c r="P33" s="34" t="n">
        <x:f>I33*'Assumptions'!$D$45</x:f>
        <x:v>35000000</x:v>
      </x:c>
      <x:c r="Q33" s="34" t="n">
        <x:f>J33*'Assumptions'!$D$110</x:f>
        <x:v>0</x:v>
      </x:c>
      <x:c r="R33" s="2" t="str"/>
    </x:row>
    <x:row r="34" ht="21" customHeight="1">
      <x:c r="A34" s="2"/>
      <x:c r="B34" s="2"/>
      <x:c r="C34" s="2" t="str">
        <x:v>Star Janni</x:v>
      </x:c>
      <x:c r="D34" s="2" t="str">
        <x:v>Capesize</x:v>
      </x:c>
      <x:c r="E34" s="26" t="n">
        <x:v>178978</x:v>
      </x:c>
      <x:c r="F34" s="26" t="n">
        <x:v>2010</x:v>
      </x:c>
      <x:c r="G34" s="35" t="n">
        <x:v>43472</x:v>
      </x:c>
      <x:c r="H34" s="35" t="n">
        <x:v>46203</x:v>
      </x:c>
      <x:c r="I34" s="36" t="n">
        <x:v>35000000</x:v>
      </x:c>
      <x:c r="J34" s="36" t="n">
        <x:v>0</x:v>
      </x:c>
      <x:c r="K34" s="36" t="n">
        <x:v>1</x:v>
      </x:c>
      <x:c r="L34" s="2" t="str">
        <x:v>9505833</x:v>
      </x:c>
      <x:c r="M34" s="2" t="str">
        <x:v>SBLK_PROSPECTUS;SBLK_APPRAISAL</x:v>
      </x:c>
      <x:c r="N34" s="2" t="str">
        <x:v>observed</x:v>
      </x:c>
      <x:c r="O34" s="32" t="n">
        <x:f>DATE(F34+'Assumptions'!$D$50,7,1)</x:f>
        <x:v>49491</x:v>
      </x:c>
      <x:c r="P34" s="34" t="n">
        <x:f>I34*'Assumptions'!$D$45</x:f>
        <x:v>35000000</x:v>
      </x:c>
      <x:c r="Q34" s="34" t="n">
        <x:f>J34*'Assumptions'!$D$110</x:f>
        <x:v>0</x:v>
      </x:c>
      <x:c r="R34" s="2" t="str"/>
    </x:row>
    <x:row r="35" ht="21" customHeight="1">
      <x:c r="A35" s="2"/>
      <x:c r="B35" s="2"/>
      <x:c r="C35" s="2" t="str">
        <x:v>Star Marianne</x:v>
      </x:c>
      <x:c r="D35" s="2" t="str">
        <x:v>Capesize</x:v>
      </x:c>
      <x:c r="E35" s="26" t="n">
        <x:v>178906</x:v>
      </x:c>
      <x:c r="F35" s="26" t="n">
        <x:v>2010</x:v>
      </x:c>
      <x:c r="G35" s="35" t="n">
        <x:v>43479</x:v>
      </x:c>
      <x:c r="H35" s="35" t="n">
        <x:v>46203</x:v>
      </x:c>
      <x:c r="I35" s="36" t="n">
        <x:v>35000000</x:v>
      </x:c>
      <x:c r="J35" s="36" t="n">
        <x:v>0</x:v>
      </x:c>
      <x:c r="K35" s="36" t="n">
        <x:v>1</x:v>
      </x:c>
      <x:c r="L35" s="2" t="str">
        <x:v>9519078</x:v>
      </x:c>
      <x:c r="M35" s="2" t="str">
        <x:v>SBLK_PROSPECTUS;SBLK_APPRAISAL</x:v>
      </x:c>
      <x:c r="N35" s="2" t="str">
        <x:v>observed</x:v>
      </x:c>
      <x:c r="O35" s="32" t="n">
        <x:f>DATE(F35+'Assumptions'!$D$50,7,1)</x:f>
        <x:v>49491</x:v>
      </x:c>
      <x:c r="P35" s="34" t="n">
        <x:f>I35*'Assumptions'!$D$45</x:f>
        <x:v>35000000</x:v>
      </x:c>
      <x:c r="Q35" s="34" t="n">
        <x:f>J35*'Assumptions'!$D$110</x:f>
        <x:v>0</x:v>
      </x:c>
      <x:c r="R35" s="2" t="str"/>
    </x:row>
    <x:row r="36" ht="21" customHeight="1">
      <x:c r="A36" s="2"/>
      <x:c r="B36" s="2"/>
      <x:c r="C36" s="2" t="str">
        <x:v>Star Angie</x:v>
      </x:c>
      <x:c r="D36" s="2" t="str">
        <x:v>Capesize</x:v>
      </x:c>
      <x:c r="E36" s="26" t="n">
        <x:v>177931</x:v>
      </x:c>
      <x:c r="F36" s="26" t="n">
        <x:v>2007</x:v>
      </x:c>
      <x:c r="G36" s="35" t="n">
        <x:v>41941</x:v>
      </x:c>
      <x:c r="H36" s="35" t="n">
        <x:v>46203</x:v>
      </x:c>
      <x:c r="I36" s="36" t="n">
        <x:v>28000000</x:v>
      </x:c>
      <x:c r="J36" s="36" t="n">
        <x:v>0</x:v>
      </x:c>
      <x:c r="K36" s="36" t="n">
        <x:v>1</x:v>
      </x:c>
      <x:c r="L36" s="2" t="str">
        <x:v>9340714</x:v>
      </x:c>
      <x:c r="M36" s="2" t="str">
        <x:v>SBLK_PROSPECTUS;SBLK_APPRAISAL</x:v>
      </x:c>
      <x:c r="N36" s="2" t="str">
        <x:v>observed</x:v>
      </x:c>
      <x:c r="O36" s="32" t="n">
        <x:f>DATE(F36+'Assumptions'!$D$50,7,1)</x:f>
        <x:v>48396</x:v>
      </x:c>
      <x:c r="P36" s="34" t="n">
        <x:f>I36*'Assumptions'!$D$45</x:f>
        <x:v>28000000</x:v>
      </x:c>
      <x:c r="Q36" s="34" t="n">
        <x:f>J36*'Assumptions'!$D$110</x:f>
        <x:v>0</x:v>
      </x:c>
      <x:c r="R36" s="2" t="str"/>
    </x:row>
    <x:row r="37" ht="21" customHeight="1">
      <x:c r="A37" s="2"/>
      <x:c r="B37" s="2"/>
      <x:c r="C37" s="2" t="str">
        <x:v>Kymopolia</x:v>
      </x:c>
      <x:c r="D37" s="2" t="str">
        <x:v>Capesize</x:v>
      </x:c>
      <x:c r="E37" s="26" t="n">
        <x:v>176990</x:v>
      </x:c>
      <x:c r="F37" s="26" t="n">
        <x:v>2006</x:v>
      </x:c>
      <x:c r="G37" s="35" t="n">
        <x:v>41831</x:v>
      </x:c>
      <x:c r="H37" s="35" t="n">
        <x:v>46203</x:v>
      </x:c>
      <x:c r="I37" s="36" t="n">
        <x:v>28000000</x:v>
      </x:c>
      <x:c r="J37" s="36" t="n">
        <x:v>0</x:v>
      </x:c>
      <x:c r="K37" s="36" t="n">
        <x:v>1</x:v>
      </x:c>
      <x:c r="L37" s="2" t="str">
        <x:v>9310123</x:v>
      </x:c>
      <x:c r="M37" s="2" t="str">
        <x:v>SBLK_PROSPECTUS;SBLK_APPRAISAL</x:v>
      </x:c>
      <x:c r="N37" s="2" t="str">
        <x:v>observed</x:v>
      </x:c>
      <x:c r="O37" s="32" t="n">
        <x:f>DATE(F37+'Assumptions'!$D$50,7,1)</x:f>
        <x:v>48030</x:v>
      </x:c>
      <x:c r="P37" s="34" t="n">
        <x:f>I37*'Assumptions'!$D$45</x:f>
        <x:v>28000000</x:v>
      </x:c>
      <x:c r="Q37" s="34" t="n">
        <x:f>J37*'Assumptions'!$D$110</x:f>
        <x:v>0</x:v>
      </x:c>
      <x:c r="R37" s="2" t="str"/>
    </x:row>
    <x:row r="38" ht="21" customHeight="1">
      <x:c r="A38" s="2"/>
      <x:c r="B38" s="2"/>
      <x:c r="C38" s="2" t="str">
        <x:v>Amami</x:v>
      </x:c>
      <x:c r="D38" s="2" t="str">
        <x:v>Post Panamax</x:v>
      </x:c>
      <x:c r="E38" s="26" t="n">
        <x:v>98681</x:v>
      </x:c>
      <x:c r="F38" s="26" t="n">
        <x:v>2011</x:v>
      </x:c>
      <x:c r="G38" s="35" t="n">
        <x:v>41831</x:v>
      </x:c>
      <x:c r="H38" s="35" t="n">
        <x:v>46203</x:v>
      </x:c>
      <x:c r="I38" s="36" t="n">
        <x:v>22500000</x:v>
      </x:c>
      <x:c r="J38" s="36" t="n">
        <x:v>0</x:v>
      </x:c>
      <x:c r="K38" s="36" t="n">
        <x:v>1</x:v>
      </x:c>
      <x:c r="L38" s="2" t="str">
        <x:v>9520821</x:v>
      </x:c>
      <x:c r="M38" s="2" t="str">
        <x:v>SBLK_PROSPECTUS;SBLK_APPRAISAL</x:v>
      </x:c>
      <x:c r="N38" s="2" t="str">
        <x:v>observed</x:v>
      </x:c>
      <x:c r="O38" s="32" t="n">
        <x:f>DATE(F38+'Assumptions'!$D$50,7,1)</x:f>
        <x:v>49857</x:v>
      </x:c>
      <x:c r="P38" s="34" t="n">
        <x:f>I38*'Assumptions'!$D$45</x:f>
        <x:v>22500000</x:v>
      </x:c>
      <x:c r="Q38" s="34" t="n">
        <x:f>J38*'Assumptions'!$D$110</x:f>
        <x:v>0</x:v>
      </x:c>
      <x:c r="R38" s="2" t="str"/>
    </x:row>
    <x:row r="39" ht="21" customHeight="1">
      <x:c r="A39" s="2"/>
      <x:c r="B39" s="2"/>
      <x:c r="C39" s="2" t="str">
        <x:v>Madredeus</x:v>
      </x:c>
      <x:c r="D39" s="2" t="str">
        <x:v>Post Panamax</x:v>
      </x:c>
      <x:c r="E39" s="26" t="n">
        <x:v>98681</x:v>
      </x:c>
      <x:c r="F39" s="26" t="n">
        <x:v>2011</x:v>
      </x:c>
      <x:c r="G39" s="35" t="n">
        <x:v>41831</x:v>
      </x:c>
      <x:c r="H39" s="35" t="n">
        <x:v>46203</x:v>
      </x:c>
      <x:c r="I39" s="36" t="n">
        <x:v>22500000</x:v>
      </x:c>
      <x:c r="J39" s="36" t="n">
        <x:v>0</x:v>
      </x:c>
      <x:c r="K39" s="36" t="n">
        <x:v>1</x:v>
      </x:c>
      <x:c r="L39" s="2" t="str">
        <x:v>9520845</x:v>
      </x:c>
      <x:c r="M39" s="2" t="str">
        <x:v>SBLK_PROSPECTUS;SBLK_APPRAISAL</x:v>
      </x:c>
      <x:c r="N39" s="2" t="str">
        <x:v>observed</x:v>
      </x:c>
      <x:c r="O39" s="32" t="n">
        <x:f>DATE(F39+'Assumptions'!$D$50,7,1)</x:f>
        <x:v>49857</x:v>
      </x:c>
      <x:c r="P39" s="34" t="n">
        <x:f>I39*'Assumptions'!$D$45</x:f>
        <x:v>22500000</x:v>
      </x:c>
      <x:c r="Q39" s="34" t="n">
        <x:f>J39*'Assumptions'!$D$110</x:f>
        <x:v>0</x:v>
      </x:c>
      <x:c r="R39" s="2" t="str"/>
    </x:row>
    <x:row r="40" ht="21" customHeight="1">
      <x:c r="A40" s="2"/>
      <x:c r="B40" s="2"/>
      <x:c r="C40" s="2" t="str">
        <x:v>Star Sirius</x:v>
      </x:c>
      <x:c r="D40" s="2" t="str">
        <x:v>Post Panamax</x:v>
      </x:c>
      <x:c r="E40" s="26" t="n">
        <x:v>98681</x:v>
      </x:c>
      <x:c r="F40" s="26" t="n">
        <x:v>2011</x:v>
      </x:c>
      <x:c r="G40" s="35" t="n">
        <x:v>41705</x:v>
      </x:c>
      <x:c r="H40" s="35" t="n">
        <x:v>46203</x:v>
      </x:c>
      <x:c r="I40" s="36" t="n">
        <x:v>22500000</x:v>
      </x:c>
      <x:c r="J40" s="36" t="n">
        <x:v>0</x:v>
      </x:c>
      <x:c r="K40" s="36" t="n">
        <x:v>1</x:v>
      </x:c>
      <x:c r="L40" s="2" t="str">
        <x:v>9520883</x:v>
      </x:c>
      <x:c r="M40" s="2" t="str">
        <x:v>SBLK_PROSPECTUS;SBLK_APPRAISAL</x:v>
      </x:c>
      <x:c r="N40" s="2" t="str">
        <x:v>observed</x:v>
      </x:c>
      <x:c r="O40" s="32" t="n">
        <x:f>DATE(F40+'Assumptions'!$D$50,7,1)</x:f>
        <x:v>49857</x:v>
      </x:c>
      <x:c r="P40" s="34" t="n">
        <x:f>I40*'Assumptions'!$D$45</x:f>
        <x:v>22500000</x:v>
      </x:c>
      <x:c r="Q40" s="34" t="n">
        <x:f>J40*'Assumptions'!$D$110</x:f>
        <x:v>0</x:v>
      </x:c>
      <x:c r="R40" s="2" t="str"/>
    </x:row>
    <x:row r="41" ht="21" customHeight="1">
      <x:c r="A41" s="2"/>
      <x:c r="B41" s="2"/>
      <x:c r="C41" s="2" t="str">
        <x:v>Star Vega</x:v>
      </x:c>
      <x:c r="D41" s="2" t="str">
        <x:v>Post Panamax</x:v>
      </x:c>
      <x:c r="E41" s="26" t="n">
        <x:v>98681</x:v>
      </x:c>
      <x:c r="F41" s="26" t="n">
        <x:v>2011</x:v>
      </x:c>
      <x:c r="G41" s="35" t="n">
        <x:v>41683</x:v>
      </x:c>
      <x:c r="H41" s="35" t="n">
        <x:v>46203</x:v>
      </x:c>
      <x:c r="I41" s="36" t="n">
        <x:v>22500000</x:v>
      </x:c>
      <x:c r="J41" s="36" t="n">
        <x:v>0</x:v>
      </x:c>
      <x:c r="K41" s="36" t="n">
        <x:v>1</x:v>
      </x:c>
      <x:c r="L41" s="2" t="str">
        <x:v>9520895</x:v>
      </x:c>
      <x:c r="M41" s="2" t="str">
        <x:v>SBLK_PROSPECTUS;SBLK_APPRAISAL</x:v>
      </x:c>
      <x:c r="N41" s="2" t="str">
        <x:v>observed</x:v>
      </x:c>
      <x:c r="O41" s="32" t="n">
        <x:f>DATE(F41+'Assumptions'!$D$50,7,1)</x:f>
        <x:v>49857</x:v>
      </x:c>
      <x:c r="P41" s="34" t="n">
        <x:f>I41*'Assumptions'!$D$45</x:f>
        <x:v>22500000</x:v>
      </x:c>
      <x:c r="Q41" s="34" t="n">
        <x:f>J41*'Assumptions'!$D$110</x:f>
        <x:v>0</x:v>
      </x:c>
      <x:c r="R41" s="2" t="str"/>
    </x:row>
    <x:row r="42" ht="21" customHeight="1">
      <x:c r="A42" s="2"/>
      <x:c r="B42" s="2"/>
      <x:c r="C42" s="2" t="str">
        <x:v>Star Aphrodite</x:v>
      </x:c>
      <x:c r="D42" s="2" t="str">
        <x:v>Post Panamax</x:v>
      </x:c>
      <x:c r="E42" s="26" t="n">
        <x:v>92006</x:v>
      </x:c>
      <x:c r="F42" s="26" t="n">
        <x:v>2011</x:v>
      </x:c>
      <x:c r="G42" s="35" t="n">
        <x:v>43315</x:v>
      </x:c>
      <x:c r="H42" s="35" t="n">
        <x:v>46203</x:v>
      </x:c>
      <x:c r="I42" s="36" t="n">
        <x:v>20250000</x:v>
      </x:c>
      <x:c r="J42" s="36" t="n">
        <x:v>0</x:v>
      </x:c>
      <x:c r="K42" s="36" t="n">
        <x:v>1</x:v>
      </x:c>
      <x:c r="L42" s="2" t="str">
        <x:v>9590096</x:v>
      </x:c>
      <x:c r="M42" s="2" t="str">
        <x:v>SBLK_PROSPECTUS;SBLK_APPRAISAL</x:v>
      </x:c>
      <x:c r="N42" s="2" t="str">
        <x:v>observed</x:v>
      </x:c>
      <x:c r="O42" s="32" t="n">
        <x:f>DATE(F42+'Assumptions'!$D$50,7,1)</x:f>
        <x:v>49857</x:v>
      </x:c>
      <x:c r="P42" s="34" t="n">
        <x:f>I42*'Assumptions'!$D$45</x:f>
        <x:v>20250000</x:v>
      </x:c>
      <x:c r="Q42" s="34" t="n">
        <x:f>J42*'Assumptions'!$D$110</x:f>
        <x:v>0</x:v>
      </x:c>
      <x:c r="R42" s="2" t="str"/>
    </x:row>
    <x:row r="43" ht="21" customHeight="1">
      <x:c r="A43" s="2"/>
      <x:c r="B43" s="2"/>
      <x:c r="C43" s="2" t="str">
        <x:v>Star Piera</x:v>
      </x:c>
      <x:c r="D43" s="2" t="str">
        <x:v>Post Panamax</x:v>
      </x:c>
      <x:c r="E43" s="26" t="n">
        <x:v>91951</x:v>
      </x:c>
      <x:c r="F43" s="26" t="n">
        <x:v>2010</x:v>
      </x:c>
      <x:c r="G43" s="35" t="n">
        <x:v>43315</x:v>
      </x:c>
      <x:c r="H43" s="35" t="n">
        <x:v>46203</x:v>
      </x:c>
      <x:c r="I43" s="36" t="n">
        <x:v>19250000</x:v>
      </x:c>
      <x:c r="J43" s="36" t="n">
        <x:v>0</x:v>
      </x:c>
      <x:c r="K43" s="36" t="n">
        <x:v>1</x:v>
      </x:c>
      <x:c r="L43" s="2" t="str">
        <x:v>9450909</x:v>
      </x:c>
      <x:c r="M43" s="2" t="str">
        <x:v>SBLK_PROSPECTUS;SBLK_APPRAISAL</x:v>
      </x:c>
      <x:c r="N43" s="2" t="str">
        <x:v>observed</x:v>
      </x:c>
      <x:c r="O43" s="32" t="n">
        <x:f>DATE(F43+'Assumptions'!$D$50,7,1)</x:f>
        <x:v>49491</x:v>
      </x:c>
      <x:c r="P43" s="34" t="n">
        <x:f>I43*'Assumptions'!$D$45</x:f>
        <x:v>19250000</x:v>
      </x:c>
      <x:c r="Q43" s="34" t="n">
        <x:f>J43*'Assumptions'!$D$110</x:f>
        <x:v>0</x:v>
      </x:c>
      <x:c r="R43" s="2" t="str"/>
    </x:row>
    <x:row r="44" ht="21" customHeight="1">
      <x:c r="A44" s="2"/>
      <x:c r="B44" s="2"/>
      <x:c r="C44" s="2" t="str">
        <x:v>Star Despoina</x:v>
      </x:c>
      <x:c r="D44" s="2" t="str">
        <x:v>Post Panamax</x:v>
      </x:c>
      <x:c r="E44" s="26" t="n">
        <x:v>91951</x:v>
      </x:c>
      <x:c r="F44" s="26" t="n">
        <x:v>2010</x:v>
      </x:c>
      <x:c r="G44" s="35" t="n">
        <x:v>43315</x:v>
      </x:c>
      <x:c r="H44" s="35" t="n">
        <x:v>46203</x:v>
      </x:c>
      <x:c r="I44" s="36" t="n">
        <x:v>19250000</x:v>
      </x:c>
      <x:c r="J44" s="36" t="n">
        <x:v>0</x:v>
      </x:c>
      <x:c r="K44" s="36" t="n">
        <x:v>1</x:v>
      </x:c>
      <x:c r="L44" s="2" t="str">
        <x:v>9450894</x:v>
      </x:c>
      <x:c r="M44" s="2" t="str">
        <x:v>SBLK_PROSPECTUS;SBLK_APPRAISAL</x:v>
      </x:c>
      <x:c r="N44" s="2" t="str">
        <x:v>observed</x:v>
      </x:c>
      <x:c r="O44" s="32" t="n">
        <x:f>DATE(F44+'Assumptions'!$D$50,7,1)</x:f>
        <x:v>49491</x:v>
      </x:c>
      <x:c r="P44" s="34" t="n">
        <x:f>I44*'Assumptions'!$D$45</x:f>
        <x:v>19250000</x:v>
      </x:c>
      <x:c r="Q44" s="34" t="n">
        <x:f>J44*'Assumptions'!$D$110</x:f>
        <x:v>0</x:v>
      </x:c>
      <x:c r="R44" s="2" t="str"/>
    </x:row>
    <x:row r="45" ht="21" customHeight="1">
      <x:c r="A45" s="2"/>
      <x:c r="B45" s="2"/>
      <x:c r="C45" s="2" t="str">
        <x:v>Star Electra</x:v>
      </x:c>
      <x:c r="D45" s="2" t="str">
        <x:v>Kamsarmax</x:v>
      </x:c>
      <x:c r="E45" s="26" t="n">
        <x:v>83494</x:v>
      </x:c>
      <x:c r="F45" s="26" t="n">
        <x:v>2011</x:v>
      </x:c>
      <x:c r="G45" s="35" t="n">
        <x:v>43287</x:v>
      </x:c>
      <x:c r="H45" s="35" t="n">
        <x:v>46203</x:v>
      </x:c>
      <x:c r="I45" s="36" t="n">
        <x:v>22500000</x:v>
      </x:c>
      <x:c r="J45" s="36" t="n">
        <x:v>0</x:v>
      </x:c>
      <x:c r="K45" s="36" t="n">
        <x:v>1</x:v>
      </x:c>
      <x:c r="L45" s="2" t="str">
        <x:v>9442536</x:v>
      </x:c>
      <x:c r="M45" s="2" t="str">
        <x:v>SBLK_PROSPECTUS;SBLK_APPRAISAL</x:v>
      </x:c>
      <x:c r="N45" s="2" t="str">
        <x:v>observed</x:v>
      </x:c>
      <x:c r="O45" s="32" t="n">
        <x:f>DATE(F45+'Assumptions'!$D$50,7,1)</x:f>
        <x:v>49857</x:v>
      </x:c>
      <x:c r="P45" s="34" t="n">
        <x:f>I45*'Assumptions'!$D$45</x:f>
        <x:v>22500000</x:v>
      </x:c>
      <x:c r="Q45" s="34" t="n">
        <x:f>J45*'Assumptions'!$D$110</x:f>
        <x:v>0</x:v>
      </x:c>
      <x:c r="R45" s="2" t="str"/>
    </x:row>
    <x:row r="46" ht="21" customHeight="1">
      <x:c r="A46" s="2"/>
      <x:c r="B46" s="2"/>
      <x:c r="C46" s="2" t="str">
        <x:v>Star Angelina</x:v>
      </x:c>
      <x:c r="D46" s="2" t="str">
        <x:v>Kamsarmax</x:v>
      </x:c>
      <x:c r="E46" s="26" t="n">
        <x:v>82981</x:v>
      </x:c>
      <x:c r="F46" s="26" t="n">
        <x:v>2006</x:v>
      </x:c>
      <x:c r="G46" s="35" t="n">
        <x:v>41978</x:v>
      </x:c>
      <x:c r="H46" s="35" t="n">
        <x:v>46203</x:v>
      </x:c>
      <x:c r="I46" s="36" t="n">
        <x:v>14250000</x:v>
      </x:c>
      <x:c r="J46" s="36" t="n">
        <x:v>0</x:v>
      </x:c>
      <x:c r="K46" s="36" t="n">
        <x:v>1</x:v>
      </x:c>
      <x:c r="L46" s="2" t="str">
        <x:v>9310630</x:v>
      </x:c>
      <x:c r="M46" s="2" t="str">
        <x:v>SBLK_PROSPECTUS;SBLK_APPRAISAL</x:v>
      </x:c>
      <x:c r="N46" s="2" t="str">
        <x:v>observed</x:v>
      </x:c>
      <x:c r="O46" s="32" t="n">
        <x:f>DATE(F46+'Assumptions'!$D$50,7,1)</x:f>
        <x:v>48030</x:v>
      </x:c>
      <x:c r="P46" s="34" t="n">
        <x:f>I46*'Assumptions'!$D$45</x:f>
        <x:v>14250000</x:v>
      </x:c>
      <x:c r="Q46" s="34" t="n">
        <x:f>J46*'Assumptions'!$D$110</x:f>
        <x:v>0</x:v>
      </x:c>
      <x:c r="R46" s="2" t="str"/>
    </x:row>
    <x:row r="47" ht="21" customHeight="1">
      <x:c r="A47" s="2"/>
      <x:c r="B47" s="2"/>
      <x:c r="C47" s="2" t="str">
        <x:v>Star Gwyneth</x:v>
      </x:c>
      <x:c r="D47" s="2" t="str">
        <x:v>Kamsarmax</x:v>
      </x:c>
      <x:c r="E47" s="26" t="n">
        <x:v>82790</x:v>
      </x:c>
      <x:c r="F47" s="26" t="n">
        <x:v>2006</x:v>
      </x:c>
      <x:c r="G47" s="35" t="n">
        <x:v>41978</x:v>
      </x:c>
      <x:c r="H47" s="35" t="n">
        <x:v>46203</x:v>
      </x:c>
      <x:c r="I47" s="36" t="n">
        <x:v>14250000</x:v>
      </x:c>
      <x:c r="J47" s="36" t="n">
        <x:v>0</x:v>
      </x:c>
      <x:c r="K47" s="36" t="n">
        <x:v>1</x:v>
      </x:c>
      <x:c r="L47" s="2" t="str">
        <x:v>9301031</x:v>
      </x:c>
      <x:c r="M47" s="2" t="str">
        <x:v>SBLK_PROSPECTUS;SBLK_APPRAISAL</x:v>
      </x:c>
      <x:c r="N47" s="2" t="str">
        <x:v>observed</x:v>
      </x:c>
      <x:c r="O47" s="32" t="n">
        <x:f>DATE(F47+'Assumptions'!$D$50,7,1)</x:f>
        <x:v>48030</x:v>
      </x:c>
      <x:c r="P47" s="34" t="n">
        <x:f>I47*'Assumptions'!$D$45</x:f>
        <x:v>14250000</x:v>
      </x:c>
      <x:c r="Q47" s="34" t="n">
        <x:f>J47*'Assumptions'!$D$110</x:f>
        <x:v>0</x:v>
      </x:c>
      <x:c r="R47" s="2" t="str"/>
    </x:row>
    <x:row r="48" ht="21" customHeight="1">
      <x:c r="A48" s="2"/>
      <x:c r="B48" s="2"/>
      <x:c r="C48" s="2" t="str">
        <x:v>Star Kamila</x:v>
      </x:c>
      <x:c r="D48" s="2" t="str">
        <x:v>Kamsarmax</x:v>
      </x:c>
      <x:c r="E48" s="26" t="n">
        <x:v>82769</x:v>
      </x:c>
      <x:c r="F48" s="26" t="n">
        <x:v>2005</x:v>
      </x:c>
      <x:c r="G48" s="35" t="n">
        <x:v>41885</x:v>
      </x:c>
      <x:c r="H48" s="35" t="n">
        <x:v>46203</x:v>
      </x:c>
      <x:c r="I48" s="36" t="n">
        <x:v>13250000</x:v>
      </x:c>
      <x:c r="J48" s="36" t="n">
        <x:v>0</x:v>
      </x:c>
      <x:c r="K48" s="36" t="n">
        <x:v>1</x:v>
      </x:c>
      <x:c r="L48" s="2" t="str">
        <x:v>9285043</x:v>
      </x:c>
      <x:c r="M48" s="2" t="str">
        <x:v>SBLK_PROSPECTUS;SBLK_APPRAISAL</x:v>
      </x:c>
      <x:c r="N48" s="2" t="str">
        <x:v>observed</x:v>
      </x:c>
      <x:c r="O48" s="32" t="n">
        <x:f>DATE(F48+'Assumptions'!$D$50,7,1)</x:f>
        <x:v>47665</x:v>
      </x:c>
      <x:c r="P48" s="34" t="n">
        <x:f>I48*'Assumptions'!$D$45</x:f>
        <x:v>13250000</x:v>
      </x:c>
      <x:c r="Q48" s="34" t="n">
        <x:f>J48*'Assumptions'!$D$110</x:f>
        <x:v>0</x:v>
      </x:c>
      <x:c r="R48" s="2" t="str"/>
    </x:row>
    <x:row r="49" ht="21" customHeight="1">
      <x:c r="A49" s="2"/>
      <x:c r="B49" s="2"/>
      <x:c r="C49" s="2" t="str">
        <x:v>Star Luna</x:v>
      </x:c>
      <x:c r="D49" s="2" t="str">
        <x:v>Kamsarmax</x:v>
      </x:c>
      <x:c r="E49" s="26" t="n">
        <x:v>82687</x:v>
      </x:c>
      <x:c r="F49" s="26" t="n">
        <x:v>2008</x:v>
      </x:c>
      <x:c r="G49" s="35" t="n">
        <x:v>43287</x:v>
      </x:c>
      <x:c r="H49" s="35" t="n">
        <x:v>46203</x:v>
      </x:c>
      <x:c r="I49" s="36" t="n">
        <x:v>15750000</x:v>
      </x:c>
      <x:c r="J49" s="36" t="n">
        <x:v>0</x:v>
      </x:c>
      <x:c r="K49" s="36" t="n">
        <x:v>1</x:v>
      </x:c>
      <x:c r="L49" s="2" t="str">
        <x:v>9440849</x:v>
      </x:c>
      <x:c r="M49" s="2" t="str">
        <x:v>SBLK_PROSPECTUS;SBLK_APPRAISAL</x:v>
      </x:c>
      <x:c r="N49" s="2" t="str">
        <x:v>observed</x:v>
      </x:c>
      <x:c r="O49" s="32" t="n">
        <x:f>DATE(F49+'Assumptions'!$D$50,7,1)</x:f>
        <x:v>48761</x:v>
      </x:c>
      <x:c r="P49" s="34" t="n">
        <x:f>I49*'Assumptions'!$D$45</x:f>
        <x:v>15750000</x:v>
      </x:c>
      <x:c r="Q49" s="34" t="n">
        <x:f>J49*'Assumptions'!$D$110</x:f>
        <x:v>0</x:v>
      </x:c>
      <x:c r="R49" s="2" t="str"/>
    </x:row>
    <x:row r="50" ht="21" customHeight="1">
      <x:c r="A50" s="2"/>
      <x:c r="B50" s="2"/>
      <x:c r="C50" s="2" t="str">
        <x:v>Star Bianca</x:v>
      </x:c>
      <x:c r="D50" s="2" t="str">
        <x:v>Kamsarmax</x:v>
      </x:c>
      <x:c r="E50" s="26" t="n">
        <x:v>82672</x:v>
      </x:c>
      <x:c r="F50" s="26" t="n">
        <x:v>2008</x:v>
      </x:c>
      <x:c r="G50" s="35" t="n">
        <x:v>43287</x:v>
      </x:c>
      <x:c r="H50" s="35" t="n">
        <x:v>46203</x:v>
      </x:c>
      <x:c r="I50" s="36" t="n">
        <x:v>16250000</x:v>
      </x:c>
      <x:c r="J50" s="36" t="n">
        <x:v>0</x:v>
      </x:c>
      <x:c r="K50" s="36" t="n">
        <x:v>1</x:v>
      </x:c>
      <x:c r="L50" s="2" t="str">
        <x:v>9370769</x:v>
      </x:c>
      <x:c r="M50" s="2" t="str">
        <x:v>SBLK_PROSPECTUS;SBLK_APPRAISAL</x:v>
      </x:c>
      <x:c r="N50" s="2" t="str">
        <x:v>observed</x:v>
      </x:c>
      <x:c r="O50" s="32" t="n">
        <x:f>DATE(F50+'Assumptions'!$D$50,7,1)</x:f>
        <x:v>48761</x:v>
      </x:c>
      <x:c r="P50" s="34" t="n">
        <x:f>I50*'Assumptions'!$D$45</x:f>
        <x:v>16250000</x:v>
      </x:c>
      <x:c r="Q50" s="34" t="n">
        <x:f>J50*'Assumptions'!$D$110</x:f>
        <x:v>0</x:v>
      </x:c>
      <x:c r="R50" s="2" t="str"/>
    </x:row>
    <x:row r="51" ht="21" customHeight="1">
      <x:c r="A51" s="2"/>
      <x:c r="B51" s="2"/>
      <x:c r="C51" s="2" t="str">
        <x:v>Star Maria</x:v>
      </x:c>
      <x:c r="D51" s="2" t="str">
        <x:v>Kamsarmax</x:v>
      </x:c>
      <x:c r="E51" s="26" t="n">
        <x:v>82598</x:v>
      </x:c>
      <x:c r="F51" s="26" t="n">
        <x:v>2007</x:v>
      </x:c>
      <x:c r="G51" s="35" t="n">
        <x:v>41948</x:v>
      </x:c>
      <x:c r="H51" s="35" t="n">
        <x:v>46203</x:v>
      </x:c>
      <x:c r="I51" s="36" t="n">
        <x:v>15250000</x:v>
      </x:c>
      <x:c r="J51" s="36" t="n">
        <x:v>0</x:v>
      </x:c>
      <x:c r="K51" s="36" t="n">
        <x:v>1</x:v>
      </x:c>
      <x:c r="L51" s="2" t="str">
        <x:v>9401489</x:v>
      </x:c>
      <x:c r="M51" s="2" t="str">
        <x:v>SBLK_PROSPECTUS;SBLK_APPRAISAL</x:v>
      </x:c>
      <x:c r="N51" s="2" t="str">
        <x:v>observed</x:v>
      </x:c>
      <x:c r="O51" s="32" t="n">
        <x:f>DATE(F51+'Assumptions'!$D$50,7,1)</x:f>
        <x:v>48396</x:v>
      </x:c>
      <x:c r="P51" s="34" t="n">
        <x:f>I51*'Assumptions'!$D$45</x:f>
        <x:v>15250000</x:v>
      </x:c>
      <x:c r="Q51" s="34" t="n">
        <x:f>J51*'Assumptions'!$D$110</x:f>
        <x:v>0</x:v>
      </x:c>
      <x:c r="R51" s="2" t="str"/>
    </x:row>
    <x:row r="52" ht="21" customHeight="1">
      <x:c r="A52" s="2"/>
      <x:c r="B52" s="2"/>
      <x:c r="C52" s="2" t="str">
        <x:v>Star Markella</x:v>
      </x:c>
      <x:c r="D52" s="2" t="str">
        <x:v>Kamsarmax</x:v>
      </x:c>
      <x:c r="E52" s="26" t="n">
        <x:v>82594</x:v>
      </x:c>
      <x:c r="F52" s="26" t="n">
        <x:v>2007</x:v>
      </x:c>
      <x:c r="G52" s="35" t="n">
        <x:v>41911</x:v>
      </x:c>
      <x:c r="H52" s="35" t="n">
        <x:v>46203</x:v>
      </x:c>
      <x:c r="I52" s="36" t="n">
        <x:v>15250000</x:v>
      </x:c>
      <x:c r="J52" s="36" t="n">
        <x:v>0</x:v>
      </x:c>
      <x:c r="K52" s="36" t="n">
        <x:v>1</x:v>
      </x:c>
      <x:c r="L52" s="2" t="str">
        <x:v>9401491</x:v>
      </x:c>
      <x:c r="M52" s="2" t="str">
        <x:v>SBLK_PROSPECTUS;SBLK_APPRAISAL</x:v>
      </x:c>
      <x:c r="N52" s="2" t="str">
        <x:v>observed</x:v>
      </x:c>
      <x:c r="O52" s="32" t="n">
        <x:f>DATE(F52+'Assumptions'!$D$50,7,1)</x:f>
        <x:v>48396</x:v>
      </x:c>
      <x:c r="P52" s="34" t="n">
        <x:f>I52*'Assumptions'!$D$45</x:f>
        <x:v>15250000</x:v>
      </x:c>
      <x:c r="Q52" s="34" t="n">
        <x:f>J52*'Assumptions'!$D$110</x:f>
        <x:v>0</x:v>
      </x:c>
      <x:c r="R52" s="2" t="str"/>
    </x:row>
    <x:row r="53" ht="21" customHeight="1">
      <x:c r="A53" s="2"/>
      <x:c r="B53" s="2"/>
      <x:c r="C53" s="2" t="str">
        <x:v>Star Jeannette</x:v>
      </x:c>
      <x:c r="D53" s="2" t="str">
        <x:v>Kamsarmax</x:v>
      </x:c>
      <x:c r="E53" s="26" t="n">
        <x:v>82566</x:v>
      </x:c>
      <x:c r="F53" s="26" t="n">
        <x:v>2014</x:v>
      </x:c>
      <x:c r="G53" s="35" t="n">
        <x:v>43315</x:v>
      </x:c>
      <x:c r="H53" s="35" t="n">
        <x:v>46203</x:v>
      </x:c>
      <x:c r="I53" s="36" t="n">
        <x:v>28250000</x:v>
      </x:c>
      <x:c r="J53" s="36" t="n">
        <x:v>0</x:v>
      </x:c>
      <x:c r="K53" s="36" t="n">
        <x:v>1</x:v>
      </x:c>
      <x:c r="L53" s="2" t="str">
        <x:v>9619804</x:v>
      </x:c>
      <x:c r="M53" s="2" t="str">
        <x:v>SBLK_PROSPECTUS;SBLK_APPRAISAL</x:v>
      </x:c>
      <x:c r="N53" s="2" t="str">
        <x:v>observed</x:v>
      </x:c>
      <x:c r="O53" s="32" t="n">
        <x:f>DATE(F53+'Assumptions'!$D$50,7,1)</x:f>
        <x:v>50952</x:v>
      </x:c>
      <x:c r="P53" s="34" t="n">
        <x:f>I53*'Assumptions'!$D$45</x:f>
        <x:v>28250000</x:v>
      </x:c>
      <x:c r="Q53" s="34" t="n">
        <x:f>J53*'Assumptions'!$D$110</x:f>
        <x:v>0</x:v>
      </x:c>
      <x:c r="R53" s="2" t="str"/>
    </x:row>
    <x:row r="54" ht="21" customHeight="1">
      <x:c r="A54" s="2"/>
      <x:c r="B54" s="2"/>
      <x:c r="C54" s="2" t="str">
        <x:v>Star Elizabeth</x:v>
      </x:c>
      <x:c r="D54" s="2" t="str">
        <x:v>Kamsarmax</x:v>
      </x:c>
      <x:c r="E54" s="26" t="n">
        <x:v>82403</x:v>
      </x:c>
      <x:c r="F54" s="26" t="n">
        <x:v>2021</x:v>
      </x:c>
      <x:c r="G54" s="35" t="n">
        <x:v>44341</x:v>
      </x:c>
      <x:c r="H54" s="35" t="n">
        <x:v>46203</x:v>
      </x:c>
      <x:c r="I54" s="36" t="n">
        <x:v>35000000</x:v>
      </x:c>
      <x:c r="J54" s="36" t="n">
        <x:v>0</x:v>
      </x:c>
      <x:c r="K54" s="36" t="n">
        <x:v>0</x:v>
      </x:c>
      <x:c r="L54" s="2" t="str">
        <x:v>9917488</x:v>
      </x:c>
      <x:c r="M54" s="2" t="str">
        <x:v>SBLK_PROSPECTUS;SBLK_APPRAISAL</x:v>
      </x:c>
      <x:c r="N54" s="2" t="str">
        <x:v>observed</x:v>
      </x:c>
      <x:c r="O54" s="32" t="n">
        <x:f>DATE(F54+'Assumptions'!$D$50,7,1)</x:f>
        <x:v>53509</x:v>
      </x:c>
      <x:c r="P54" s="34" t="n">
        <x:f>I54*'Assumptions'!$D$45</x:f>
        <x:v>35000000</x:v>
      </x:c>
      <x:c r="Q54" s="34" t="n">
        <x:f>J54*'Assumptions'!$D$110</x:f>
        <x:v>0</x:v>
      </x:c>
      <x:c r="R54" s="2" t="str"/>
    </x:row>
    <x:row r="55" ht="21" customHeight="1">
      <x:c r="A55" s="2"/>
      <x:c r="B55" s="2"/>
      <x:c r="C55" s="2" t="str">
        <x:v>Star Sophia</x:v>
      </x:c>
      <x:c r="D55" s="2" t="str">
        <x:v>Kamsarmax</x:v>
      </x:c>
      <x:c r="E55" s="26" t="n">
        <x:v>82269</x:v>
      </x:c>
      <x:c r="F55" s="26" t="n">
        <x:v>2007</x:v>
      </x:c>
      <x:c r="G55" s="35" t="n">
        <x:v>41943</x:v>
      </x:c>
      <x:c r="H55" s="35" t="n">
        <x:v>46203</x:v>
      </x:c>
      <x:c r="I55" s="36" t="n">
        <x:v>15250000</x:v>
      </x:c>
      <x:c r="J55" s="36" t="n">
        <x:v>0</x:v>
      </x:c>
      <x:c r="K55" s="36" t="n">
        <x:v>1</x:v>
      </x:c>
      <x:c r="L55" s="2" t="str">
        <x:v>9361201</x:v>
      </x:c>
      <x:c r="M55" s="2" t="str">
        <x:v>SBLK_PROSPECTUS;SBLK_APPRAISAL</x:v>
      </x:c>
      <x:c r="N55" s="2" t="str">
        <x:v>observed</x:v>
      </x:c>
      <x:c r="O55" s="32" t="n">
        <x:f>DATE(F55+'Assumptions'!$D$50,7,1)</x:f>
        <x:v>48396</x:v>
      </x:c>
      <x:c r="P55" s="34" t="n">
        <x:f>I55*'Assumptions'!$D$45</x:f>
        <x:v>15250000</x:v>
      </x:c>
      <x:c r="Q55" s="34" t="n">
        <x:f>J55*'Assumptions'!$D$110</x:f>
        <x:v>0</x:v>
      </x:c>
      <x:c r="R55" s="2" t="str"/>
    </x:row>
    <x:row r="56" ht="21" customHeight="1">
      <x:c r="A56" s="2"/>
      <x:c r="B56" s="2"/>
      <x:c r="C56" s="2" t="str">
        <x:v>Star Nina</x:v>
      </x:c>
      <x:c r="D56" s="2" t="str">
        <x:v>Kamsarmax</x:v>
      </x:c>
      <x:c r="E56" s="26" t="n">
        <x:v>82224</x:v>
      </x:c>
      <x:c r="F56" s="26" t="n">
        <x:v>2006</x:v>
      </x:c>
      <x:c r="G56" s="35" t="n">
        <x:v>42009</x:v>
      </x:c>
      <x:c r="H56" s="35" t="n">
        <x:v>46203</x:v>
      </x:c>
      <x:c r="I56" s="36" t="n">
        <x:v>14250000</x:v>
      </x:c>
      <x:c r="J56" s="36" t="n">
        <x:v>0</x:v>
      </x:c>
      <x:c r="K56" s="36" t="n">
        <x:v>1</x:v>
      </x:c>
      <x:c r="L56" s="2" t="str">
        <x:v>9354832</x:v>
      </x:c>
      <x:c r="M56" s="2" t="str">
        <x:v>SBLK_PROSPECTUS;SBLK_APPRAISAL</x:v>
      </x:c>
      <x:c r="N56" s="2" t="str">
        <x:v>observed</x:v>
      </x:c>
      <x:c r="O56" s="32" t="n">
        <x:f>DATE(F56+'Assumptions'!$D$50,7,1)</x:f>
        <x:v>48030</x:v>
      </x:c>
      <x:c r="P56" s="34" t="n">
        <x:f>I56*'Assumptions'!$D$45</x:f>
        <x:v>14250000</x:v>
      </x:c>
      <x:c r="Q56" s="34" t="n">
        <x:f>J56*'Assumptions'!$D$110</x:f>
        <x:v>0</x:v>
      </x:c>
      <x:c r="R56" s="2" t="str"/>
    </x:row>
    <x:row r="57" ht="21" customHeight="1">
      <x:c r="A57" s="2"/>
      <x:c r="B57" s="2"/>
      <x:c r="C57" s="2" t="str">
        <x:v>Star Renee</x:v>
      </x:c>
      <x:c r="D57" s="2" t="str">
        <x:v>Kamsarmax</x:v>
      </x:c>
      <x:c r="E57" s="26" t="n">
        <x:v>82221</x:v>
      </x:c>
      <x:c r="F57" s="26" t="n">
        <x:v>2006</x:v>
      </x:c>
      <x:c r="G57" s="35" t="n">
        <x:v>41991</x:v>
      </x:c>
      <x:c r="H57" s="35" t="n">
        <x:v>46203</x:v>
      </x:c>
      <x:c r="I57" s="36" t="n">
        <x:v>14250000</x:v>
      </x:c>
      <x:c r="J57" s="36" t="n">
        <x:v>0</x:v>
      </x:c>
      <x:c r="K57" s="36" t="n">
        <x:v>1</x:v>
      </x:c>
      <x:c r="L57" s="2" t="str">
        <x:v>9328948</x:v>
      </x:c>
      <x:c r="M57" s="2" t="str">
        <x:v>SBLK_PROSPECTUS;SBLK_APPRAISAL</x:v>
      </x:c>
      <x:c r="N57" s="2" t="str">
        <x:v>observed</x:v>
      </x:c>
      <x:c r="O57" s="32" t="n">
        <x:f>DATE(F57+'Assumptions'!$D$50,7,1)</x:f>
        <x:v>48030</x:v>
      </x:c>
      <x:c r="P57" s="34" t="n">
        <x:f>I57*'Assumptions'!$D$45</x:f>
        <x:v>14250000</x:v>
      </x:c>
      <x:c r="Q57" s="34" t="n">
        <x:f>J57*'Assumptions'!$D$110</x:f>
        <x:v>0</x:v>
      </x:c>
      <x:c r="R57" s="2" t="str"/>
    </x:row>
    <x:row r="58" ht="21" customHeight="1">
      <x:c r="A58" s="2"/>
      <x:c r="B58" s="2"/>
      <x:c r="C58" s="2" t="str">
        <x:v>Star Nasia</x:v>
      </x:c>
      <x:c r="D58" s="2" t="str">
        <x:v>Kamsarmax</x:v>
      </x:c>
      <x:c r="E58" s="26" t="n">
        <x:v>82220</x:v>
      </x:c>
      <x:c r="F58" s="26" t="n">
        <x:v>2006</x:v>
      </x:c>
      <x:c r="G58" s="35" t="n">
        <x:v>41880</x:v>
      </x:c>
      <x:c r="H58" s="35" t="n">
        <x:v>46203</x:v>
      </x:c>
      <x:c r="I58" s="36" t="n">
        <x:v>14250000</x:v>
      </x:c>
      <x:c r="J58" s="36" t="n">
        <x:v>0</x:v>
      </x:c>
      <x:c r="K58" s="36" t="n">
        <x:v>1</x:v>
      </x:c>
      <x:c r="L58" s="2" t="str">
        <x:v>9361237</x:v>
      </x:c>
      <x:c r="M58" s="2" t="str">
        <x:v>SBLK_PROSPECTUS;SBLK_APPRAISAL</x:v>
      </x:c>
      <x:c r="N58" s="2" t="str">
        <x:v>observed</x:v>
      </x:c>
      <x:c r="O58" s="32" t="n">
        <x:f>DATE(F58+'Assumptions'!$D$50,7,1)</x:f>
        <x:v>48030</x:v>
      </x:c>
      <x:c r="P58" s="34" t="n">
        <x:f>I58*'Assumptions'!$D$45</x:f>
        <x:v>14250000</x:v>
      </x:c>
      <x:c r="Q58" s="34" t="n">
        <x:f>J58*'Assumptions'!$D$110</x:f>
        <x:v>0</x:v>
      </x:c>
      <x:c r="R58" s="2" t="str"/>
    </x:row>
    <x:row r="59" ht="21" customHeight="1">
      <x:c r="A59" s="2"/>
      <x:c r="B59" s="2"/>
      <x:c r="C59" s="2" t="str">
        <x:v>Star Laura</x:v>
      </x:c>
      <x:c r="D59" s="2" t="str">
        <x:v>Kamsarmax</x:v>
      </x:c>
      <x:c r="E59" s="26" t="n">
        <x:v>82209</x:v>
      </x:c>
      <x:c r="F59" s="26" t="n">
        <x:v>2006</x:v>
      </x:c>
      <x:c r="G59" s="35" t="n">
        <x:v>41981</x:v>
      </x:c>
      <x:c r="H59" s="35" t="n">
        <x:v>46203</x:v>
      </x:c>
      <x:c r="I59" s="36" t="n">
        <x:v>14250000</x:v>
      </x:c>
      <x:c r="J59" s="36" t="n">
        <x:v>0</x:v>
      </x:c>
      <x:c r="K59" s="36" t="n">
        <x:v>1</x:v>
      </x:c>
      <x:c r="L59" s="2" t="str">
        <x:v>9328936</x:v>
      </x:c>
      <x:c r="M59" s="2" t="str">
        <x:v>SBLK_PROSPECTUS;SBLK_APPRAISAL</x:v>
      </x:c>
      <x:c r="N59" s="2" t="str">
        <x:v>observed</x:v>
      </x:c>
      <x:c r="O59" s="32" t="n">
        <x:f>DATE(F59+'Assumptions'!$D$50,7,1)</x:f>
        <x:v>48030</x:v>
      </x:c>
      <x:c r="P59" s="34" t="n">
        <x:f>I59*'Assumptions'!$D$45</x:f>
        <x:v>14250000</x:v>
      </x:c>
      <x:c r="Q59" s="34" t="n">
        <x:f>J59*'Assumptions'!$D$110</x:f>
        <x:v>0</x:v>
      </x:c>
      <x:c r="R59" s="2" t="str"/>
    </x:row>
    <x:row r="60" ht="21" customHeight="1">
      <x:c r="A60" s="2"/>
      <x:c r="B60" s="2"/>
      <x:c r="C60" s="2" t="str">
        <x:v>Star Mona</x:v>
      </x:c>
      <x:c r="D60" s="2" t="str">
        <x:v>Kamsarmax</x:v>
      </x:c>
      <x:c r="E60" s="26" t="n">
        <x:v>82188</x:v>
      </x:c>
      <x:c r="F60" s="26" t="n">
        <x:v>2012</x:v>
      </x:c>
      <x:c r="G60" s="35" t="n">
        <x:v>43287</x:v>
      </x:c>
      <x:c r="H60" s="35" t="n">
        <x:v>46203</x:v>
      </x:c>
      <x:c r="I60" s="36" t="n">
        <x:v>23750000</x:v>
      </x:c>
      <x:c r="J60" s="36" t="n">
        <x:v>0</x:v>
      </x:c>
      <x:c r="K60" s="36" t="n">
        <x:v>1</x:v>
      </x:c>
      <x:c r="L60" s="2" t="str">
        <x:v>9518062</x:v>
      </x:c>
      <x:c r="M60" s="2" t="str">
        <x:v>SBLK_PROSPECTUS;SBLK_APPRAISAL</x:v>
      </x:c>
      <x:c r="N60" s="2" t="str">
        <x:v>observed</x:v>
      </x:c>
      <x:c r="O60" s="32" t="n">
        <x:f>DATE(F60+'Assumptions'!$D$50,7,1)</x:f>
        <x:v>50222</x:v>
      </x:c>
      <x:c r="P60" s="34" t="n">
        <x:f>I60*'Assumptions'!$D$45</x:f>
        <x:v>23750000</x:v>
      </x:c>
      <x:c r="Q60" s="34" t="n">
        <x:f>J60*'Assumptions'!$D$110</x:f>
        <x:v>0</x:v>
      </x:c>
      <x:c r="R60" s="2" t="str"/>
    </x:row>
    <x:row r="61" ht="21" customHeight="1">
      <x:c r="A61" s="2"/>
      <x:c r="B61" s="2"/>
      <x:c r="C61" s="2" t="str">
        <x:v>Star Helena</x:v>
      </x:c>
      <x:c r="D61" s="2" t="str">
        <x:v>Kamsarmax</x:v>
      </x:c>
      <x:c r="E61" s="26" t="n">
        <x:v>82187</x:v>
      </x:c>
      <x:c r="F61" s="26" t="n">
        <x:v>2006</x:v>
      </x:c>
      <x:c r="G61" s="35" t="n">
        <x:v>42002</x:v>
      </x:c>
      <x:c r="H61" s="35" t="n">
        <x:v>46203</x:v>
      </x:c>
      <x:c r="I61" s="36" t="n">
        <x:v>14250000</x:v>
      </x:c>
      <x:c r="J61" s="36" t="n">
        <x:v>0</x:v>
      </x:c>
      <x:c r="K61" s="36" t="n">
        <x:v>1</x:v>
      </x:c>
      <x:c r="L61" s="2" t="str">
        <x:v>9361213</x:v>
      </x:c>
      <x:c r="M61" s="2" t="str">
        <x:v>SBLK_PROSPECTUS;SBLK_APPRAISAL</x:v>
      </x:c>
      <x:c r="N61" s="2" t="str">
        <x:v>observed</x:v>
      </x:c>
      <x:c r="O61" s="32" t="n">
        <x:f>DATE(F61+'Assumptions'!$D$50,7,1)</x:f>
        <x:v>48030</x:v>
      </x:c>
      <x:c r="P61" s="34" t="n">
        <x:f>I61*'Assumptions'!$D$45</x:f>
        <x:v>14250000</x:v>
      </x:c>
      <x:c r="Q61" s="34" t="n">
        <x:f>J61*'Assumptions'!$D$110</x:f>
        <x:v>0</x:v>
      </x:c>
      <x:c r="R61" s="2" t="str"/>
    </x:row>
    <x:row r="62" ht="21" customHeight="1">
      <x:c r="A62" s="2"/>
      <x:c r="B62" s="2"/>
      <x:c r="C62" s="2" t="str">
        <x:v>Star Emma</x:v>
      </x:c>
      <x:c r="D62" s="2" t="str">
        <x:v>Kamsarmax</x:v>
      </x:c>
      <x:c r="E62" s="26" t="n">
        <x:v>82279</x:v>
      </x:c>
      <x:c r="F62" s="26" t="n">
        <x:v>2026</x:v>
      </x:c>
      <x:c r="G62" s="35" t="n">
        <x:v>46167</x:v>
      </x:c>
      <x:c r="H62" s="35" t="n">
        <x:v>46203</x:v>
      </x:c>
      <x:c r="I62" s="36" t="n">
        <x:v>43250000</x:v>
      </x:c>
      <x:c r="J62" s="36" t="n">
        <x:v>0</x:v>
      </x:c>
      <x:c r="K62" s="36" t="n">
        <x:v>1</x:v>
      </x:c>
      <x:c r="L62" s="2" t="str">
        <x:v>1042720</x:v>
      </x:c>
      <x:c r="M62" s="2" t="str">
        <x:v>SBLK_PROSPECTUS;SBLK_APPRAISAL</x:v>
      </x:c>
      <x:c r="N62" s="2" t="str">
        <x:v>observed</x:v>
      </x:c>
      <x:c r="O62" s="32" t="n">
        <x:f>DATE(F62+'Assumptions'!$D$50,7,1)</x:f>
        <x:v>55335</x:v>
      </x:c>
      <x:c r="P62" s="34" t="n">
        <x:f>I62*'Assumptions'!$D$45</x:f>
        <x:v>43250000</x:v>
      </x:c>
      <x:c r="Q62" s="34" t="n">
        <x:f>J62*'Assumptions'!$D$110</x:f>
        <x:v>0</x:v>
      </x:c>
      <x:c r="R62" s="2" t="str"/>
    </x:row>
    <x:row r="63" ht="21" customHeight="1">
      <x:c r="A63" s="2"/>
      <x:c r="B63" s="2"/>
      <x:c r="C63" s="2" t="str">
        <x:v>Star Evelina</x:v>
      </x:c>
      <x:c r="D63" s="2" t="str">
        <x:v>Kamsarmax</x:v>
      </x:c>
      <x:c r="E63" s="26" t="n">
        <x:v>82202</x:v>
      </x:c>
      <x:c r="F63" s="26" t="n">
        <x:v>2026</x:v>
      </x:c>
      <x:c r="G63" s="35" t="n">
        <x:v>46164</x:v>
      </x:c>
      <x:c r="H63" s="35" t="n">
        <x:v>46203</x:v>
      </x:c>
      <x:c r="I63" s="36" t="n">
        <x:v>43250000</x:v>
      </x:c>
      <x:c r="J63" s="36" t="n">
        <x:v>0</x:v>
      </x:c>
      <x:c r="K63" s="36" t="n">
        <x:v>1</x:v>
      </x:c>
      <x:c r="L63" s="2" t="str">
        <x:v>1042732</x:v>
      </x:c>
      <x:c r="M63" s="2" t="str">
        <x:v>SBLK_PROSPECTUS;SBLK_APPRAISAL</x:v>
      </x:c>
      <x:c r="N63" s="2" t="str">
        <x:v>observed</x:v>
      </x:c>
      <x:c r="O63" s="32" t="n">
        <x:f>DATE(F63+'Assumptions'!$D$50,7,1)</x:f>
        <x:v>55335</x:v>
      </x:c>
      <x:c r="P63" s="34" t="n">
        <x:f>I63*'Assumptions'!$D$45</x:f>
        <x:v>43250000</x:v>
      </x:c>
      <x:c r="Q63" s="34" t="n">
        <x:f>J63*'Assumptions'!$D$110</x:f>
        <x:v>0</x:v>
      </x:c>
      <x:c r="R63" s="2" t="str"/>
    </x:row>
    <x:row r="64" ht="21" customHeight="1">
      <x:c r="A64" s="2"/>
      <x:c r="B64" s="2"/>
      <x:c r="C64" s="2" t="str">
        <x:v>Star Astrid</x:v>
      </x:c>
      <x:c r="D64" s="2" t="str">
        <x:v>Kamsarmax</x:v>
      </x:c>
      <x:c r="E64" s="26" t="n">
        <x:v>82158</x:v>
      </x:c>
      <x:c r="F64" s="26" t="n">
        <x:v>2012</x:v>
      </x:c>
      <x:c r="G64" s="35" t="n">
        <x:v>43287</x:v>
      </x:c>
      <x:c r="H64" s="35" t="n">
        <x:v>46203</x:v>
      </x:c>
      <x:c r="I64" s="36" t="n">
        <x:v>23750000</x:v>
      </x:c>
      <x:c r="J64" s="36" t="n">
        <x:v>0</x:v>
      </x:c>
      <x:c r="K64" s="36" t="n">
        <x:v>1</x:v>
      </x:c>
      <x:c r="L64" s="2" t="str">
        <x:v>9582453</x:v>
      </x:c>
      <x:c r="M64" s="2" t="str">
        <x:v>SBLK_PROSPECTUS;SBLK_APPRAISAL</x:v>
      </x:c>
      <x:c r="N64" s="2" t="str">
        <x:v>observed</x:v>
      </x:c>
      <x:c r="O64" s="32" t="n">
        <x:f>DATE(F64+'Assumptions'!$D$50,7,1)</x:f>
        <x:v>50222</x:v>
      </x:c>
      <x:c r="P64" s="34" t="n">
        <x:f>I64*'Assumptions'!$D$45</x:f>
        <x:v>23750000</x:v>
      </x:c>
      <x:c r="Q64" s="34" t="n">
        <x:f>J64*'Assumptions'!$D$110</x:f>
        <x:v>0</x:v>
      </x:c>
      <x:c r="R64" s="2" t="str"/>
    </x:row>
    <x:row r="65" ht="21" customHeight="1">
      <x:c r="A65" s="2"/>
      <x:c r="B65" s="2"/>
      <x:c r="C65" s="2" t="str">
        <x:v>Star Ellie</x:v>
      </x:c>
      <x:c r="D65" s="2" t="str">
        <x:v>Kamsarmax</x:v>
      </x:c>
      <x:c r="E65" s="26" t="n">
        <x:v>82114</x:v>
      </x:c>
      <x:c r="F65" s="26" t="n">
        <x:v>2026</x:v>
      </x:c>
      <x:c r="G65" s="35" t="n">
        <x:v>46202</x:v>
      </x:c>
      <x:c r="H65" s="35" t="n">
        <x:v>46203</x:v>
      </x:c>
      <x:c r="I65" s="36" t="n">
        <x:v>43250000</x:v>
      </x:c>
      <x:c r="J65" s="36" t="n">
        <x:v>0</x:v>
      </x:c>
      <x:c r="K65" s="36" t="n">
        <x:v>1</x:v>
      </x:c>
      <x:c r="L65" s="2" t="str">
        <x:v>1094668</x:v>
      </x:c>
      <x:c r="M65" s="2" t="str">
        <x:v>SBLK_PROSPECTUS;SBLK_APPRAISAL</x:v>
      </x:c>
      <x:c r="N65" s="2" t="str">
        <x:v>observed</x:v>
      </x:c>
      <x:c r="O65" s="32" t="n">
        <x:f>DATE(F65+'Assumptions'!$D$50,7,1)</x:f>
        <x:v>55335</x:v>
      </x:c>
      <x:c r="P65" s="34" t="n">
        <x:f>I65*'Assumptions'!$D$45</x:f>
        <x:v>43250000</x:v>
      </x:c>
      <x:c r="Q65" s="34" t="n">
        <x:f>J65*'Assumptions'!$D$110</x:f>
        <x:v>0</x:v>
      </x:c>
      <x:c r="R65" s="2" t="str"/>
    </x:row>
    <x:row r="66" ht="21" customHeight="1">
      <x:c r="A66" s="2"/>
      <x:c r="B66" s="2"/>
      <x:c r="C66" s="2" t="str">
        <x:v>Star Bella</x:v>
      </x:c>
      <x:c r="D66" s="2" t="str">
        <x:v>Kamsarmax</x:v>
      </x:c>
      <x:c r="E66" s="26" t="n">
        <x:v>82155</x:v>
      </x:c>
      <x:c r="F66" s="26" t="n">
        <x:v>2026</x:v>
      </x:c>
      <x:c r="G66" s="35" t="n">
        <x:v>46244</x:v>
      </x:c>
      <x:c r="H66" s="35" t="n">
        <x:v>46255</x:v>
      </x:c>
      <x:c r="I66" s="36" t="n">
        <x:v>43500000</x:v>
      </x:c>
      <x:c r="J66" s="36" t="n">
        <x:v>0</x:v>
      </x:c>
      <x:c r="K66" s="36" t="n">
        <x:v>1</x:v>
      </x:c>
      <x:c r="L66" s="2" t="str">
        <x:v>1094694</x:v>
      </x:c>
      <x:c r="M66" s="2" t="str">
        <x:v>SBLK_PROSPECTUS;SBLK_APPRAISAL</x:v>
      </x:c>
      <x:c r="N66" s="2" t="str">
        <x:v>observed</x:v>
      </x:c>
      <x:c r="O66" s="32" t="n">
        <x:f>DATE(F66+'Assumptions'!$D$50,7,1)</x:f>
        <x:v>55335</x:v>
      </x:c>
      <x:c r="P66" s="34" t="n">
        <x:f>I66*'Assumptions'!$D$45</x:f>
        <x:v>43500000</x:v>
      </x:c>
      <x:c r="Q66" s="34" t="n">
        <x:f>J66*'Assumptions'!$D$110</x:f>
        <x:v>0</x:v>
      </x:c>
      <x:c r="R66" s="2" t="str"/>
    </x:row>
    <x:row r="67" ht="21" customHeight="1">
      <x:c r="A67" s="2"/>
      <x:c r="B67" s="2"/>
      <x:c r="C67" s="2" t="str">
        <x:v>Star Kyra</x:v>
      </x:c>
      <x:c r="D67" s="2" t="str">
        <x:v>Kamsarmax</x:v>
      </x:c>
      <x:c r="E67" s="26" t="n">
        <x:v>82154</x:v>
      </x:c>
      <x:c r="F67" s="26" t="n">
        <x:v>2026</x:v>
      </x:c>
      <x:c r="G67" s="35" t="n">
        <x:v>46254</x:v>
      </x:c>
      <x:c r="H67" s="35" t="n">
        <x:v>46255</x:v>
      </x:c>
      <x:c r="I67" s="36" t="n">
        <x:v>43500000</x:v>
      </x:c>
      <x:c r="J67" s="36" t="n">
        <x:v>0</x:v>
      </x:c>
      <x:c r="K67" s="36" t="n">
        <x:v>1</x:v>
      </x:c>
      <x:c r="L67" s="2" t="str">
        <x:v>1094711</x:v>
      </x:c>
      <x:c r="M67" s="2" t="str">
        <x:v>SBLK_PROSPECTUS;SBLK_APPRAISAL</x:v>
      </x:c>
      <x:c r="N67" s="2" t="str">
        <x:v>observed</x:v>
      </x:c>
      <x:c r="O67" s="32" t="n">
        <x:f>DATE(F67+'Assumptions'!$D$50,7,1)</x:f>
        <x:v>55335</x:v>
      </x:c>
      <x:c r="P67" s="34" t="n">
        <x:f>I67*'Assumptions'!$D$45</x:f>
        <x:v>43500000</x:v>
      </x:c>
      <x:c r="Q67" s="34" t="n">
        <x:f>J67*'Assumptions'!$D$110</x:f>
        <x:v>0</x:v>
      </x:c>
      <x:c r="R67" s="2" t="str"/>
    </x:row>
    <x:row r="68" ht="21" customHeight="1">
      <x:c r="A68" s="2"/>
      <x:c r="B68" s="2"/>
      <x:c r="C68" s="2" t="str">
        <x:v>Star Alessia</x:v>
      </x:c>
      <x:c r="D68" s="2" t="str">
        <x:v>Kamsarmax</x:v>
      </x:c>
      <x:c r="E68" s="26" t="n">
        <x:v>81944</x:v>
      </x:c>
      <x:c r="F68" s="26" t="n">
        <x:v>2017</x:v>
      </x:c>
      <x:c r="G68" s="35" t="n">
        <x:v>43315</x:v>
      </x:c>
      <x:c r="H68" s="35" t="n">
        <x:v>46203</x:v>
      </x:c>
      <x:c r="I68" s="36" t="n">
        <x:v>33250000</x:v>
      </x:c>
      <x:c r="J68" s="36" t="n">
        <x:v>0</x:v>
      </x:c>
      <x:c r="K68" s="36" t="n">
        <x:v>1</x:v>
      </x:c>
      <x:c r="L68" s="2" t="str">
        <x:v>9804564</x:v>
      </x:c>
      <x:c r="M68" s="2" t="str">
        <x:v>SBLK_PROSPECTUS;SBLK_APPRAISAL</x:v>
      </x:c>
      <x:c r="N68" s="2" t="str">
        <x:v>observed</x:v>
      </x:c>
      <x:c r="O68" s="32" t="n">
        <x:f>DATE(F68+'Assumptions'!$D$50,7,1)</x:f>
        <x:v>52048</x:v>
      </x:c>
      <x:c r="P68" s="34" t="n">
        <x:f>I68*'Assumptions'!$D$45</x:f>
        <x:v>33250000</x:v>
      </x:c>
      <x:c r="Q68" s="34" t="n">
        <x:f>J68*'Assumptions'!$D$110</x:f>
        <x:v>0</x:v>
      </x:c>
      <x:c r="R68" s="2" t="str"/>
    </x:row>
    <x:row r="69" ht="21" customHeight="1">
      <x:c r="A69" s="2"/>
      <x:c r="B69" s="2"/>
      <x:c r="C69" s="2" t="str">
        <x:v>Star Calypso</x:v>
      </x:c>
      <x:c r="D69" s="2" t="str">
        <x:v>Kamsarmax</x:v>
      </x:c>
      <x:c r="E69" s="26" t="n">
        <x:v>81918</x:v>
      </x:c>
      <x:c r="F69" s="26" t="n">
        <x:v>2014</x:v>
      </x:c>
      <x:c r="G69" s="35" t="n">
        <x:v>43287</x:v>
      </x:c>
      <x:c r="H69" s="35" t="n">
        <x:v>46203</x:v>
      </x:c>
      <x:c r="I69" s="36" t="n">
        <x:v>26250000</x:v>
      </x:c>
      <x:c r="J69" s="36" t="n">
        <x:v>0</x:v>
      </x:c>
      <x:c r="K69" s="36" t="n">
        <x:v>1</x:v>
      </x:c>
      <x:c r="L69" s="2" t="str">
        <x:v>9634842</x:v>
      </x:c>
      <x:c r="M69" s="2" t="str">
        <x:v>SBLK_PROSPECTUS;SBLK_APPRAISAL</x:v>
      </x:c>
      <x:c r="N69" s="2" t="str">
        <x:v>observed</x:v>
      </x:c>
      <x:c r="O69" s="32" t="n">
        <x:f>DATE(F69+'Assumptions'!$D$50,7,1)</x:f>
        <x:v>50952</x:v>
      </x:c>
      <x:c r="P69" s="34" t="n">
        <x:f>I69*'Assumptions'!$D$45</x:f>
        <x:v>26250000</x:v>
      </x:c>
      <x:c r="Q69" s="34" t="n">
        <x:f>J69*'Assumptions'!$D$110</x:f>
        <x:v>0</x:v>
      </x:c>
      <x:c r="R69" s="2" t="str"/>
    </x:row>
    <x:row r="70" ht="21" customHeight="1">
      <x:c r="A70" s="2"/>
      <x:c r="B70" s="2"/>
      <x:c r="C70" s="2" t="str">
        <x:v>Star Suzanna</x:v>
      </x:c>
      <x:c r="D70" s="2" t="str">
        <x:v>Kamsarmax</x:v>
      </x:c>
      <x:c r="E70" s="26" t="n">
        <x:v>81711</x:v>
      </x:c>
      <x:c r="F70" s="26" t="n">
        <x:v>2013</x:v>
      </x:c>
      <x:c r="G70" s="35" t="n">
        <x:v>42870</x:v>
      </x:c>
      <x:c r="H70" s="35" t="n">
        <x:v>46203</x:v>
      </x:c>
      <x:c r="I70" s="36" t="n">
        <x:v>20750000</x:v>
      </x:c>
      <x:c r="J70" s="36" t="n">
        <x:v>0</x:v>
      </x:c>
      <x:c r="K70" s="36" t="n">
        <x:v>1</x:v>
      </x:c>
      <x:c r="L70" s="2" t="str">
        <x:v>9650872</x:v>
      </x:c>
      <x:c r="M70" s="2" t="str">
        <x:v>SBLK_PROSPECTUS;SBLK_APPRAISAL</x:v>
      </x:c>
      <x:c r="N70" s="2" t="str">
        <x:v>observed</x:v>
      </x:c>
      <x:c r="O70" s="32" t="n">
        <x:f>DATE(F70+'Assumptions'!$D$50,7,1)</x:f>
        <x:v>50587</x:v>
      </x:c>
      <x:c r="P70" s="34" t="n">
        <x:f>I70*'Assumptions'!$D$45</x:f>
        <x:v>20750000</x:v>
      </x:c>
      <x:c r="Q70" s="34" t="n">
        <x:f>J70*'Assumptions'!$D$110</x:f>
        <x:v>0</x:v>
      </x:c>
      <x:c r="R70" s="2" t="str"/>
    </x:row>
    <x:row r="71" ht="21" customHeight="1">
      <x:c r="A71" s="2"/>
      <x:c r="B71" s="2"/>
      <x:c r="C71" s="2" t="str">
        <x:v>Star Charis</x:v>
      </x:c>
      <x:c r="D71" s="2" t="str">
        <x:v>Kamsarmax</x:v>
      </x:c>
      <x:c r="E71" s="26" t="n">
        <x:v>81711</x:v>
      </x:c>
      <x:c r="F71" s="26" t="n">
        <x:v>2013</x:v>
      </x:c>
      <x:c r="G71" s="35" t="n">
        <x:v>42816</x:v>
      </x:c>
      <x:c r="H71" s="35" t="n">
        <x:v>46203</x:v>
      </x:c>
      <x:c r="I71" s="36" t="n">
        <x:v>20750000</x:v>
      </x:c>
      <x:c r="J71" s="36" t="n">
        <x:v>0</x:v>
      </x:c>
      <x:c r="K71" s="36" t="n">
        <x:v>1</x:v>
      </x:c>
      <x:c r="L71" s="2" t="str">
        <x:v>9615418</x:v>
      </x:c>
      <x:c r="M71" s="2" t="str">
        <x:v>SBLK_PROSPECTUS;SBLK_APPRAISAL</x:v>
      </x:c>
      <x:c r="N71" s="2" t="str">
        <x:v>observed</x:v>
      </x:c>
      <x:c r="O71" s="32" t="n">
        <x:f>DATE(F71+'Assumptions'!$D$50,7,1)</x:f>
        <x:v>50587</x:v>
      </x:c>
      <x:c r="P71" s="34" t="n">
        <x:f>I71*'Assumptions'!$D$45</x:f>
        <x:v>20750000</x:v>
      </x:c>
      <x:c r="Q71" s="34" t="n">
        <x:f>J71*'Assumptions'!$D$110</x:f>
        <x:v>0</x:v>
      </x:c>
      <x:c r="R71" s="2" t="str"/>
    </x:row>
    <x:row r="72" ht="21" customHeight="1">
      <x:c r="A72" s="2"/>
      <x:c r="B72" s="2"/>
      <x:c r="C72" s="2" t="str">
        <x:v>Mercurial Virgo</x:v>
      </x:c>
      <x:c r="D72" s="2" t="str">
        <x:v>Kamsarmax</x:v>
      </x:c>
      <x:c r="E72" s="26" t="n">
        <x:v>81545</x:v>
      </x:c>
      <x:c r="F72" s="26" t="n">
        <x:v>2013</x:v>
      </x:c>
      <x:c r="G72" s="35" t="n">
        <x:v>41831</x:v>
      </x:c>
      <x:c r="H72" s="35" t="n">
        <x:v>46203</x:v>
      </x:c>
      <x:c r="I72" s="36" t="n">
        <x:v>20750000</x:v>
      </x:c>
      <x:c r="J72" s="36" t="n">
        <x:v>0</x:v>
      </x:c>
      <x:c r="K72" s="36" t="n">
        <x:v>1</x:v>
      </x:c>
      <x:c r="L72" s="2" t="str">
        <x:v>9651553</x:v>
      </x:c>
      <x:c r="M72" s="2" t="str">
        <x:v>SBLK_PROSPECTUS;SBLK_APPRAISAL</x:v>
      </x:c>
      <x:c r="N72" s="2" t="str">
        <x:v>observed</x:v>
      </x:c>
      <x:c r="O72" s="32" t="n">
        <x:f>DATE(F72+'Assumptions'!$D$50,7,1)</x:f>
        <x:v>50587</x:v>
      </x:c>
      <x:c r="P72" s="34" t="n">
        <x:f>I72*'Assumptions'!$D$45</x:f>
        <x:v>20750000</x:v>
      </x:c>
      <x:c r="Q72" s="34" t="n">
        <x:f>J72*'Assumptions'!$D$110</x:f>
        <x:v>0</x:v>
      </x:c>
      <x:c r="R72" s="2" t="str"/>
    </x:row>
    <x:row r="73" ht="21" customHeight="1">
      <x:c r="A73" s="2"/>
      <x:c r="B73" s="2"/>
      <x:c r="C73" s="2" t="str">
        <x:v>Stardust</x:v>
      </x:c>
      <x:c r="D73" s="2" t="str">
        <x:v>Kamsarmax</x:v>
      </x:c>
      <x:c r="E73" s="26" t="n">
        <x:v>81502</x:v>
      </x:c>
      <x:c r="F73" s="26" t="n">
        <x:v>2011</x:v>
      </x:c>
      <x:c r="G73" s="35" t="n">
        <x:v>43287</x:v>
      </x:c>
      <x:c r="H73" s="35" t="n">
        <x:v>46203</x:v>
      </x:c>
      <x:c r="I73" s="36" t="n">
        <x:v>20250000</x:v>
      </x:c>
      <x:c r="J73" s="36" t="n">
        <x:v>0</x:v>
      </x:c>
      <x:c r="K73" s="36" t="n">
        <x:v>1</x:v>
      </x:c>
      <x:c r="L73" s="2" t="str">
        <x:v>9597757</x:v>
      </x:c>
      <x:c r="M73" s="2" t="str">
        <x:v>SBLK_PROSPECTUS;SBLK_APPRAISAL</x:v>
      </x:c>
      <x:c r="N73" s="2" t="str">
        <x:v>observed</x:v>
      </x:c>
      <x:c r="O73" s="32" t="n">
        <x:f>DATE(F73+'Assumptions'!$D$50,7,1)</x:f>
        <x:v>49857</x:v>
      </x:c>
      <x:c r="P73" s="34" t="n">
        <x:f>I73*'Assumptions'!$D$45</x:f>
        <x:v>20250000</x:v>
      </x:c>
      <x:c r="Q73" s="34" t="n">
        <x:f>J73*'Assumptions'!$D$110</x:f>
        <x:v>0</x:v>
      </x:c>
      <x:c r="R73" s="2" t="str"/>
    </x:row>
    <x:row r="74" ht="21" customHeight="1">
      <x:c r="A74" s="2"/>
      <x:c r="B74" s="2"/>
      <x:c r="C74" s="2" t="str">
        <x:v>Star Sky</x:v>
      </x:c>
      <x:c r="D74" s="2" t="str">
        <x:v>Kamsarmax</x:v>
      </x:c>
      <x:c r="E74" s="26" t="n">
        <x:v>81466</x:v>
      </x:c>
      <x:c r="F74" s="26" t="n">
        <x:v>2010</x:v>
      </x:c>
      <x:c r="G74" s="35" t="n">
        <x:v>43287</x:v>
      </x:c>
      <x:c r="H74" s="35" t="n">
        <x:v>46203</x:v>
      </x:c>
      <x:c r="I74" s="36" t="n">
        <x:v>20250000</x:v>
      </x:c>
      <x:c r="J74" s="36" t="n">
        <x:v>0</x:v>
      </x:c>
      <x:c r="K74" s="36" t="n">
        <x:v>1</x:v>
      </x:c>
      <x:c r="L74" s="2" t="str">
        <x:v>9399105</x:v>
      </x:c>
      <x:c r="M74" s="2" t="str">
        <x:v>SBLK_PROSPECTUS;SBLK_APPRAISAL</x:v>
      </x:c>
      <x:c r="N74" s="2" t="str">
        <x:v>observed</x:v>
      </x:c>
      <x:c r="O74" s="32" t="n">
        <x:f>DATE(F74+'Assumptions'!$D$50,7,1)</x:f>
        <x:v>49491</x:v>
      </x:c>
      <x:c r="P74" s="34" t="n">
        <x:f>I74*'Assumptions'!$D$45</x:f>
        <x:v>20250000</x:v>
      </x:c>
      <x:c r="Q74" s="34" t="n">
        <x:f>J74*'Assumptions'!$D$110</x:f>
        <x:v>0</x:v>
      </x:c>
      <x:c r="R74" s="2" t="str"/>
    </x:row>
    <x:row r="75" ht="21" customHeight="1">
      <x:c r="A75" s="2"/>
      <x:c r="B75" s="2"/>
      <x:c r="C75" s="2" t="str">
        <x:v>Star Lambada</x:v>
      </x:c>
      <x:c r="D75" s="2" t="str">
        <x:v>Kamsarmax</x:v>
      </x:c>
      <x:c r="E75" s="26" t="n">
        <x:v>81272</x:v>
      </x:c>
      <x:c r="F75" s="26" t="n">
        <x:v>2016</x:v>
      </x:c>
      <x:c r="G75" s="35" t="n">
        <x:v>44271</x:v>
      </x:c>
      <x:c r="H75" s="35" t="n">
        <x:v>46203</x:v>
      </x:c>
      <x:c r="I75" s="36" t="n">
        <x:v>26500000</x:v>
      </x:c>
      <x:c r="J75" s="36" t="n">
        <x:v>0</x:v>
      </x:c>
      <x:c r="K75" s="36" t="n">
        <x:v>0</x:v>
      </x:c>
      <x:c r="L75" s="2" t="str">
        <x:v>9719551</x:v>
      </x:c>
      <x:c r="M75" s="2" t="str">
        <x:v>SBLK_PROSPECTUS;SBLK_APPRAISAL</x:v>
      </x:c>
      <x:c r="N75" s="2" t="str">
        <x:v>observed</x:v>
      </x:c>
      <x:c r="O75" s="32" t="n">
        <x:f>DATE(F75+'Assumptions'!$D$50,7,1)</x:f>
        <x:v>51683</x:v>
      </x:c>
      <x:c r="P75" s="34" t="n">
        <x:f>I75*'Assumptions'!$D$45</x:f>
        <x:v>26500000</x:v>
      </x:c>
      <x:c r="Q75" s="34" t="n">
        <x:f>J75*'Assumptions'!$D$110</x:f>
        <x:v>0</x:v>
      </x:c>
      <x:c r="R75" s="2" t="str">
        <x:v>Appraisal name: SBI Lambada</x:v>
      </x:c>
    </x:row>
    <x:row r="76" ht="21" customHeight="1">
      <x:c r="A76" s="2"/>
      <x:c r="B76" s="2"/>
      <x:c r="C76" s="2" t="str">
        <x:v>Star Carioca</x:v>
      </x:c>
      <x:c r="D76" s="2" t="str">
        <x:v>Kamsarmax</x:v>
      </x:c>
      <x:c r="E76" s="26" t="n">
        <x:v>81262</x:v>
      </x:c>
      <x:c r="F76" s="26" t="n">
        <x:v>2015</x:v>
      </x:c>
      <x:c r="G76" s="35" t="n">
        <x:v>44271</x:v>
      </x:c>
      <x:c r="H76" s="35" t="n">
        <x:v>46203</x:v>
      </x:c>
      <x:c r="I76" s="36" t="n">
        <x:v>26250000</x:v>
      </x:c>
      <x:c r="J76" s="36" t="n">
        <x:v>0</x:v>
      </x:c>
      <x:c r="K76" s="36" t="n">
        <x:v>1</x:v>
      </x:c>
      <x:c r="L76" s="2" t="str">
        <x:v>9719549</x:v>
      </x:c>
      <x:c r="M76" s="2" t="str">
        <x:v>SBLK_PROSPECTUS;SBLK_APPRAISAL</x:v>
      </x:c>
      <x:c r="N76" s="2" t="str">
        <x:v>observed</x:v>
      </x:c>
      <x:c r="O76" s="32" t="n">
        <x:f>DATE(F76+'Assumptions'!$D$50,7,1)</x:f>
        <x:v>51318</x:v>
      </x:c>
      <x:c r="P76" s="34" t="n">
        <x:f>I76*'Assumptions'!$D$45</x:f>
        <x:v>26250000</x:v>
      </x:c>
      <x:c r="Q76" s="34" t="n">
        <x:f>J76*'Assumptions'!$D$110</x:f>
        <x:v>0</x:v>
      </x:c>
      <x:c r="R76" s="2" t="str">
        <x:v>Appraisal name: SBI Carioca</x:v>
      </x:c>
    </x:row>
    <x:row r="77" ht="21" customHeight="1">
      <x:c r="A77" s="2"/>
      <x:c r="B77" s="2"/>
      <x:c r="C77" s="2" t="str">
        <x:v>Star Capoeira</x:v>
      </x:c>
      <x:c r="D77" s="2" t="str">
        <x:v>Kamsarmax</x:v>
      </x:c>
      <x:c r="E77" s="26" t="n">
        <x:v>81253</x:v>
      </x:c>
      <x:c r="F77" s="26" t="n">
        <x:v>2015</x:v>
      </x:c>
      <x:c r="G77" s="35" t="n">
        <x:v>44271</x:v>
      </x:c>
      <x:c r="H77" s="35" t="n">
        <x:v>46203</x:v>
      </x:c>
      <x:c r="I77" s="36" t="n">
        <x:v>25000000</x:v>
      </x:c>
      <x:c r="J77" s="36" t="n">
        <x:v>0</x:v>
      </x:c>
      <x:c r="K77" s="36" t="n">
        <x:v>0</x:v>
      </x:c>
      <x:c r="L77" s="2" t="str">
        <x:v>9719537</x:v>
      </x:c>
      <x:c r="M77" s="2" t="str">
        <x:v>SBLK_PROSPECTUS;SBLK_APPRAISAL</x:v>
      </x:c>
      <x:c r="N77" s="2" t="str">
        <x:v>observed</x:v>
      </x:c>
      <x:c r="O77" s="32" t="n">
        <x:f>DATE(F77+'Assumptions'!$D$50,7,1)</x:f>
        <x:v>51318</x:v>
      </x:c>
      <x:c r="P77" s="34" t="n">
        <x:f>I77*'Assumptions'!$D$45</x:f>
        <x:v>25000000</x:v>
      </x:c>
      <x:c r="Q77" s="34" t="n">
        <x:f>J77*'Assumptions'!$D$110</x:f>
        <x:v>0</x:v>
      </x:c>
      <x:c r="R77" s="2" t="str">
        <x:v>Appraisal name: SBI Capoeira</x:v>
      </x:c>
    </x:row>
    <x:row r="78" ht="21" customHeight="1">
      <x:c r="A78" s="2"/>
      <x:c r="B78" s="2"/>
      <x:c r="C78" s="2" t="str">
        <x:v>Star Macarena</x:v>
      </x:c>
      <x:c r="D78" s="2" t="str">
        <x:v>Kamsarmax</x:v>
      </x:c>
      <x:c r="E78" s="26" t="n">
        <x:v>81198</x:v>
      </x:c>
      <x:c r="F78" s="26" t="n">
        <x:v>2016</x:v>
      </x:c>
      <x:c r="G78" s="35" t="n">
        <x:v>44261</x:v>
      </x:c>
      <x:c r="H78" s="35" t="n">
        <x:v>46203</x:v>
      </x:c>
      <x:c r="I78" s="36" t="n">
        <x:v>27750000</x:v>
      </x:c>
      <x:c r="J78" s="36" t="n">
        <x:v>0</x:v>
      </x:c>
      <x:c r="K78" s="36" t="n">
        <x:v>1</x:v>
      </x:c>
      <x:c r="L78" s="2" t="str">
        <x:v>9719563</x:v>
      </x:c>
      <x:c r="M78" s="2" t="str">
        <x:v>SBLK_PROSPECTUS;SBLK_APPRAISAL</x:v>
      </x:c>
      <x:c r="N78" s="2" t="str">
        <x:v>observed</x:v>
      </x:c>
      <x:c r="O78" s="32" t="n">
        <x:f>DATE(F78+'Assumptions'!$D$50,7,1)</x:f>
        <x:v>51683</x:v>
      </x:c>
      <x:c r="P78" s="34" t="n">
        <x:f>I78*'Assumptions'!$D$45</x:f>
        <x:v>27750000</x:v>
      </x:c>
      <x:c r="Q78" s="34" t="n">
        <x:f>J78*'Assumptions'!$D$110</x:f>
        <x:v>0</x:v>
      </x:c>
      <x:c r="R78" s="2" t="str">
        <x:v>Appraisal name: SBI Macarena</x:v>
      </x:c>
    </x:row>
    <x:row r="79" ht="21" customHeight="1">
      <x:c r="A79" s="2"/>
      <x:c r="B79" s="2"/>
      <x:c r="C79" s="2" t="str">
        <x:v>Star Lydia</x:v>
      </x:c>
      <x:c r="D79" s="2" t="str">
        <x:v>Kamsarmax</x:v>
      </x:c>
      <x:c r="E79" s="26" t="n">
        <x:v>81187</x:v>
      </x:c>
      <x:c r="F79" s="26" t="n">
        <x:v>2013</x:v>
      </x:c>
      <x:c r="G79" s="35" t="n">
        <x:v>43315</x:v>
      </x:c>
      <x:c r="H79" s="35" t="n">
        <x:v>46203</x:v>
      </x:c>
      <x:c r="I79" s="36" t="n">
        <x:v>27250000</x:v>
      </x:c>
      <x:c r="J79" s="36" t="n">
        <x:v>0</x:v>
      </x:c>
      <x:c r="K79" s="36" t="n">
        <x:v>1</x:v>
      </x:c>
      <x:c r="L79" s="2" t="str">
        <x:v>9673795</x:v>
      </x:c>
      <x:c r="M79" s="2" t="str">
        <x:v>SBLK_PROSPECTUS;SBLK_APPRAISAL</x:v>
      </x:c>
      <x:c r="N79" s="2" t="str">
        <x:v>observed</x:v>
      </x:c>
      <x:c r="O79" s="32" t="n">
        <x:f>DATE(F79+'Assumptions'!$D$50,7,1)</x:f>
        <x:v>50587</x:v>
      </x:c>
      <x:c r="P79" s="34" t="n">
        <x:f>I79*'Assumptions'!$D$45</x:f>
        <x:v>27250000</x:v>
      </x:c>
      <x:c r="Q79" s="34" t="n">
        <x:f>J79*'Assumptions'!$D$110</x:f>
        <x:v>0</x:v>
      </x:c>
      <x:c r="R79" s="2" t="str"/>
    </x:row>
    <x:row r="80" ht="21" customHeight="1">
      <x:c r="A80" s="2"/>
      <x:c r="B80" s="2"/>
      <x:c r="C80" s="2" t="str">
        <x:v>Star Nicole</x:v>
      </x:c>
      <x:c r="D80" s="2" t="str">
        <x:v>Kamsarmax</x:v>
      </x:c>
      <x:c r="E80" s="26" t="n">
        <x:v>81120</x:v>
      </x:c>
      <x:c r="F80" s="26" t="n">
        <x:v>2013</x:v>
      </x:c>
      <x:c r="G80" s="35" t="n">
        <x:v>43315</x:v>
      </x:c>
      <x:c r="H80" s="35" t="n">
        <x:v>46203</x:v>
      </x:c>
      <x:c r="I80" s="36" t="n">
        <x:v>27250000</x:v>
      </x:c>
      <x:c r="J80" s="36" t="n">
        <x:v>0</x:v>
      </x:c>
      <x:c r="K80" s="36" t="n">
        <x:v>1</x:v>
      </x:c>
      <x:c r="L80" s="2" t="str">
        <x:v>9673783</x:v>
      </x:c>
      <x:c r="M80" s="2" t="str">
        <x:v>SBLK_PROSPECTUS;SBLK_APPRAISAL</x:v>
      </x:c>
      <x:c r="N80" s="2" t="str">
        <x:v>observed</x:v>
      </x:c>
      <x:c r="O80" s="32" t="n">
        <x:f>DATE(F80+'Assumptions'!$D$50,7,1)</x:f>
        <x:v>50587</x:v>
      </x:c>
      <x:c r="P80" s="34" t="n">
        <x:f>I80*'Assumptions'!$D$45</x:f>
        <x:v>27250000</x:v>
      </x:c>
      <x:c r="Q80" s="34" t="n">
        <x:f>J80*'Assumptions'!$D$110</x:f>
        <x:v>0</x:v>
      </x:c>
      <x:c r="R80" s="2" t="str"/>
    </x:row>
    <x:row r="81" ht="21" customHeight="1">
      <x:c r="A81" s="2"/>
      <x:c r="B81" s="2"/>
      <x:c r="C81" s="2" t="str">
        <x:v>Star Virginia</x:v>
      </x:c>
      <x:c r="D81" s="2" t="str">
        <x:v>Kamsarmax</x:v>
      </x:c>
      <x:c r="E81" s="26" t="n">
        <x:v>81061</x:v>
      </x:c>
      <x:c r="F81" s="26" t="n">
        <x:v>2015</x:v>
      </x:c>
      <x:c r="G81" s="35" t="n">
        <x:v>43315</x:v>
      </x:c>
      <x:c r="H81" s="35" t="n">
        <x:v>46203</x:v>
      </x:c>
      <x:c r="I81" s="36" t="n">
        <x:v>31750000</x:v>
      </x:c>
      <x:c r="J81" s="36" t="n">
        <x:v>0</x:v>
      </x:c>
      <x:c r="K81" s="36" t="n">
        <x:v>1</x:v>
      </x:c>
      <x:c r="L81" s="2" t="str">
        <x:v>9698874</x:v>
      </x:c>
      <x:c r="M81" s="2" t="str">
        <x:v>SBLK_PROSPECTUS;SBLK_APPRAISAL</x:v>
      </x:c>
      <x:c r="N81" s="2" t="str">
        <x:v>observed</x:v>
      </x:c>
      <x:c r="O81" s="32" t="n">
        <x:f>DATE(F81+'Assumptions'!$D$50,7,1)</x:f>
        <x:v>51318</x:v>
      </x:c>
      <x:c r="P81" s="34" t="n">
        <x:f>I81*'Assumptions'!$D$45</x:f>
        <x:v>31750000</x:v>
      </x:c>
      <x:c r="Q81" s="34" t="n">
        <x:f>J81*'Assumptions'!$D$110</x:f>
        <x:v>0</x:v>
      </x:c>
      <x:c r="R81" s="2" t="str"/>
    </x:row>
    <x:row r="82" ht="21" customHeight="1">
      <x:c r="A82" s="2"/>
      <x:c r="B82" s="2"/>
      <x:c r="C82" s="2" t="str">
        <x:v>Star Genesis</x:v>
      </x:c>
      <x:c r="D82" s="2" t="str">
        <x:v>Kamsarmax</x:v>
      </x:c>
      <x:c r="E82" s="26" t="n">
        <x:v>80705</x:v>
      </x:c>
      <x:c r="F82" s="26" t="n">
        <x:v>2010</x:v>
      </x:c>
      <x:c r="G82" s="35" t="n">
        <x:v>43287</x:v>
      </x:c>
      <x:c r="H82" s="35" t="n">
        <x:v>46203</x:v>
      </x:c>
      <x:c r="I82" s="36" t="n">
        <x:v>19250000</x:v>
      </x:c>
      <x:c r="J82" s="36" t="n">
        <x:v>0</x:v>
      </x:c>
      <x:c r="K82" s="36" t="n">
        <x:v>1</x:v>
      </x:c>
      <x:c r="L82" s="2" t="str">
        <x:v>9457464</x:v>
      </x:c>
      <x:c r="M82" s="2" t="str">
        <x:v>SBLK_PROSPECTUS;SBLK_APPRAISAL</x:v>
      </x:c>
      <x:c r="N82" s="2" t="str">
        <x:v>observed</x:v>
      </x:c>
      <x:c r="O82" s="32" t="n">
        <x:f>DATE(F82+'Assumptions'!$D$50,7,1)</x:f>
        <x:v>49491</x:v>
      </x:c>
      <x:c r="P82" s="34" t="n">
        <x:f>I82*'Assumptions'!$D$45</x:f>
        <x:v>19250000</x:v>
      </x:c>
      <x:c r="Q82" s="34" t="n">
        <x:f>J82*'Assumptions'!$D$110</x:f>
        <x:v>0</x:v>
      </x:c>
      <x:c r="R82" s="2" t="str"/>
    </x:row>
    <x:row r="83" ht="21" customHeight="1">
      <x:c r="A83" s="2"/>
      <x:c r="B83" s="2"/>
      <x:c r="C83" s="2" t="str">
        <x:v>Star Flame</x:v>
      </x:c>
      <x:c r="D83" s="2" t="str">
        <x:v>Kamsarmax</x:v>
      </x:c>
      <x:c r="E83" s="26" t="n">
        <x:v>80448</x:v>
      </x:c>
      <x:c r="F83" s="26" t="n">
        <x:v>2011</x:v>
      </x:c>
      <x:c r="G83" s="35" t="n">
        <x:v>43287</x:v>
      </x:c>
      <x:c r="H83" s="35" t="n">
        <x:v>46203</x:v>
      </x:c>
      <x:c r="I83" s="36" t="n">
        <x:v>20250000</x:v>
      </x:c>
      <x:c r="J83" s="36" t="n">
        <x:v>0</x:v>
      </x:c>
      <x:c r="K83" s="36" t="n">
        <x:v>1</x:v>
      </x:c>
      <x:c r="L83" s="2" t="str">
        <x:v>9470076</x:v>
      </x:c>
      <x:c r="M83" s="2" t="str">
        <x:v>SBLK_PROSPECTUS;SBLK_APPRAISAL</x:v>
      </x:c>
      <x:c r="N83" s="2" t="str">
        <x:v>observed</x:v>
      </x:c>
      <x:c r="O83" s="32" t="n">
        <x:f>DATE(F83+'Assumptions'!$D$50,7,1)</x:f>
        <x:v>49857</x:v>
      </x:c>
      <x:c r="P83" s="34" t="n">
        <x:f>I83*'Assumptions'!$D$45</x:f>
        <x:v>20250000</x:v>
      </x:c>
      <x:c r="Q83" s="34" t="n">
        <x:f>J83*'Assumptions'!$D$110</x:f>
        <x:v>0</x:v>
      </x:c>
      <x:c r="R83" s="2" t="str"/>
    </x:row>
    <x:row r="84" ht="21" customHeight="1">
      <x:c r="A84" s="2"/>
      <x:c r="B84" s="2"/>
      <x:c r="C84" s="2" t="str">
        <x:v>Star Cape Town</x:v>
      </x:c>
      <x:c r="D84" s="2" t="str">
        <x:v>Ultramax</x:v>
      </x:c>
      <x:c r="E84" s="26" t="n">
        <x:v>63707</x:v>
      </x:c>
      <x:c r="F84" s="26" t="n">
        <x:v>2015</x:v>
      </x:c>
      <x:c r="G84" s="35" t="n">
        <x:v>45391</x:v>
      </x:c>
      <x:c r="H84" s="35" t="n">
        <x:v>46203</x:v>
      </x:c>
      <x:c r="I84" s="36" t="n">
        <x:v>26750000</x:v>
      </x:c>
      <x:c r="J84" s="36" t="n">
        <x:v>0</x:v>
      </x:c>
      <x:c r="K84" s="36" t="n">
        <x:v>1</x:v>
      </x:c>
      <x:c r="L84" s="2" t="str">
        <x:v>9700134</x:v>
      </x:c>
      <x:c r="M84" s="2" t="str">
        <x:v>SBLK_PROSPECTUS;SBLK_APPRAISAL</x:v>
      </x:c>
      <x:c r="N84" s="2" t="str">
        <x:v>observed</x:v>
      </x:c>
      <x:c r="O84" s="32" t="n">
        <x:f>DATE(F84+'Assumptions'!$D$50,7,1)</x:f>
        <x:v>51318</x:v>
      </x:c>
      <x:c r="P84" s="34" t="n">
        <x:f>I84*'Assumptions'!$D$45</x:f>
        <x:v>26750000</x:v>
      </x:c>
      <x:c r="Q84" s="34" t="n">
        <x:f>J84*'Assumptions'!$D$110</x:f>
        <x:v>0</x:v>
      </x:c>
      <x:c r="R84" s="2" t="str"/>
    </x:row>
    <x:row r="85" ht="21" customHeight="1">
      <x:c r="A85" s="2"/>
      <x:c r="B85" s="2"/>
      <x:c r="C85" s="2" t="str">
        <x:v>Star Vancouver</x:v>
      </x:c>
      <x:c r="D85" s="2" t="str">
        <x:v>Ultramax</x:v>
      </x:c>
      <x:c r="E85" s="26" t="n">
        <x:v>63670</x:v>
      </x:c>
      <x:c r="F85" s="26" t="n">
        <x:v>2020</x:v>
      </x:c>
      <x:c r="G85" s="35" t="n">
        <x:v>45391</x:v>
      </x:c>
      <x:c r="H85" s="35" t="n">
        <x:v>46203</x:v>
      </x:c>
      <x:c r="I85" s="36" t="n">
        <x:v>32750000</x:v>
      </x:c>
      <x:c r="J85" s="36" t="n">
        <x:v>0</x:v>
      </x:c>
      <x:c r="K85" s="36" t="n">
        <x:v>1</x:v>
      </x:c>
      <x:c r="L85" s="2" t="str">
        <x:v>9855850</x:v>
      </x:c>
      <x:c r="M85" s="2" t="str">
        <x:v>SBLK_PROSPECTUS;SBLK_APPRAISAL</x:v>
      </x:c>
      <x:c r="N85" s="2" t="str">
        <x:v>observed</x:v>
      </x:c>
      <x:c r="O85" s="32" t="n">
        <x:f>DATE(F85+'Assumptions'!$D$50,7,1)</x:f>
        <x:v>53144</x:v>
      </x:c>
      <x:c r="P85" s="34" t="n">
        <x:f>I85*'Assumptions'!$D$45</x:f>
        <x:v>32750000</x:v>
      </x:c>
      <x:c r="Q85" s="34" t="n">
        <x:f>J85*'Assumptions'!$D$110</x:f>
        <x:v>0</x:v>
      </x:c>
      <x:c r="R85" s="2" t="str"/>
    </x:row>
    <x:row r="86" ht="21" customHeight="1">
      <x:c r="A86" s="2"/>
      <x:c r="B86" s="2"/>
      <x:c r="C86" s="2" t="str">
        <x:v>Star Oslo</x:v>
      </x:c>
      <x:c r="D86" s="2" t="str">
        <x:v>Ultramax</x:v>
      </x:c>
      <x:c r="E86" s="26" t="n">
        <x:v>63655</x:v>
      </x:c>
      <x:c r="F86" s="26" t="n">
        <x:v>2015</x:v>
      </x:c>
      <x:c r="G86" s="35" t="n">
        <x:v>45391</x:v>
      </x:c>
      <x:c r="H86" s="35" t="n">
        <x:v>46203</x:v>
      </x:c>
      <x:c r="I86" s="36" t="n">
        <x:v>26750000</x:v>
      </x:c>
      <x:c r="J86" s="36" t="n">
        <x:v>0</x:v>
      </x:c>
      <x:c r="K86" s="36" t="n">
        <x:v>1</x:v>
      </x:c>
      <x:c r="L86" s="2" t="str">
        <x:v>9699282</x:v>
      </x:c>
      <x:c r="M86" s="2" t="str">
        <x:v>SBLK_PROSPECTUS;SBLK_APPRAISAL</x:v>
      </x:c>
      <x:c r="N86" s="2" t="str">
        <x:v>observed</x:v>
      </x:c>
      <x:c r="O86" s="32" t="n">
        <x:f>DATE(F86+'Assumptions'!$D$50,7,1)</x:f>
        <x:v>51318</x:v>
      </x:c>
      <x:c r="P86" s="34" t="n">
        <x:f>I86*'Assumptions'!$D$45</x:f>
        <x:v>26750000</x:v>
      </x:c>
      <x:c r="Q86" s="34" t="n">
        <x:f>J86*'Assumptions'!$D$110</x:f>
        <x:v>0</x:v>
      </x:c>
      <x:c r="R86" s="2" t="str"/>
    </x:row>
    <x:row r="87" ht="21" customHeight="1">
      <x:c r="A87" s="2"/>
      <x:c r="B87" s="2"/>
      <x:c r="C87" s="2" t="str">
        <x:v>Star Rotterdam</x:v>
      </x:c>
      <x:c r="D87" s="2" t="str">
        <x:v>Ultramax</x:v>
      </x:c>
      <x:c r="E87" s="26" t="n">
        <x:v>63629</x:v>
      </x:c>
      <x:c r="F87" s="26" t="n">
        <x:v>2017</x:v>
      </x:c>
      <x:c r="G87" s="35" t="n">
        <x:v>45391</x:v>
      </x:c>
      <x:c r="H87" s="35" t="n">
        <x:v>46203</x:v>
      </x:c>
      <x:c r="I87" s="36" t="n">
        <x:v>29000000</x:v>
      </x:c>
      <x:c r="J87" s="36" t="n">
        <x:v>0</x:v>
      </x:c>
      <x:c r="K87" s="36" t="n">
        <x:v>1</x:v>
      </x:c>
      <x:c r="L87" s="2" t="str">
        <x:v>9721994</x:v>
      </x:c>
      <x:c r="M87" s="2" t="str">
        <x:v>SBLK_PROSPECTUS;SBLK_APPRAISAL</x:v>
      </x:c>
      <x:c r="N87" s="2" t="str">
        <x:v>observed</x:v>
      </x:c>
      <x:c r="O87" s="32" t="n">
        <x:f>DATE(F87+'Assumptions'!$D$50,7,1)</x:f>
        <x:v>52048</x:v>
      </x:c>
      <x:c r="P87" s="34" t="n">
        <x:f>I87*'Assumptions'!$D$45</x:f>
        <x:v>29000000</x:v>
      </x:c>
      <x:c r="Q87" s="34" t="n">
        <x:f>J87*'Assumptions'!$D$110</x:f>
        <x:v>0</x:v>
      </x:c>
      <x:c r="R87" s="2" t="str"/>
    </x:row>
    <x:row r="88" ht="21" customHeight="1">
      <x:c r="A88" s="2"/>
      <x:c r="B88" s="2"/>
      <x:c r="C88" s="2" t="str">
        <x:v>Star Halifax</x:v>
      </x:c>
      <x:c r="D88" s="2" t="str">
        <x:v>Ultramax</x:v>
      </x:c>
      <x:c r="E88" s="26" t="n">
        <x:v>63618</x:v>
      </x:c>
      <x:c r="F88" s="26" t="n">
        <x:v>2020</x:v>
      </x:c>
      <x:c r="G88" s="35" t="n">
        <x:v>45391</x:v>
      </x:c>
      <x:c r="H88" s="35" t="n">
        <x:v>46203</x:v>
      </x:c>
      <x:c r="I88" s="36" t="n">
        <x:v>32750000</x:v>
      </x:c>
      <x:c r="J88" s="36" t="n">
        <x:v>0</x:v>
      </x:c>
      <x:c r="K88" s="36" t="n">
        <x:v>1</x:v>
      </x:c>
      <x:c r="L88" s="2" t="str">
        <x:v>9855862</x:v>
      </x:c>
      <x:c r="M88" s="2" t="str">
        <x:v>SBLK_PROSPECTUS;SBLK_APPRAISAL</x:v>
      </x:c>
      <x:c r="N88" s="2" t="str">
        <x:v>observed</x:v>
      </x:c>
      <x:c r="O88" s="32" t="n">
        <x:f>DATE(F88+'Assumptions'!$D$50,7,1)</x:f>
        <x:v>53144</x:v>
      </x:c>
      <x:c r="P88" s="34" t="n">
        <x:f>I88*'Assumptions'!$D$45</x:f>
        <x:v>32750000</x:v>
      </x:c>
      <x:c r="Q88" s="34" t="n">
        <x:f>J88*'Assumptions'!$D$110</x:f>
        <x:v>0</x:v>
      </x:c>
      <x:c r="R88" s="2" t="str"/>
    </x:row>
    <x:row r="89" ht="21" customHeight="1">
      <x:c r="A89" s="2"/>
      <x:c r="B89" s="2"/>
      <x:c r="C89" s="2" t="str">
        <x:v>Star Helsinki</x:v>
      </x:c>
      <x:c r="D89" s="2" t="str">
        <x:v>Ultramax</x:v>
      </x:c>
      <x:c r="E89" s="26" t="n">
        <x:v>63605</x:v>
      </x:c>
      <x:c r="F89" s="26" t="n">
        <x:v>2015</x:v>
      </x:c>
      <x:c r="G89" s="35" t="n">
        <x:v>45391</x:v>
      </x:c>
      <x:c r="H89" s="35" t="n">
        <x:v>46203</x:v>
      </x:c>
      <x:c r="I89" s="36" t="n">
        <x:v>26750000</x:v>
      </x:c>
      <x:c r="J89" s="36" t="n">
        <x:v>0</x:v>
      </x:c>
      <x:c r="K89" s="36" t="n">
        <x:v>1</x:v>
      </x:c>
      <x:c r="L89" s="2" t="str">
        <x:v>9699270</x:v>
      </x:c>
      <x:c r="M89" s="2" t="str">
        <x:v>SBLK_PROSPECTUS;SBLK_APPRAISAL</x:v>
      </x:c>
      <x:c r="N89" s="2" t="str">
        <x:v>observed</x:v>
      </x:c>
      <x:c r="O89" s="32" t="n">
        <x:f>DATE(F89+'Assumptions'!$D$50,7,1)</x:f>
        <x:v>51318</x:v>
      </x:c>
      <x:c r="P89" s="34" t="n">
        <x:f>I89*'Assumptions'!$D$45</x:f>
        <x:v>26750000</x:v>
      </x:c>
      <x:c r="Q89" s="34" t="n">
        <x:f>J89*'Assumptions'!$D$110</x:f>
        <x:v>0</x:v>
      </x:c>
      <x:c r="R89" s="2" t="str"/>
    </x:row>
    <x:row r="90" ht="21" customHeight="1">
      <x:c r="A90" s="2"/>
      <x:c r="B90" s="2"/>
      <x:c r="C90" s="2" t="str">
        <x:v>Star Gibraltar</x:v>
      </x:c>
      <x:c r="D90" s="2" t="str">
        <x:v>Ultramax</x:v>
      </x:c>
      <x:c r="E90" s="26" t="n">
        <x:v>63576</x:v>
      </x:c>
      <x:c r="F90" s="26" t="n">
        <x:v>2015</x:v>
      </x:c>
      <x:c r="G90" s="35" t="n">
        <x:v>45391</x:v>
      </x:c>
      <x:c r="H90" s="35" t="n">
        <x:v>46203</x:v>
      </x:c>
      <x:c r="I90" s="36" t="n">
        <x:v>25750000</x:v>
      </x:c>
      <x:c r="J90" s="36" t="n">
        <x:v>0</x:v>
      </x:c>
      <x:c r="K90" s="36" t="n">
        <x:v>0</x:v>
      </x:c>
      <x:c r="L90" s="2" t="str">
        <x:v>9702508</x:v>
      </x:c>
      <x:c r="M90" s="2" t="str">
        <x:v>SBLK_PROSPECTUS;SBLK_APPRAISAL</x:v>
      </x:c>
      <x:c r="N90" s="2" t="str">
        <x:v>observed</x:v>
      </x:c>
      <x:c r="O90" s="32" t="n">
        <x:f>DATE(F90+'Assumptions'!$D$50,7,1)</x:f>
        <x:v>51318</x:v>
      </x:c>
      <x:c r="P90" s="34" t="n">
        <x:f>I90*'Assumptions'!$D$45</x:f>
        <x:v>25750000</x:v>
      </x:c>
      <x:c r="Q90" s="34" t="n">
        <x:f>J90*'Assumptions'!$D$110</x:f>
        <x:v>0</x:v>
      </x:c>
      <x:c r="R90" s="2" t="str"/>
    </x:row>
    <x:row r="91" ht="21" customHeight="1">
      <x:c r="A91" s="2"/>
      <x:c r="B91" s="2"/>
      <x:c r="C91" s="2" t="str">
        <x:v>Star Valencia</x:v>
      </x:c>
      <x:c r="D91" s="2" t="str">
        <x:v>Ultramax</x:v>
      </x:c>
      <x:c r="E91" s="26" t="n">
        <x:v>63556</x:v>
      </x:c>
      <x:c r="F91" s="26" t="n">
        <x:v>2015</x:v>
      </x:c>
      <x:c r="G91" s="35" t="n">
        <x:v>45391</x:v>
      </x:c>
      <x:c r="H91" s="35" t="n">
        <x:v>46203</x:v>
      </x:c>
      <x:c r="I91" s="36" t="n">
        <x:v>26750000</x:v>
      </x:c>
      <x:c r="J91" s="36" t="n">
        <x:v>0</x:v>
      </x:c>
      <x:c r="K91" s="36" t="n">
        <x:v>1</x:v>
      </x:c>
      <x:c r="L91" s="2" t="str">
        <x:v>9699311</x:v>
      </x:c>
      <x:c r="M91" s="2" t="str">
        <x:v>SBLK_PROSPECTUS;SBLK_APPRAISAL</x:v>
      </x:c>
      <x:c r="N91" s="2" t="str">
        <x:v>observed</x:v>
      </x:c>
      <x:c r="O91" s="32" t="n">
        <x:f>DATE(F91+'Assumptions'!$D$50,7,1)</x:f>
        <x:v>51318</x:v>
      </x:c>
      <x:c r="P91" s="34" t="n">
        <x:f>I91*'Assumptions'!$D$45</x:f>
        <x:v>26750000</x:v>
      </x:c>
      <x:c r="Q91" s="34" t="n">
        <x:f>J91*'Assumptions'!$D$110</x:f>
        <x:v>0</x:v>
      </x:c>
      <x:c r="R91" s="2" t="str"/>
    </x:row>
    <x:row r="92" ht="21" customHeight="1">
      <x:c r="A92" s="2"/>
      <x:c r="B92" s="2"/>
      <x:c r="C92" s="2" t="str">
        <x:v>Star Dublin</x:v>
      </x:c>
      <x:c r="D92" s="2" t="str">
        <x:v>Ultramax</x:v>
      </x:c>
      <x:c r="E92" s="26" t="n">
        <x:v>63550</x:v>
      </x:c>
      <x:c r="F92" s="26" t="n">
        <x:v>2015</x:v>
      </x:c>
      <x:c r="G92" s="35" t="n">
        <x:v>45391</x:v>
      </x:c>
      <x:c r="H92" s="35" t="n">
        <x:v>46203</x:v>
      </x:c>
      <x:c r="I92" s="36" t="n">
        <x:v>26750000</x:v>
      </x:c>
      <x:c r="J92" s="36" t="n">
        <x:v>0</x:v>
      </x:c>
      <x:c r="K92" s="36" t="n">
        <x:v>1</x:v>
      </x:c>
      <x:c r="L92" s="2" t="str">
        <x:v>9699323</x:v>
      </x:c>
      <x:c r="M92" s="2" t="str">
        <x:v>SBLK_PROSPECTUS;SBLK_APPRAISAL</x:v>
      </x:c>
      <x:c r="N92" s="2" t="str">
        <x:v>observed</x:v>
      </x:c>
      <x:c r="O92" s="32" t="n">
        <x:f>DATE(F92+'Assumptions'!$D$50,7,1)</x:f>
        <x:v>51318</x:v>
      </x:c>
      <x:c r="P92" s="34" t="n">
        <x:f>I92*'Assumptions'!$D$45</x:f>
        <x:v>26750000</x:v>
      </x:c>
      <x:c r="Q92" s="34" t="n">
        <x:f>J92*'Assumptions'!$D$110</x:f>
        <x:v>0</x:v>
      </x:c>
      <x:c r="R92" s="2" t="str"/>
    </x:row>
    <x:row r="93" ht="21" customHeight="1">
      <x:c r="A93" s="2"/>
      <x:c r="B93" s="2"/>
      <x:c r="C93" s="2" t="str">
        <x:v>Star Santos</x:v>
      </x:c>
      <x:c r="D93" s="2" t="str">
        <x:v>Ultramax</x:v>
      </x:c>
      <x:c r="E93" s="26" t="n">
        <x:v>63536</x:v>
      </x:c>
      <x:c r="F93" s="26" t="n">
        <x:v>2015</x:v>
      </x:c>
      <x:c r="G93" s="35" t="n">
        <x:v>45391</x:v>
      </x:c>
      <x:c r="H93" s="35" t="n">
        <x:v>46203</x:v>
      </x:c>
      <x:c r="I93" s="36" t="n">
        <x:v>26750000</x:v>
      </x:c>
      <x:c r="J93" s="36" t="n">
        <x:v>0</x:v>
      </x:c>
      <x:c r="K93" s="36" t="n">
        <x:v>1</x:v>
      </x:c>
      <x:c r="L93" s="2" t="str">
        <x:v>9699347</x:v>
      </x:c>
      <x:c r="M93" s="2" t="str">
        <x:v>SBLK_PROSPECTUS;SBLK_APPRAISAL</x:v>
      </x:c>
      <x:c r="N93" s="2" t="str">
        <x:v>observed</x:v>
      </x:c>
      <x:c r="O93" s="32" t="n">
        <x:f>DATE(F93+'Assumptions'!$D$50,7,1)</x:f>
        <x:v>51318</x:v>
      </x:c>
      <x:c r="P93" s="34" t="n">
        <x:f>I93*'Assumptions'!$D$45</x:f>
        <x:v>26750000</x:v>
      </x:c>
      <x:c r="Q93" s="34" t="n">
        <x:f>J93*'Assumptions'!$D$110</x:f>
        <x:v>0</x:v>
      </x:c>
      <x:c r="R93" s="2" t="str"/>
    </x:row>
    <x:row r="94" ht="21" customHeight="1">
      <x:c r="A94" s="2"/>
      <x:c r="B94" s="2"/>
      <x:c r="C94" s="2" t="str">
        <x:v>Star Antwerp</x:v>
      </x:c>
      <x:c r="D94" s="2" t="str">
        <x:v>Ultramax</x:v>
      </x:c>
      <x:c r="E94" s="26" t="n">
        <x:v>63530</x:v>
      </x:c>
      <x:c r="F94" s="26" t="n">
        <x:v>2015</x:v>
      </x:c>
      <x:c r="G94" s="35" t="n">
        <x:v>45391</x:v>
      </x:c>
      <x:c r="H94" s="35" t="n">
        <x:v>46203</x:v>
      </x:c>
      <x:c r="I94" s="36" t="n">
        <x:v>26750000</x:v>
      </x:c>
      <x:c r="J94" s="36" t="n">
        <x:v>0</x:v>
      </x:c>
      <x:c r="K94" s="36" t="n">
        <x:v>1</x:v>
      </x:c>
      <x:c r="L94" s="2" t="str">
        <x:v>9699036</x:v>
      </x:c>
      <x:c r="M94" s="2" t="str">
        <x:v>SBLK_PROSPECTUS;SBLK_APPRAISAL</x:v>
      </x:c>
      <x:c r="N94" s="2" t="str">
        <x:v>observed</x:v>
      </x:c>
      <x:c r="O94" s="32" t="n">
        <x:f>DATE(F94+'Assumptions'!$D$50,7,1)</x:f>
        <x:v>51318</x:v>
      </x:c>
      <x:c r="P94" s="34" t="n">
        <x:f>I94*'Assumptions'!$D$45</x:f>
        <x:v>26750000</x:v>
      </x:c>
      <x:c r="Q94" s="34" t="n">
        <x:f>J94*'Assumptions'!$D$110</x:f>
        <x:v>0</x:v>
      </x:c>
      <x:c r="R94" s="2" t="str"/>
    </x:row>
    <x:row r="95" ht="21" customHeight="1">
      <x:c r="A95" s="2"/>
      <x:c r="B95" s="2"/>
      <x:c r="C95" s="2" t="str">
        <x:v>Star Sydney</x:v>
      </x:c>
      <x:c r="D95" s="2" t="str">
        <x:v>Ultramax</x:v>
      </x:c>
      <x:c r="E95" s="26" t="n">
        <x:v>63523</x:v>
      </x:c>
      <x:c r="F95" s="26" t="n">
        <x:v>2015</x:v>
      </x:c>
      <x:c r="G95" s="35" t="n">
        <x:v>45391</x:v>
      </x:c>
      <x:c r="H95" s="35" t="n">
        <x:v>46203</x:v>
      </x:c>
      <x:c r="I95" s="36" t="n">
        <x:v>26750000</x:v>
      </x:c>
      <x:c r="J95" s="36" t="n">
        <x:v>0</x:v>
      </x:c>
      <x:c r="K95" s="36" t="n">
        <x:v>1</x:v>
      </x:c>
      <x:c r="L95" s="2" t="str">
        <x:v>9699373</x:v>
      </x:c>
      <x:c r="M95" s="2" t="str">
        <x:v>SBLK_PROSPECTUS;SBLK_APPRAISAL</x:v>
      </x:c>
      <x:c r="N95" s="2" t="str">
        <x:v>observed</x:v>
      </x:c>
      <x:c r="O95" s="32" t="n">
        <x:f>DATE(F95+'Assumptions'!$D$50,7,1)</x:f>
        <x:v>51318</x:v>
      </x:c>
      <x:c r="P95" s="34" t="n">
        <x:f>I95*'Assumptions'!$D$45</x:f>
        <x:v>26750000</x:v>
      </x:c>
      <x:c r="Q95" s="34" t="n">
        <x:f>J95*'Assumptions'!$D$110</x:f>
        <x:v>0</x:v>
      </x:c>
      <x:c r="R95" s="2" t="str"/>
    </x:row>
    <x:row r="96" ht="21" customHeight="1">
      <x:c r="A96" s="2"/>
      <x:c r="B96" s="2"/>
      <x:c r="C96" s="2" t="str">
        <x:v>Star Copenhagen</x:v>
      </x:c>
      <x:c r="D96" s="2" t="str">
        <x:v>Ultramax</x:v>
      </x:c>
      <x:c r="E96" s="26" t="n">
        <x:v>63495</x:v>
      </x:c>
      <x:c r="F96" s="26" t="n">
        <x:v>2015</x:v>
      </x:c>
      <x:c r="G96" s="35" t="n">
        <x:v>45391</x:v>
      </x:c>
      <x:c r="H96" s="35" t="n">
        <x:v>46203</x:v>
      </x:c>
      <x:c r="I96" s="36" t="n">
        <x:v>26750000</x:v>
      </x:c>
      <x:c r="J96" s="36" t="n">
        <x:v>0</x:v>
      </x:c>
      <x:c r="K96" s="36" t="n">
        <x:v>1</x:v>
      </x:c>
      <x:c r="L96" s="2" t="str">
        <x:v>9699359</x:v>
      </x:c>
      <x:c r="M96" s="2" t="str">
        <x:v>SBLK_PROSPECTUS;SBLK_APPRAISAL</x:v>
      </x:c>
      <x:c r="N96" s="2" t="str">
        <x:v>observed</x:v>
      </x:c>
      <x:c r="O96" s="32" t="n">
        <x:f>DATE(F96+'Assumptions'!$D$50,7,1)</x:f>
        <x:v>51318</x:v>
      </x:c>
      <x:c r="P96" s="34" t="n">
        <x:f>I96*'Assumptions'!$D$45</x:f>
        <x:v>26750000</x:v>
      </x:c>
      <x:c r="Q96" s="34" t="n">
        <x:f>J96*'Assumptions'!$D$110</x:f>
        <x:v>0</x:v>
      </x:c>
      <x:c r="R96" s="2" t="str"/>
    </x:row>
    <x:row r="97" ht="21" customHeight="1">
      <x:c r="A97" s="2"/>
      <x:c r="B97" s="2"/>
      <x:c r="C97" s="2" t="str">
        <x:v>Star Hong Kong</x:v>
      </x:c>
      <x:c r="D97" s="2" t="str">
        <x:v>Ultramax</x:v>
      </x:c>
      <x:c r="E97" s="26" t="n">
        <x:v>63472</x:v>
      </x:c>
      <x:c r="F97" s="26" t="n">
        <x:v>2016</x:v>
      </x:c>
      <x:c r="G97" s="35" t="n">
        <x:v>45391</x:v>
      </x:c>
      <x:c r="H97" s="35" t="n">
        <x:v>46203</x:v>
      </x:c>
      <x:c r="I97" s="36" t="n">
        <x:v>27500000</x:v>
      </x:c>
      <x:c r="J97" s="36" t="n">
        <x:v>0</x:v>
      </x:c>
      <x:c r="K97" s="36" t="n">
        <x:v>1</x:v>
      </x:c>
      <x:c r="L97" s="2" t="str">
        <x:v>9743590</x:v>
      </x:c>
      <x:c r="M97" s="2" t="str">
        <x:v>SBLK_PROSPECTUS;SBLK_APPRAISAL</x:v>
      </x:c>
      <x:c r="N97" s="2" t="str">
        <x:v>observed</x:v>
      </x:c>
      <x:c r="O97" s="32" t="n">
        <x:f>DATE(F97+'Assumptions'!$D$50,7,1)</x:f>
        <x:v>51683</x:v>
      </x:c>
      <x:c r="P97" s="34" t="n">
        <x:f>I97*'Assumptions'!$D$45</x:f>
        <x:v>27500000</x:v>
      </x:c>
      <x:c r="Q97" s="34" t="n">
        <x:f>J97*'Assumptions'!$D$110</x:f>
        <x:v>0</x:v>
      </x:c>
      <x:c r="R97" s="2" t="str"/>
    </x:row>
    <x:row r="98" ht="21" customHeight="1">
      <x:c r="A98" s="2"/>
      <x:c r="B98" s="2"/>
      <x:c r="C98" s="2" t="str">
        <x:v>Idee Fixe</x:v>
      </x:c>
      <x:c r="D98" s="2" t="str">
        <x:v>Ultramax</x:v>
      </x:c>
      <x:c r="E98" s="26" t="n">
        <x:v>63458</x:v>
      </x:c>
      <x:c r="F98" s="26" t="n">
        <x:v>2015</x:v>
      </x:c>
      <x:c r="G98" s="35" t="n">
        <x:v>42088</x:v>
      </x:c>
      <x:c r="H98" s="35" t="n">
        <x:v>46203</x:v>
      </x:c>
      <x:c r="I98" s="36" t="n">
        <x:v>26750000</x:v>
      </x:c>
      <x:c r="J98" s="36" t="n">
        <x:v>0</x:v>
      </x:c>
      <x:c r="K98" s="36" t="n">
        <x:v>1</x:v>
      </x:c>
      <x:c r="L98" s="2" t="str">
        <x:v>9700677</x:v>
      </x:c>
      <x:c r="M98" s="2" t="str">
        <x:v>SBLK_PROSPECTUS;SBLK_APPRAISAL</x:v>
      </x:c>
      <x:c r="N98" s="2" t="str">
        <x:v>observed</x:v>
      </x:c>
      <x:c r="O98" s="32" t="n">
        <x:f>DATE(F98+'Assumptions'!$D$50,7,1)</x:f>
        <x:v>51318</x:v>
      </x:c>
      <x:c r="P98" s="34" t="n">
        <x:f>I98*'Assumptions'!$D$45</x:f>
        <x:v>26750000</x:v>
      </x:c>
      <x:c r="Q98" s="34" t="n">
        <x:f>J98*'Assumptions'!$D$110</x:f>
        <x:v>0</x:v>
      </x:c>
      <x:c r="R98" s="2" t="str"/>
    </x:row>
    <x:row r="99" ht="21" customHeight="1">
      <x:c r="A99" s="2"/>
      <x:c r="B99" s="2"/>
      <x:c r="C99" s="2" t="str">
        <x:v>Star Shanghai</x:v>
      </x:c>
      <x:c r="D99" s="2" t="str">
        <x:v>Ultramax</x:v>
      </x:c>
      <x:c r="E99" s="26" t="n">
        <x:v>63438</x:v>
      </x:c>
      <x:c r="F99" s="26" t="n">
        <x:v>2016</x:v>
      </x:c>
      <x:c r="G99" s="35" t="n">
        <x:v>45391</x:v>
      </x:c>
      <x:c r="H99" s="35" t="n">
        <x:v>46203</x:v>
      </x:c>
      <x:c r="I99" s="36" t="n">
        <x:v>27500000</x:v>
      </x:c>
      <x:c r="J99" s="36" t="n">
        <x:v>0</x:v>
      </x:c>
      <x:c r="K99" s="36" t="n">
        <x:v>1</x:v>
      </x:c>
      <x:c r="L99" s="2" t="str">
        <x:v>9743588</x:v>
      </x:c>
      <x:c r="M99" s="2" t="str">
        <x:v>SBLK_PROSPECTUS;SBLK_APPRAISAL</x:v>
      </x:c>
      <x:c r="N99" s="2" t="str">
        <x:v>observed</x:v>
      </x:c>
      <x:c r="O99" s="32" t="n">
        <x:f>DATE(F99+'Assumptions'!$D$50,7,1)</x:f>
        <x:v>51683</x:v>
      </x:c>
      <x:c r="P99" s="34" t="n">
        <x:f>I99*'Assumptions'!$D$45</x:f>
        <x:v>27500000</x:v>
      </x:c>
      <x:c r="Q99" s="34" t="n">
        <x:f>J99*'Assumptions'!$D$110</x:f>
        <x:v>0</x:v>
      </x:c>
      <x:c r="R99" s="2" t="str"/>
    </x:row>
    <x:row r="100" ht="21" customHeight="1">
      <x:c r="A100" s="2"/>
      <x:c r="B100" s="2"/>
      <x:c r="C100" s="2" t="str">
        <x:v>Star Roberta</x:v>
      </x:c>
      <x:c r="D100" s="2" t="str">
        <x:v>Ultramax</x:v>
      </x:c>
      <x:c r="E100" s="26" t="n">
        <x:v>63426</x:v>
      </x:c>
      <x:c r="F100" s="26" t="n">
        <x:v>2015</x:v>
      </x:c>
      <x:c r="G100" s="35" t="n">
        <x:v>42094</x:v>
      </x:c>
      <x:c r="H100" s="35" t="n">
        <x:v>46203</x:v>
      </x:c>
      <x:c r="I100" s="36" t="n">
        <x:v>26750000</x:v>
      </x:c>
      <x:c r="J100" s="36" t="n">
        <x:v>0</x:v>
      </x:c>
      <x:c r="K100" s="36" t="n">
        <x:v>1</x:v>
      </x:c>
      <x:c r="L100" s="2" t="str">
        <x:v>9700653</x:v>
      </x:c>
      <x:c r="M100" s="2" t="str">
        <x:v>SBLK_PROSPECTUS;SBLK_APPRAISAL</x:v>
      </x:c>
      <x:c r="N100" s="2" t="str">
        <x:v>observed</x:v>
      </x:c>
      <x:c r="O100" s="32" t="n">
        <x:f>DATE(F100+'Assumptions'!$D$50,7,1)</x:f>
        <x:v>51318</x:v>
      </x:c>
      <x:c r="P100" s="34" t="n">
        <x:f>I100*'Assumptions'!$D$45</x:f>
        <x:v>26750000</x:v>
      </x:c>
      <x:c r="Q100" s="34" t="n">
        <x:f>J100*'Assumptions'!$D$110</x:f>
        <x:v>0</x:v>
      </x:c>
      <x:c r="R100" s="2" t="str">
        <x:v>Appraisal name: Roberta</x:v>
      </x:c>
    </x:row>
    <x:row r="101" ht="21" customHeight="1">
      <x:c r="A101" s="2"/>
      <x:c r="B101" s="2"/>
      <x:c r="C101" s="2" t="str">
        <x:v>Laura</x:v>
      </x:c>
      <x:c r="D101" s="2" t="str">
        <x:v>Ultramax</x:v>
      </x:c>
      <x:c r="E101" s="26" t="n">
        <x:v>63399</x:v>
      </x:c>
      <x:c r="F101" s="26" t="n">
        <x:v>2015</x:v>
      </x:c>
      <x:c r="G101" s="35" t="n">
        <x:v>42101</x:v>
      </x:c>
      <x:c r="H101" s="35" t="n">
        <x:v>46203</x:v>
      </x:c>
      <x:c r="I101" s="36" t="n">
        <x:v>26750000</x:v>
      </x:c>
      <x:c r="J101" s="36" t="n">
        <x:v>0</x:v>
      </x:c>
      <x:c r="K101" s="36" t="n">
        <x:v>1</x:v>
      </x:c>
      <x:c r="L101" s="2" t="str">
        <x:v>9700665</x:v>
      </x:c>
      <x:c r="M101" s="2" t="str">
        <x:v>SBLK_PROSPECTUS;SBLK_APPRAISAL</x:v>
      </x:c>
      <x:c r="N101" s="2" t="str">
        <x:v>observed</x:v>
      </x:c>
      <x:c r="O101" s="32" t="n">
        <x:f>DATE(F101+'Assumptions'!$D$50,7,1)</x:f>
        <x:v>51318</x:v>
      </x:c>
      <x:c r="P101" s="34" t="n">
        <x:f>I101*'Assumptions'!$D$45</x:f>
        <x:v>26750000</x:v>
      </x:c>
      <x:c r="Q101" s="34" t="n">
        <x:f>J101*'Assumptions'!$D$110</x:f>
        <x:v>0</x:v>
      </x:c>
      <x:c r="R101" s="2" t="str"/>
    </x:row>
    <x:row r="102" ht="21" customHeight="1">
      <x:c r="A102" s="2"/>
      <x:c r="B102" s="2"/>
      <x:c r="C102" s="2" t="str">
        <x:v>Star Singapore</x:v>
      </x:c>
      <x:c r="D102" s="2" t="str">
        <x:v>Ultramax</x:v>
      </x:c>
      <x:c r="E102" s="26" t="n">
        <x:v>63386</x:v>
      </x:c>
      <x:c r="F102" s="26" t="n">
        <x:v>2017</x:v>
      </x:c>
      <x:c r="G102" s="35" t="n">
        <x:v>45391</x:v>
      </x:c>
      <x:c r="H102" s="35" t="n">
        <x:v>46203</x:v>
      </x:c>
      <x:c r="I102" s="36" t="n">
        <x:v>29000000</x:v>
      </x:c>
      <x:c r="J102" s="36" t="n">
        <x:v>0</x:v>
      </x:c>
      <x:c r="K102" s="36" t="n">
        <x:v>1</x:v>
      </x:c>
      <x:c r="L102" s="2" t="str">
        <x:v>9788100</x:v>
      </x:c>
      <x:c r="M102" s="2" t="str">
        <x:v>SBLK_PROSPECTUS;SBLK_APPRAISAL</x:v>
      </x:c>
      <x:c r="N102" s="2" t="str">
        <x:v>observed</x:v>
      </x:c>
      <x:c r="O102" s="32" t="n">
        <x:f>DATE(F102+'Assumptions'!$D$50,7,1)</x:f>
        <x:v>52048</x:v>
      </x:c>
      <x:c r="P102" s="34" t="n">
        <x:f>I102*'Assumptions'!$D$45</x:f>
        <x:v>29000000</x:v>
      </x:c>
      <x:c r="Q102" s="34" t="n">
        <x:f>J102*'Assumptions'!$D$110</x:f>
        <x:v>0</x:v>
      </x:c>
      <x:c r="R102" s="2" t="str"/>
    </x:row>
    <x:row r="103" ht="21" customHeight="1">
      <x:c r="A103" s="2"/>
      <x:c r="B103" s="2"/>
      <x:c r="C103" s="2" t="str">
        <x:v>Star Westport</x:v>
      </x:c>
      <x:c r="D103" s="2" t="str">
        <x:v>Ultramax</x:v>
      </x:c>
      <x:c r="E103" s="26" t="n">
        <x:v>63344</x:v>
      </x:c>
      <x:c r="F103" s="26" t="n">
        <x:v>2015</x:v>
      </x:c>
      <x:c r="G103" s="35" t="n">
        <x:v>45391</x:v>
      </x:c>
      <x:c r="H103" s="35" t="n">
        <x:v>46203</x:v>
      </x:c>
      <x:c r="I103" s="36" t="n">
        <x:v>26750000</x:v>
      </x:c>
      <x:c r="J103" s="36" t="n">
        <x:v>0</x:v>
      </x:c>
      <x:c r="K103" s="36" t="n">
        <x:v>1</x:v>
      </x:c>
      <x:c r="L103" s="2" t="str">
        <x:v>9705988</x:v>
      </x:c>
      <x:c r="M103" s="2" t="str">
        <x:v>SBLK_PROSPECTUS;SBLK_APPRAISAL</x:v>
      </x:c>
      <x:c r="N103" s="2" t="str">
        <x:v>observed</x:v>
      </x:c>
      <x:c r="O103" s="32" t="n">
        <x:f>DATE(F103+'Assumptions'!$D$50,7,1)</x:f>
        <x:v>51318</x:v>
      </x:c>
      <x:c r="P103" s="34" t="n">
        <x:f>I103*'Assumptions'!$D$45</x:f>
        <x:v>26750000</x:v>
      </x:c>
      <x:c r="Q103" s="34" t="n">
        <x:f>J103*'Assumptions'!$D$110</x:f>
        <x:v>0</x:v>
      </x:c>
      <x:c r="R103" s="2" t="str"/>
    </x:row>
    <x:row r="104" ht="21" customHeight="1">
      <x:c r="A104" s="2"/>
      <x:c r="B104" s="2"/>
      <x:c r="C104" s="2" t="str">
        <x:v>Star Hamburg</x:v>
      </x:c>
      <x:c r="D104" s="2" t="str">
        <x:v>Ultramax</x:v>
      </x:c>
      <x:c r="E104" s="26" t="n">
        <x:v>63334</x:v>
      </x:c>
      <x:c r="F104" s="26" t="n">
        <x:v>2014</x:v>
      </x:c>
      <x:c r="G104" s="35" t="n">
        <x:v>45391</x:v>
      </x:c>
      <x:c r="H104" s="35" t="n">
        <x:v>46203</x:v>
      </x:c>
      <x:c r="I104" s="36" t="n">
        <x:v>25500000</x:v>
      </x:c>
      <x:c r="J104" s="36" t="n">
        <x:v>0</x:v>
      </x:c>
      <x:c r="K104" s="36" t="n">
        <x:v>1</x:v>
      </x:c>
      <x:c r="L104" s="2" t="str">
        <x:v>9698587</x:v>
      </x:c>
      <x:c r="M104" s="2" t="str">
        <x:v>SBLK_PROSPECTUS;SBLK_APPRAISAL</x:v>
      </x:c>
      <x:c r="N104" s="2" t="str">
        <x:v>observed</x:v>
      </x:c>
      <x:c r="O104" s="32" t="n">
        <x:f>DATE(F104+'Assumptions'!$D$50,7,1)</x:f>
        <x:v>50952</x:v>
      </x:c>
      <x:c r="P104" s="34" t="n">
        <x:f>I104*'Assumptions'!$D$45</x:f>
        <x:v>25500000</x:v>
      </x:c>
      <x:c r="Q104" s="34" t="n">
        <x:f>J104*'Assumptions'!$D$110</x:f>
        <x:v>0</x:v>
      </x:c>
      <x:c r="R104" s="2" t="str"/>
    </x:row>
    <x:row r="105" ht="21" customHeight="1">
      <x:c r="A105" s="2"/>
      <x:c r="B105" s="2"/>
      <x:c r="C105" s="2" t="str">
        <x:v>Star Fairfield</x:v>
      </x:c>
      <x:c r="D105" s="2" t="str">
        <x:v>Ultramax</x:v>
      </x:c>
      <x:c r="E105" s="26" t="n">
        <x:v>63301</x:v>
      </x:c>
      <x:c r="F105" s="26" t="n">
        <x:v>2013</x:v>
      </x:c>
      <x:c r="G105" s="35" t="n">
        <x:v>45391</x:v>
      </x:c>
      <x:c r="H105" s="35" t="n">
        <x:v>46203</x:v>
      </x:c>
      <x:c r="I105" s="36" t="n">
        <x:v>24500000</x:v>
      </x:c>
      <x:c r="J105" s="36" t="n">
        <x:v>0</x:v>
      </x:c>
      <x:c r="K105" s="36" t="n">
        <x:v>1</x:v>
      </x:c>
      <x:c r="L105" s="2" t="str">
        <x:v>9575230</x:v>
      </x:c>
      <x:c r="M105" s="2" t="str">
        <x:v>SBLK_PROSPECTUS;SBLK_APPRAISAL</x:v>
      </x:c>
      <x:c r="N105" s="2" t="str">
        <x:v>observed</x:v>
      </x:c>
      <x:c r="O105" s="32" t="n">
        <x:f>DATE(F105+'Assumptions'!$D$50,7,1)</x:f>
        <x:v>50587</x:v>
      </x:c>
      <x:c r="P105" s="34" t="n">
        <x:f>I105*'Assumptions'!$D$45</x:f>
        <x:v>24500000</x:v>
      </x:c>
      <x:c r="Q105" s="34" t="n">
        <x:f>J105*'Assumptions'!$D$110</x:f>
        <x:v>0</x:v>
      </x:c>
      <x:c r="R105" s="2" t="str"/>
    </x:row>
    <x:row r="106" ht="21" customHeight="1">
      <x:c r="A106" s="2"/>
      <x:c r="B106" s="2"/>
      <x:c r="C106" s="2" t="str">
        <x:v>Star Greenwich</x:v>
      </x:c>
      <x:c r="D106" s="2" t="str">
        <x:v>Ultramax</x:v>
      </x:c>
      <x:c r="E106" s="26" t="n">
        <x:v>63301</x:v>
      </x:c>
      <x:c r="F106" s="26" t="n">
        <x:v>2013</x:v>
      </x:c>
      <x:c r="G106" s="35" t="n">
        <x:v>45391</x:v>
      </x:c>
      <x:c r="H106" s="35" t="n">
        <x:v>46203</x:v>
      </x:c>
      <x:c r="I106" s="36" t="n">
        <x:v>24500000</x:v>
      </x:c>
      <x:c r="J106" s="36" t="n">
        <x:v>0</x:v>
      </x:c>
      <x:c r="K106" s="36" t="n">
        <x:v>1</x:v>
      </x:c>
      <x:c r="L106" s="2" t="str">
        <x:v>9575266</x:v>
      </x:c>
      <x:c r="M106" s="2" t="str">
        <x:v>SBLK_PROSPECTUS;SBLK_APPRAISAL</x:v>
      </x:c>
      <x:c r="N106" s="2" t="str">
        <x:v>observed</x:v>
      </x:c>
      <x:c r="O106" s="32" t="n">
        <x:f>DATE(F106+'Assumptions'!$D$50,7,1)</x:f>
        <x:v>50587</x:v>
      </x:c>
      <x:c r="P106" s="34" t="n">
        <x:f>I106*'Assumptions'!$D$45</x:f>
        <x:v>24500000</x:v>
      </x:c>
      <x:c r="Q106" s="34" t="n">
        <x:f>J106*'Assumptions'!$D$110</x:f>
        <x:v>0</x:v>
      </x:c>
      <x:c r="R106" s="2" t="str"/>
    </x:row>
    <x:row r="107" ht="21" customHeight="1">
      <x:c r="A107" s="2"/>
      <x:c r="B107" s="2"/>
      <x:c r="C107" s="2" t="str">
        <x:v>Star Groton</x:v>
      </x:c>
      <x:c r="D107" s="2" t="str">
        <x:v>Ultramax</x:v>
      </x:c>
      <x:c r="E107" s="26" t="n">
        <x:v>63301</x:v>
      </x:c>
      <x:c r="F107" s="26" t="n">
        <x:v>2013</x:v>
      </x:c>
      <x:c r="G107" s="35" t="n">
        <x:v>45391</x:v>
      </x:c>
      <x:c r="H107" s="35" t="n">
        <x:v>46203</x:v>
      </x:c>
      <x:c r="I107" s="36" t="n">
        <x:v>24500000</x:v>
      </x:c>
      <x:c r="J107" s="36" t="n">
        <x:v>0</x:v>
      </x:c>
      <x:c r="K107" s="36" t="n">
        <x:v>1</x:v>
      </x:c>
      <x:c r="L107" s="2" t="str">
        <x:v>9575242</x:v>
      </x:c>
      <x:c r="M107" s="2" t="str">
        <x:v>SBLK_PROSPECTUS;SBLK_APPRAISAL</x:v>
      </x:c>
      <x:c r="N107" s="2" t="str">
        <x:v>observed</x:v>
      </x:c>
      <x:c r="O107" s="32" t="n">
        <x:f>DATE(F107+'Assumptions'!$D$50,7,1)</x:f>
        <x:v>50587</x:v>
      </x:c>
      <x:c r="P107" s="34" t="n">
        <x:f>I107*'Assumptions'!$D$45</x:f>
        <x:v>24500000</x:v>
      </x:c>
      <x:c r="Q107" s="34" t="n">
        <x:f>J107*'Assumptions'!$D$110</x:f>
        <x:v>0</x:v>
      </x:c>
      <x:c r="R107" s="2" t="str"/>
    </x:row>
    <x:row r="108" ht="21" customHeight="1">
      <x:c r="A108" s="2"/>
      <x:c r="B108" s="2"/>
      <x:c r="C108" s="2" t="str">
        <x:v>Star Madison</x:v>
      </x:c>
      <x:c r="D108" s="2" t="str">
        <x:v>Ultramax</x:v>
      </x:c>
      <x:c r="E108" s="26" t="n">
        <x:v>63301</x:v>
      </x:c>
      <x:c r="F108" s="26" t="n">
        <x:v>2013</x:v>
      </x:c>
      <x:c r="G108" s="35" t="n">
        <x:v>45391</x:v>
      </x:c>
      <x:c r="H108" s="35" t="n">
        <x:v>46203</x:v>
      </x:c>
      <x:c r="I108" s="36" t="n">
        <x:v>24500000</x:v>
      </x:c>
      <x:c r="J108" s="36" t="n">
        <x:v>0</x:v>
      </x:c>
      <x:c r="K108" s="36" t="n">
        <x:v>1</x:v>
      </x:c>
      <x:c r="L108" s="2" t="str">
        <x:v>9575278</x:v>
      </x:c>
      <x:c r="M108" s="2" t="str">
        <x:v>SBLK_PROSPECTUS;SBLK_APPRAISAL</x:v>
      </x:c>
      <x:c r="N108" s="2" t="str">
        <x:v>observed</x:v>
      </x:c>
      <x:c r="O108" s="32" t="n">
        <x:f>DATE(F108+'Assumptions'!$D$50,7,1)</x:f>
        <x:v>50587</x:v>
      </x:c>
      <x:c r="P108" s="34" t="n">
        <x:f>I108*'Assumptions'!$D$45</x:f>
        <x:v>24500000</x:v>
      </x:c>
      <x:c r="Q108" s="34" t="n">
        <x:f>J108*'Assumptions'!$D$110</x:f>
        <x:v>0</x:v>
      </x:c>
      <x:c r="R108" s="2" t="str"/>
    </x:row>
    <x:row r="109" ht="21" customHeight="1">
      <x:c r="A109" s="2"/>
      <x:c r="B109" s="2"/>
      <x:c r="C109" s="2" t="str">
        <x:v>Star Mystic</x:v>
      </x:c>
      <x:c r="D109" s="2" t="str">
        <x:v>Ultramax</x:v>
      </x:c>
      <x:c r="E109" s="26" t="n">
        <x:v>63301</x:v>
      </x:c>
      <x:c r="F109" s="26" t="n">
        <x:v>2013</x:v>
      </x:c>
      <x:c r="G109" s="35" t="n">
        <x:v>45391</x:v>
      </x:c>
      <x:c r="H109" s="35" t="n">
        <x:v>46203</x:v>
      </x:c>
      <x:c r="I109" s="36" t="n">
        <x:v>24500000</x:v>
      </x:c>
      <x:c r="J109" s="36" t="n">
        <x:v>0</x:v>
      </x:c>
      <x:c r="K109" s="36" t="n">
        <x:v>1</x:v>
      </x:c>
      <x:c r="L109" s="2" t="str">
        <x:v>9575204</x:v>
      </x:c>
      <x:c r="M109" s="2" t="str">
        <x:v>SBLK_PROSPECTUS;SBLK_APPRAISAL</x:v>
      </x:c>
      <x:c r="N109" s="2" t="str">
        <x:v>observed</x:v>
      </x:c>
      <x:c r="O109" s="32" t="n">
        <x:f>DATE(F109+'Assumptions'!$D$50,7,1)</x:f>
        <x:v>50587</x:v>
      </x:c>
      <x:c r="P109" s="34" t="n">
        <x:f>I109*'Assumptions'!$D$45</x:f>
        <x:v>24500000</x:v>
      </x:c>
      <x:c r="Q109" s="34" t="n">
        <x:f>J109*'Assumptions'!$D$110</x:f>
        <x:v>0</x:v>
      </x:c>
      <x:c r="R109" s="2" t="str"/>
    </x:row>
    <x:row r="110" ht="21" customHeight="1">
      <x:c r="A110" s="2"/>
      <x:c r="B110" s="2"/>
      <x:c r="C110" s="2" t="str">
        <x:v>Star Rowayton</x:v>
      </x:c>
      <x:c r="D110" s="2" t="str">
        <x:v>Ultramax</x:v>
      </x:c>
      <x:c r="E110" s="26" t="n">
        <x:v>63301</x:v>
      </x:c>
      <x:c r="F110" s="26" t="n">
        <x:v>2013</x:v>
      </x:c>
      <x:c r="G110" s="35" t="n">
        <x:v>45391</x:v>
      </x:c>
      <x:c r="H110" s="35" t="n">
        <x:v>46203</x:v>
      </x:c>
      <x:c r="I110" s="36" t="n">
        <x:v>24500000</x:v>
      </x:c>
      <x:c r="J110" s="36" t="n">
        <x:v>0</x:v>
      </x:c>
      <x:c r="K110" s="36" t="n">
        <x:v>1</x:v>
      </x:c>
      <x:c r="L110" s="2" t="str">
        <x:v>9575216</x:v>
      </x:c>
      <x:c r="M110" s="2" t="str">
        <x:v>SBLK_PROSPECTUS;SBLK_APPRAISAL</x:v>
      </x:c>
      <x:c r="N110" s="2" t="str">
        <x:v>observed</x:v>
      </x:c>
      <x:c r="O110" s="32" t="n">
        <x:f>DATE(F110+'Assumptions'!$D$50,7,1)</x:f>
        <x:v>50587</x:v>
      </x:c>
      <x:c r="P110" s="34" t="n">
        <x:f>I110*'Assumptions'!$D$45</x:f>
        <x:v>24500000</x:v>
      </x:c>
      <x:c r="Q110" s="34" t="n">
        <x:f>J110*'Assumptions'!$D$110</x:f>
        <x:v>0</x:v>
      </x:c>
      <x:c r="R110" s="2" t="str"/>
    </x:row>
    <x:row r="111" ht="21" customHeight="1">
      <x:c r="A111" s="2"/>
      <x:c r="B111" s="2"/>
      <x:c r="C111" s="2" t="str">
        <x:v>Star Southport</x:v>
      </x:c>
      <x:c r="D111" s="2" t="str">
        <x:v>Ultramax</x:v>
      </x:c>
      <x:c r="E111" s="26" t="n">
        <x:v>63301</x:v>
      </x:c>
      <x:c r="F111" s="26" t="n">
        <x:v>2013</x:v>
      </x:c>
      <x:c r="G111" s="35" t="n">
        <x:v>45391</x:v>
      </x:c>
      <x:c r="H111" s="35" t="n">
        <x:v>46203</x:v>
      </x:c>
      <x:c r="I111" s="36" t="n">
        <x:v>24500000</x:v>
      </x:c>
      <x:c r="J111" s="36" t="n">
        <x:v>0</x:v>
      </x:c>
      <x:c r="K111" s="36" t="n">
        <x:v>1</x:v>
      </x:c>
      <x:c r="L111" s="2" t="str">
        <x:v>9575228</x:v>
      </x:c>
      <x:c r="M111" s="2" t="str">
        <x:v>SBLK_PROSPECTUS;SBLK_APPRAISAL</x:v>
      </x:c>
      <x:c r="N111" s="2" t="str">
        <x:v>observed</x:v>
      </x:c>
      <x:c r="O111" s="32" t="n">
        <x:f>DATE(F111+'Assumptions'!$D$50,7,1)</x:f>
        <x:v>50587</x:v>
      </x:c>
      <x:c r="P111" s="34" t="n">
        <x:f>I111*'Assumptions'!$D$45</x:f>
        <x:v>24500000</x:v>
      </x:c>
      <x:c r="Q111" s="34" t="n">
        <x:f>J111*'Assumptions'!$D$110</x:f>
        <x:v>0</x:v>
      </x:c>
      <x:c r="R111" s="2" t="str"/>
    </x:row>
    <x:row r="112" ht="21" customHeight="1">
      <x:c r="A112" s="2"/>
      <x:c r="B112" s="2"/>
      <x:c r="C112" s="2" t="str">
        <x:v>Kaley</x:v>
      </x:c>
      <x:c r="D112" s="2" t="str">
        <x:v>Ultramax</x:v>
      </x:c>
      <x:c r="E112" s="26" t="n">
        <x:v>63283</x:v>
      </x:c>
      <x:c r="F112" s="26" t="n">
        <x:v>2015</x:v>
      </x:c>
      <x:c r="G112" s="35" t="n">
        <x:v>42181</x:v>
      </x:c>
      <x:c r="H112" s="35" t="n">
        <x:v>46203</x:v>
      </x:c>
      <x:c r="I112" s="36" t="n">
        <x:v>26750000</x:v>
      </x:c>
      <x:c r="J112" s="36" t="n">
        <x:v>0</x:v>
      </x:c>
      <x:c r="K112" s="36" t="n">
        <x:v>1</x:v>
      </x:c>
      <x:c r="L112" s="2" t="str">
        <x:v>9700689</x:v>
      </x:c>
      <x:c r="M112" s="2" t="str">
        <x:v>SBLK_PROSPECTUS;SBLK_APPRAISAL</x:v>
      </x:c>
      <x:c r="N112" s="2" t="str">
        <x:v>observed</x:v>
      </x:c>
      <x:c r="O112" s="32" t="n">
        <x:f>DATE(F112+'Assumptions'!$D$50,7,1)</x:f>
        <x:v>51318</x:v>
      </x:c>
      <x:c r="P112" s="34" t="n">
        <x:f>I112*'Assumptions'!$D$45</x:f>
        <x:v>26750000</x:v>
      </x:c>
      <x:c r="Q112" s="34" t="n">
        <x:f>J112*'Assumptions'!$D$110</x:f>
        <x:v>0</x:v>
      </x:c>
      <x:c r="R112" s="2" t="str"/>
    </x:row>
    <x:row r="113" ht="21" customHeight="1">
      <x:c r="A113" s="2"/>
      <x:c r="B113" s="2"/>
      <x:c r="C113" s="2" t="str">
        <x:v>Star Stockholm</x:v>
      </x:c>
      <x:c r="D113" s="2" t="str">
        <x:v>Ultramax</x:v>
      </x:c>
      <x:c r="E113" s="26" t="n">
        <x:v>63275</x:v>
      </x:c>
      <x:c r="F113" s="26" t="n">
        <x:v>2016</x:v>
      </x:c>
      <x:c r="G113" s="35" t="n">
        <x:v>45391</x:v>
      </x:c>
      <x:c r="H113" s="35" t="n">
        <x:v>46203</x:v>
      </x:c>
      <x:c r="I113" s="36" t="n">
        <x:v>27500000</x:v>
      </x:c>
      <x:c r="J113" s="36" t="n">
        <x:v>0</x:v>
      </x:c>
      <x:c r="K113" s="36" t="n">
        <x:v>1</x:v>
      </x:c>
      <x:c r="L113" s="2" t="str">
        <x:v>9704855</x:v>
      </x:c>
      <x:c r="M113" s="2" t="str">
        <x:v>SBLK_PROSPECTUS;SBLK_APPRAISAL</x:v>
      </x:c>
      <x:c r="N113" s="2" t="str">
        <x:v>observed</x:v>
      </x:c>
      <x:c r="O113" s="32" t="n">
        <x:f>DATE(F113+'Assumptions'!$D$50,7,1)</x:f>
        <x:v>51683</x:v>
      </x:c>
      <x:c r="P113" s="34" t="n">
        <x:f>I113*'Assumptions'!$D$45</x:f>
        <x:v>27500000</x:v>
      </x:c>
      <x:c r="Q113" s="34" t="n">
        <x:f>J113*'Assumptions'!$D$110</x:f>
        <x:v>0</x:v>
      </x:c>
      <x:c r="R113" s="2" t="str"/>
    </x:row>
    <x:row r="114" ht="21" customHeight="1">
      <x:c r="A114" s="2"/>
      <x:c r="B114" s="2"/>
      <x:c r="C114" s="2" t="str">
        <x:v>Kennadi</x:v>
      </x:c>
      <x:c r="D114" s="2" t="str">
        <x:v>Ultramax</x:v>
      </x:c>
      <x:c r="E114" s="26" t="n">
        <x:v>63262</x:v>
      </x:c>
      <x:c r="F114" s="26" t="n">
        <x:v>2016</x:v>
      </x:c>
      <x:c r="G114" s="35" t="n">
        <x:v>42377</x:v>
      </x:c>
      <x:c r="H114" s="35" t="n">
        <x:v>46203</x:v>
      </x:c>
      <x:c r="I114" s="36" t="n">
        <x:v>27500000</x:v>
      </x:c>
      <x:c r="J114" s="36" t="n">
        <x:v>0</x:v>
      </x:c>
      <x:c r="K114" s="36" t="n">
        <x:v>1</x:v>
      </x:c>
      <x:c r="L114" s="2" t="str">
        <x:v>9703576</x:v>
      </x:c>
      <x:c r="M114" s="2" t="str">
        <x:v>SBLK_PROSPECTUS;SBLK_APPRAISAL</x:v>
      </x:c>
      <x:c r="N114" s="2" t="str">
        <x:v>observed</x:v>
      </x:c>
      <x:c r="O114" s="32" t="n">
        <x:f>DATE(F114+'Assumptions'!$D$50,7,1)</x:f>
        <x:v>51683</x:v>
      </x:c>
      <x:c r="P114" s="34" t="n">
        <x:f>I114*'Assumptions'!$D$45</x:f>
        <x:v>27500000</x:v>
      </x:c>
      <x:c r="Q114" s="34" t="n">
        <x:f>J114*'Assumptions'!$D$110</x:f>
        <x:v>0</x:v>
      </x:c>
      <x:c r="R114" s="2" t="str"/>
    </x:row>
    <x:row r="115" ht="21" customHeight="1">
      <x:c r="A115" s="2"/>
      <x:c r="B115" s="2"/>
      <x:c r="C115" s="2" t="str">
        <x:v>Mackenzie</x:v>
      </x:c>
      <x:c r="D115" s="2" t="str">
        <x:v>Ultramax</x:v>
      </x:c>
      <x:c r="E115" s="26" t="n">
        <x:v>63226</x:v>
      </x:c>
      <x:c r="F115" s="26" t="n">
        <x:v>2016</x:v>
      </x:c>
      <x:c r="G115" s="35" t="n">
        <x:v>42431</x:v>
      </x:c>
      <x:c r="H115" s="35" t="n">
        <x:v>46203</x:v>
      </x:c>
      <x:c r="I115" s="36" t="n">
        <x:v>27500000</x:v>
      </x:c>
      <x:c r="J115" s="36" t="n">
        <x:v>0</x:v>
      </x:c>
      <x:c r="K115" s="36" t="n">
        <x:v>1</x:v>
      </x:c>
      <x:c r="L115" s="2" t="str">
        <x:v>9703588</x:v>
      </x:c>
      <x:c r="M115" s="2" t="str">
        <x:v>SBLK_PROSPECTUS;SBLK_APPRAISAL</x:v>
      </x:c>
      <x:c r="N115" s="2" t="str">
        <x:v>observed</x:v>
      </x:c>
      <x:c r="O115" s="32" t="n">
        <x:f>DATE(F115+'Assumptions'!$D$50,7,1)</x:f>
        <x:v>51683</x:v>
      </x:c>
      <x:c r="P115" s="34" t="n">
        <x:f>I115*'Assumptions'!$D$45</x:f>
        <x:v>27500000</x:v>
      </x:c>
      <x:c r="Q115" s="34" t="n">
        <x:f>J115*'Assumptions'!$D$110</x:f>
        <x:v>0</x:v>
      </x:c>
      <x:c r="R115" s="2" t="str"/>
    </x:row>
    <x:row r="116" ht="21" customHeight="1">
      <x:c r="A116" s="2"/>
      <x:c r="B116" s="2"/>
      <x:c r="C116" s="2" t="str">
        <x:v>Star New London</x:v>
      </x:c>
      <x:c r="D116" s="2" t="str">
        <x:v>Ultramax</x:v>
      </x:c>
      <x:c r="E116" s="26" t="n">
        <x:v>63140</x:v>
      </x:c>
      <x:c r="F116" s="26" t="n">
        <x:v>2015</x:v>
      </x:c>
      <x:c r="G116" s="35" t="n">
        <x:v>45391</x:v>
      </x:c>
      <x:c r="H116" s="35" t="n">
        <x:v>46203</x:v>
      </x:c>
      <x:c r="I116" s="36" t="n">
        <x:v>26750000</x:v>
      </x:c>
      <x:c r="J116" s="36" t="n">
        <x:v>0</x:v>
      </x:c>
      <x:c r="K116" s="36" t="n">
        <x:v>1</x:v>
      </x:c>
      <x:c r="L116" s="2" t="str">
        <x:v>9754991</x:v>
      </x:c>
      <x:c r="M116" s="2" t="str">
        <x:v>SBLK_PROSPECTUS;SBLK_APPRAISAL</x:v>
      </x:c>
      <x:c r="N116" s="2" t="str">
        <x:v>observed</x:v>
      </x:c>
      <x:c r="O116" s="32" t="n">
        <x:f>DATE(F116+'Assumptions'!$D$50,7,1)</x:f>
        <x:v>51318</x:v>
      </x:c>
      <x:c r="P116" s="34" t="n">
        <x:f>I116*'Assumptions'!$D$45</x:f>
        <x:v>26750000</x:v>
      </x:c>
      <x:c r="Q116" s="34" t="n">
        <x:f>J116*'Assumptions'!$D$110</x:f>
        <x:v>0</x:v>
      </x:c>
      <x:c r="R116" s="2" t="str"/>
    </x:row>
    <x:row r="117" ht="21" customHeight="1">
      <x:c r="A117" s="2"/>
      <x:c r="B117" s="2"/>
      <x:c r="C117" s="2" t="str">
        <x:v>Star Apus</x:v>
      </x:c>
      <x:c r="D117" s="2" t="str">
        <x:v>Ultramax</x:v>
      </x:c>
      <x:c r="E117" s="26" t="n">
        <x:v>63123</x:v>
      </x:c>
      <x:c r="F117" s="26" t="n">
        <x:v>2014</x:v>
      </x:c>
      <x:c r="G117" s="35" t="n">
        <x:v>43662</x:v>
      </x:c>
      <x:c r="H117" s="35" t="n">
        <x:v>46203</x:v>
      </x:c>
      <x:c r="I117" s="36" t="n">
        <x:v>25500000</x:v>
      </x:c>
      <x:c r="J117" s="36" t="n">
        <x:v>0</x:v>
      </x:c>
      <x:c r="K117" s="36" t="n">
        <x:v>1</x:v>
      </x:c>
      <x:c r="L117" s="2" t="str">
        <x:v>9698795</x:v>
      </x:c>
      <x:c r="M117" s="2" t="str">
        <x:v>SBLK_PROSPECTUS;SBLK_APPRAISAL</x:v>
      </x:c>
      <x:c r="N117" s="2" t="str">
        <x:v>observed</x:v>
      </x:c>
      <x:c r="O117" s="32" t="n">
        <x:f>DATE(F117+'Assumptions'!$D$50,7,1)</x:f>
        <x:v>50952</x:v>
      </x:c>
      <x:c r="P117" s="34" t="n">
        <x:f>I117*'Assumptions'!$D$45</x:f>
        <x:v>25500000</x:v>
      </x:c>
      <x:c r="Q117" s="34" t="n">
        <x:f>J117*'Assumptions'!$D$110</x:f>
        <x:v>0</x:v>
      </x:c>
      <x:c r="R117" s="2" t="str"/>
    </x:row>
    <x:row r="118" ht="21" customHeight="1">
      <x:c r="A118" s="2"/>
      <x:c r="B118" s="2"/>
      <x:c r="C118" s="2" t="str">
        <x:v>Star Subaru</x:v>
      </x:c>
      <x:c r="D118" s="2" t="str">
        <x:v>Ultramax</x:v>
      </x:c>
      <x:c r="E118" s="26" t="n">
        <x:v>61571</x:v>
      </x:c>
      <x:c r="F118" s="26" t="n">
        <x:v>2015</x:v>
      </x:c>
      <x:c r="G118" s="35" t="n">
        <x:v>44271</x:v>
      </x:c>
      <x:c r="H118" s="35" t="n">
        <x:v>46203</x:v>
      </x:c>
      <x:c r="I118" s="36" t="n">
        <x:v>27750000</x:v>
      </x:c>
      <x:c r="J118" s="36" t="n">
        <x:v>0</x:v>
      </x:c>
      <x:c r="K118" s="36" t="n">
        <x:v>1</x:v>
      </x:c>
      <x:c r="L118" s="2" t="str">
        <x:v>9705160</x:v>
      </x:c>
      <x:c r="M118" s="2" t="str">
        <x:v>SBLK_PROSPECTUS;SBLK_APPRAISAL</x:v>
      </x:c>
      <x:c r="N118" s="2" t="str">
        <x:v>observed</x:v>
      </x:c>
      <x:c r="O118" s="32" t="n">
        <x:f>DATE(F118+'Assumptions'!$D$50,7,1)</x:f>
        <x:v>51318</x:v>
      </x:c>
      <x:c r="P118" s="34" t="n">
        <x:f>I118*'Assumptions'!$D$45</x:f>
        <x:v>27750000</x:v>
      </x:c>
      <x:c r="Q118" s="34" t="n">
        <x:f>J118*'Assumptions'!$D$110</x:f>
        <x:v>0</x:v>
      </x:c>
      <x:c r="R118" s="2" t="str"/>
    </x:row>
    <x:row r="119" ht="21" customHeight="1">
      <x:c r="A119" s="2"/>
      <x:c r="B119" s="2"/>
      <x:c r="C119" s="2" t="str">
        <x:v>Star Stamford</x:v>
      </x:c>
      <x:c r="D119" s="2" t="str">
        <x:v>Ultramax</x:v>
      </x:c>
      <x:c r="E119" s="26" t="n">
        <x:v>61530</x:v>
      </x:c>
      <x:c r="F119" s="26" t="n">
        <x:v>2016</x:v>
      </x:c>
      <x:c r="G119" s="35" t="n">
        <x:v>45391</x:v>
      </x:c>
      <x:c r="H119" s="35" t="n">
        <x:v>46203</x:v>
      </x:c>
      <x:c r="I119" s="36" t="n">
        <x:v>28250000</x:v>
      </x:c>
      <x:c r="J119" s="36" t="n">
        <x:v>0</x:v>
      </x:c>
      <x:c r="K119" s="36" t="n">
        <x:v>0</x:v>
      </x:c>
      <x:c r="L119" s="2" t="str">
        <x:v>9735127</x:v>
      </x:c>
      <x:c r="M119" s="2" t="str">
        <x:v>SBLK_PROSPECTUS;SBLK_APPRAISAL</x:v>
      </x:c>
      <x:c r="N119" s="2" t="str">
        <x:v>observed</x:v>
      </x:c>
      <x:c r="O119" s="32" t="n">
        <x:f>DATE(F119+'Assumptions'!$D$50,7,1)</x:f>
        <x:v>51683</x:v>
      </x:c>
      <x:c r="P119" s="34" t="n">
        <x:f>I119*'Assumptions'!$D$45</x:f>
        <x:v>28250000</x:v>
      </x:c>
      <x:c r="Q119" s="34" t="n">
        <x:f>J119*'Assumptions'!$D$110</x:f>
        <x:v>0</x:v>
      </x:c>
      <x:c r="R119" s="2" t="str"/>
    </x:row>
    <x:row r="120" ht="21" customHeight="1">
      <x:c r="A120" s="2"/>
      <x:c r="B120" s="2"/>
      <x:c r="C120" s="2" t="str">
        <x:v>Star Wave</x:v>
      </x:c>
      <x:c r="D120" s="2" t="str">
        <x:v>Ultramax</x:v>
      </x:c>
      <x:c r="E120" s="26" t="n">
        <x:v>61491</x:v>
      </x:c>
      <x:c r="F120" s="26" t="n">
        <x:v>2017</x:v>
      </x:c>
      <x:c r="G120" s="35" t="n">
        <x:v>43287</x:v>
      </x:c>
      <x:c r="H120" s="35" t="n">
        <x:v>46203</x:v>
      </x:c>
      <x:c r="I120" s="36" t="n">
        <x:v>30750000</x:v>
      </x:c>
      <x:c r="J120" s="36" t="n">
        <x:v>0</x:v>
      </x:c>
      <x:c r="K120" s="36" t="n">
        <x:v>1</x:v>
      </x:c>
      <x:c r="L120" s="2" t="str">
        <x:v>9746009</x:v>
      </x:c>
      <x:c r="M120" s="2" t="str">
        <x:v>SBLK_PROSPECTUS;SBLK_APPRAISAL</x:v>
      </x:c>
      <x:c r="N120" s="2" t="str">
        <x:v>observed</x:v>
      </x:c>
      <x:c r="O120" s="32" t="n">
        <x:f>DATE(F120+'Assumptions'!$D$50,7,1)</x:f>
        <x:v>52048</x:v>
      </x:c>
      <x:c r="P120" s="34" t="n">
        <x:f>I120*'Assumptions'!$D$45</x:f>
        <x:v>30750000</x:v>
      </x:c>
      <x:c r="Q120" s="34" t="n">
        <x:f>J120*'Assumptions'!$D$110</x:f>
        <x:v>0</x:v>
      </x:c>
      <x:c r="R120" s="2" t="str"/>
    </x:row>
    <x:row r="121" ht="21" customHeight="1">
      <x:c r="A121" s="2"/>
      <x:c r="B121" s="2"/>
      <x:c r="C121" s="2" t="str">
        <x:v>Star Challenger</x:v>
      </x:c>
      <x:c r="D121" s="2" t="str">
        <x:v>Ultramax</x:v>
      </x:c>
      <x:c r="E121" s="26" t="n">
        <x:v>61462</x:v>
      </x:c>
      <x:c r="F121" s="26" t="n">
        <x:v>2012</x:v>
      </x:c>
      <x:c r="G121" s="35" t="n">
        <x:v>41620</x:v>
      </x:c>
      <x:c r="H121" s="35" t="n">
        <x:v>46203</x:v>
      </x:c>
      <x:c r="I121" s="36" t="n">
        <x:v>23000000</x:v>
      </x:c>
      <x:c r="J121" s="36" t="n">
        <x:v>0</x:v>
      </x:c>
      <x:c r="K121" s="36" t="n">
        <x:v>1</x:v>
      </x:c>
      <x:c r="L121" s="2" t="str">
        <x:v>9632997</x:v>
      </x:c>
      <x:c r="M121" s="2" t="str">
        <x:v>SBLK_PROSPECTUS;SBLK_APPRAISAL</x:v>
      </x:c>
      <x:c r="N121" s="2" t="str">
        <x:v>observed</x:v>
      </x:c>
      <x:c r="O121" s="32" t="n">
        <x:f>DATE(F121+'Assumptions'!$D$50,7,1)</x:f>
        <x:v>50222</x:v>
      </x:c>
      <x:c r="P121" s="34" t="n">
        <x:f>I121*'Assumptions'!$D$45</x:f>
        <x:v>23000000</x:v>
      </x:c>
      <x:c r="Q121" s="34" t="n">
        <x:f>J121*'Assumptions'!$D$110</x:f>
        <x:v>0</x:v>
      </x:c>
      <x:c r="R121" s="2" t="str"/>
    </x:row>
    <x:row r="122" ht="21" customHeight="1">
      <x:c r="A122" s="2"/>
      <x:c r="B122" s="2"/>
      <x:c r="C122" s="2" t="str">
        <x:v>Star Fighter</x:v>
      </x:c>
      <x:c r="D122" s="2" t="str">
        <x:v>Ultramax</x:v>
      </x:c>
      <x:c r="E122" s="26" t="n">
        <x:v>61455</x:v>
      </x:c>
      <x:c r="F122" s="26" t="n">
        <x:v>2013</x:v>
      </x:c>
      <x:c r="G122" s="35" t="n">
        <x:v>41638</x:v>
      </x:c>
      <x:c r="H122" s="35" t="n">
        <x:v>46203</x:v>
      </x:c>
      <x:c r="I122" s="36" t="n">
        <x:v>24000000</x:v>
      </x:c>
      <x:c r="J122" s="36" t="n">
        <x:v>0</x:v>
      </x:c>
      <x:c r="K122" s="36" t="n">
        <x:v>1</x:v>
      </x:c>
      <x:c r="L122" s="2" t="str">
        <x:v>9642198</x:v>
      </x:c>
      <x:c r="M122" s="2" t="str">
        <x:v>SBLK_PROSPECTUS;SBLK_APPRAISAL</x:v>
      </x:c>
      <x:c r="N122" s="2" t="str">
        <x:v>observed</x:v>
      </x:c>
      <x:c r="O122" s="32" t="n">
        <x:f>DATE(F122+'Assumptions'!$D$50,7,1)</x:f>
        <x:v>50587</x:v>
      </x:c>
      <x:c r="P122" s="34" t="n">
        <x:f>I122*'Assumptions'!$D$45</x:f>
        <x:v>24000000</x:v>
      </x:c>
      <x:c r="Q122" s="34" t="n">
        <x:f>J122*'Assumptions'!$D$110</x:f>
        <x:v>0</x:v>
      </x:c>
      <x:c r="R122" s="2" t="str"/>
    </x:row>
    <x:row r="123" ht="21" customHeight="1">
      <x:c r="A123" s="2"/>
      <x:c r="B123" s="2"/>
      <x:c r="C123" s="2" t="str">
        <x:v>Star Lutas</x:v>
      </x:c>
      <x:c r="D123" s="2" t="str">
        <x:v>Ultramax</x:v>
      </x:c>
      <x:c r="E123" s="26" t="n">
        <x:v>61347</x:v>
      </x:c>
      <x:c r="F123" s="26" t="n">
        <x:v>2016</x:v>
      </x:c>
      <x:c r="G123" s="35" t="n">
        <x:v>42375</x:v>
      </x:c>
      <x:c r="H123" s="35" t="n">
        <x:v>46203</x:v>
      </x:c>
      <x:c r="I123" s="36" t="n">
        <x:v>29250000</x:v>
      </x:c>
      <x:c r="J123" s="36" t="n">
        <x:v>0</x:v>
      </x:c>
      <x:c r="K123" s="36" t="n">
        <x:v>1</x:v>
      </x:c>
      <x:c r="L123" s="2" t="str">
        <x:v>9712709</x:v>
      </x:c>
      <x:c r="M123" s="2" t="str">
        <x:v>SBLK_PROSPECTUS;SBLK_APPRAISAL</x:v>
      </x:c>
      <x:c r="N123" s="2" t="str">
        <x:v>observed</x:v>
      </x:c>
      <x:c r="O123" s="32" t="n">
        <x:f>DATE(F123+'Assumptions'!$D$50,7,1)</x:f>
        <x:v>51683</x:v>
      </x:c>
      <x:c r="P123" s="34" t="n">
        <x:f>I123*'Assumptions'!$D$45</x:f>
        <x:v>29250000</x:v>
      </x:c>
      <x:c r="Q123" s="34" t="n">
        <x:f>J123*'Assumptions'!$D$110</x:f>
        <x:v>0</x:v>
      </x:c>
      <x:c r="R123" s="2" t="str"/>
    </x:row>
    <x:row r="124" ht="21" customHeight="1">
      <x:c r="A124" s="2"/>
      <x:c r="B124" s="2"/>
      <x:c r="C124" s="2" t="str">
        <x:v>Honey Badger</x:v>
      </x:c>
      <x:c r="D124" s="2" t="str">
        <x:v>Ultramax</x:v>
      </x:c>
      <x:c r="E124" s="26" t="n">
        <x:v>61320</x:v>
      </x:c>
      <x:c r="F124" s="26" t="n">
        <x:v>2015</x:v>
      </x:c>
      <x:c r="G124" s="35" t="n">
        <x:v>42062</x:v>
      </x:c>
      <x:c r="H124" s="35" t="n">
        <x:v>46203</x:v>
      </x:c>
      <x:c r="I124" s="36" t="n">
        <x:v>27750000</x:v>
      </x:c>
      <x:c r="J124" s="36" t="n">
        <x:v>0</x:v>
      </x:c>
      <x:c r="K124" s="36" t="n">
        <x:v>1</x:v>
      </x:c>
      <x:c r="L124" s="2" t="str">
        <x:v>9711315</x:v>
      </x:c>
      <x:c r="M124" s="2" t="str">
        <x:v>SBLK_PROSPECTUS;SBLK_APPRAISAL</x:v>
      </x:c>
      <x:c r="N124" s="2" t="str">
        <x:v>observed</x:v>
      </x:c>
      <x:c r="O124" s="32" t="n">
        <x:f>DATE(F124+'Assumptions'!$D$50,7,1)</x:f>
        <x:v>51318</x:v>
      </x:c>
      <x:c r="P124" s="34" t="n">
        <x:f>I124*'Assumptions'!$D$45</x:f>
        <x:v>27750000</x:v>
      </x:c>
      <x:c r="Q124" s="34" t="n">
        <x:f>J124*'Assumptions'!$D$110</x:f>
        <x:v>0</x:v>
      </x:c>
      <x:c r="R124" s="2" t="str"/>
    </x:row>
    <x:row r="125" ht="21" customHeight="1">
      <x:c r="A125" s="2"/>
      <x:c r="B125" s="2"/>
      <x:c r="C125" s="2" t="str">
        <x:v>Wolverine</x:v>
      </x:c>
      <x:c r="D125" s="2" t="str">
        <x:v>Ultramax</x:v>
      </x:c>
      <x:c r="E125" s="26" t="n">
        <x:v>61292</x:v>
      </x:c>
      <x:c r="F125" s="26" t="n">
        <x:v>2015</x:v>
      </x:c>
      <x:c r="G125" s="35" t="n">
        <x:v>42062</x:v>
      </x:c>
      <x:c r="H125" s="35" t="n">
        <x:v>46203</x:v>
      </x:c>
      <x:c r="I125" s="36" t="n">
        <x:v>27750000</x:v>
      </x:c>
      <x:c r="J125" s="36" t="n">
        <x:v>0</x:v>
      </x:c>
      <x:c r="K125" s="36" t="n">
        <x:v>1</x:v>
      </x:c>
      <x:c r="L125" s="2" t="str">
        <x:v>9711327</x:v>
      </x:c>
      <x:c r="M125" s="2" t="str">
        <x:v>SBLK_PROSPECTUS;SBLK_APPRAISAL</x:v>
      </x:c>
      <x:c r="N125" s="2" t="str">
        <x:v>observed</x:v>
      </x:c>
      <x:c r="O125" s="32" t="n">
        <x:f>DATE(F125+'Assumptions'!$D$50,7,1)</x:f>
        <x:v>51318</x:v>
      </x:c>
      <x:c r="P125" s="34" t="n">
        <x:f>I125*'Assumptions'!$D$45</x:f>
        <x:v>27750000</x:v>
      </x:c>
      <x:c r="Q125" s="34" t="n">
        <x:f>J125*'Assumptions'!$D$110</x:f>
        <x:v>0</x:v>
      </x:c>
      <x:c r="R125" s="2" t="str"/>
    </x:row>
    <x:row r="126" ht="21" customHeight="1">
      <x:c r="A126" s="2"/>
      <x:c r="B126" s="2"/>
      <x:c r="C126" s="2" t="str">
        <x:v>Star Antares</x:v>
      </x:c>
      <x:c r="D126" s="2" t="str">
        <x:v>Ultramax</x:v>
      </x:c>
      <x:c r="E126" s="26" t="n">
        <x:v>61258</x:v>
      </x:c>
      <x:c r="F126" s="26" t="n">
        <x:v>2015</x:v>
      </x:c>
      <x:c r="G126" s="35" t="n">
        <x:v>42286</x:v>
      </x:c>
      <x:c r="H126" s="35" t="n">
        <x:v>46203</x:v>
      </x:c>
      <x:c r="I126" s="36" t="n">
        <x:v>27750000</x:v>
      </x:c>
      <x:c r="J126" s="36" t="n">
        <x:v>0</x:v>
      </x:c>
      <x:c r="K126" s="36" t="n">
        <x:v>1</x:v>
      </x:c>
      <x:c r="L126" s="2" t="str">
        <x:v>9712694</x:v>
      </x:c>
      <x:c r="M126" s="2" t="str">
        <x:v>SBLK_PROSPECTUS;SBLK_APPRAISAL</x:v>
      </x:c>
      <x:c r="N126" s="2" t="str">
        <x:v>observed</x:v>
      </x:c>
      <x:c r="O126" s="32" t="n">
        <x:f>DATE(F126+'Assumptions'!$D$50,7,1)</x:f>
        <x:v>51318</x:v>
      </x:c>
      <x:c r="P126" s="34" t="n">
        <x:f>I126*'Assumptions'!$D$45</x:f>
        <x:v>27750000</x:v>
      </x:c>
      <x:c r="Q126" s="34" t="n">
        <x:f>J126*'Assumptions'!$D$110</x:f>
        <x:v>0</x:v>
      </x:c>
      <x:c r="R126" s="2" t="str"/>
    </x:row>
    <x:row r="127" ht="21" customHeight="1">
      <x:c r="A127" s="2"/>
      <x:c r="B127" s="2"/>
      <x:c r="C127" s="2" t="str">
        <x:v>Star Tokyo</x:v>
      </x:c>
      <x:c r="D127" s="2" t="str">
        <x:v>Ultramax</x:v>
      </x:c>
      <x:c r="E127" s="26" t="n">
        <x:v>61225</x:v>
      </x:c>
      <x:c r="F127" s="26" t="n">
        <x:v>2015</x:v>
      </x:c>
      <x:c r="G127" s="35" t="n">
        <x:v>45391</x:v>
      </x:c>
      <x:c r="H127" s="35" t="n">
        <x:v>46203</x:v>
      </x:c>
      <x:c r="I127" s="36" t="n">
        <x:v>29500000</x:v>
      </x:c>
      <x:c r="J127" s="36" t="n">
        <x:v>0</x:v>
      </x:c>
      <x:c r="K127" s="36" t="n">
        <x:v>1</x:v>
      </x:c>
      <x:c r="L127" s="2" t="str">
        <x:v>9748069</x:v>
      </x:c>
      <x:c r="M127" s="2" t="str">
        <x:v>SBLK_PROSPECTUS;SBLK_APPRAISAL</x:v>
      </x:c>
      <x:c r="N127" s="2" t="str">
        <x:v>observed</x:v>
      </x:c>
      <x:c r="O127" s="32" t="n">
        <x:f>DATE(F127+'Assumptions'!$D$50,7,1)</x:f>
        <x:v>51318</x:v>
      </x:c>
      <x:c r="P127" s="34" t="n">
        <x:f>I127*'Assumptions'!$D$45</x:f>
        <x:v>29500000</x:v>
      </x:c>
      <x:c r="Q127" s="34" t="n">
        <x:f>J127*'Assumptions'!$D$110</x:f>
        <x:v>0</x:v>
      </x:c>
      <x:c r="R127" s="2" t="str"/>
    </x:row>
    <x:row r="128" ht="21" customHeight="1">
      <x:c r="A128" s="2"/>
      <x:c r="B128" s="2"/>
      <x:c r="C128" s="2" t="str">
        <x:v>Star Monica</x:v>
      </x:c>
      <x:c r="D128" s="2" t="str">
        <x:v>Ultramax</x:v>
      </x:c>
      <x:c r="E128" s="26" t="n">
        <x:v>60935</x:v>
      </x:c>
      <x:c r="F128" s="26" t="n">
        <x:v>2015</x:v>
      </x:c>
      <x:c r="G128" s="35" t="n">
        <x:v>43315</x:v>
      </x:c>
      <x:c r="H128" s="35" t="n">
        <x:v>46203</x:v>
      </x:c>
      <x:c r="I128" s="36" t="n">
        <x:v>29500000</x:v>
      </x:c>
      <x:c r="J128" s="36" t="n">
        <x:v>0</x:v>
      </x:c>
      <x:c r="K128" s="36" t="n">
        <x:v>1</x:v>
      </x:c>
      <x:c r="L128" s="2" t="str">
        <x:v>9715842</x:v>
      </x:c>
      <x:c r="M128" s="2" t="str">
        <x:v>SBLK_PROSPECTUS;SBLK_APPRAISAL</x:v>
      </x:c>
      <x:c r="N128" s="2" t="str">
        <x:v>observed</x:v>
      </x:c>
      <x:c r="O128" s="32" t="n">
        <x:f>DATE(F128+'Assumptions'!$D$50,7,1)</x:f>
        <x:v>51318</x:v>
      </x:c>
      <x:c r="P128" s="34" t="n">
        <x:f>I128*'Assumptions'!$D$45</x:f>
        <x:v>29500000</x:v>
      </x:c>
      <x:c r="Q128" s="34" t="n">
        <x:f>J128*'Assumptions'!$D$110</x:f>
        <x:v>0</x:v>
      </x:c>
      <x:c r="R128" s="2" t="str"/>
    </x:row>
    <x:row r="129" ht="21" customHeight="1">
      <x:c r="A129" s="2"/>
      <x:c r="B129" s="2"/>
      <x:c r="C129" s="2" t="str">
        <x:v>Star Aquarius</x:v>
      </x:c>
      <x:c r="D129" s="2" t="str">
        <x:v>Ultramax</x:v>
      </x:c>
      <x:c r="E129" s="26" t="n">
        <x:v>60916</x:v>
      </x:c>
      <x:c r="F129" s="26" t="n">
        <x:v>2015</x:v>
      </x:c>
      <x:c r="G129" s="35" t="n">
        <x:v>42207</x:v>
      </x:c>
      <x:c r="H129" s="35" t="n">
        <x:v>46203</x:v>
      </x:c>
      <x:c r="I129" s="36" t="n">
        <x:v>29500000</x:v>
      </x:c>
      <x:c r="J129" s="36" t="n">
        <x:v>0</x:v>
      </x:c>
      <x:c r="K129" s="36" t="n">
        <x:v>1</x:v>
      </x:c>
      <x:c r="L129" s="2" t="str">
        <x:v>9715828</x:v>
      </x:c>
      <x:c r="M129" s="2" t="str">
        <x:v>SBLK_PROSPECTUS;SBLK_APPRAISAL</x:v>
      </x:c>
      <x:c r="N129" s="2" t="str">
        <x:v>observed</x:v>
      </x:c>
      <x:c r="O129" s="32" t="n">
        <x:f>DATE(F129+'Assumptions'!$D$50,7,1)</x:f>
        <x:v>51318</x:v>
      </x:c>
      <x:c r="P129" s="34" t="n">
        <x:f>I129*'Assumptions'!$D$45</x:f>
        <x:v>29500000</x:v>
      </x:c>
      <x:c r="Q129" s="34" t="n">
        <x:f>J129*'Assumptions'!$D$110</x:f>
        <x:v>0</x:v>
      </x:c>
      <x:c r="R129" s="2" t="str"/>
    </x:row>
    <x:row r="130" ht="21" customHeight="1">
      <x:c r="A130" s="2"/>
      <x:c r="B130" s="2"/>
      <x:c r="C130" s="2" t="str">
        <x:v>Star Pisces</x:v>
      </x:c>
      <x:c r="D130" s="2" t="str">
        <x:v>Ultramax</x:v>
      </x:c>
      <x:c r="E130" s="26" t="n">
        <x:v>60916</x:v>
      </x:c>
      <x:c r="F130" s="26" t="n">
        <x:v>2015</x:v>
      </x:c>
      <x:c r="G130" s="35" t="n">
        <x:v>42223</x:v>
      </x:c>
      <x:c r="H130" s="35" t="n">
        <x:v>46203</x:v>
      </x:c>
      <x:c r="I130" s="36" t="n">
        <x:v>29500000</x:v>
      </x:c>
      <x:c r="J130" s="36" t="n">
        <x:v>0</x:v>
      </x:c>
      <x:c r="K130" s="36" t="n">
        <x:v>1</x:v>
      </x:c>
      <x:c r="L130" s="2" t="str">
        <x:v>9715854</x:v>
      </x:c>
      <x:c r="M130" s="2" t="str">
        <x:v>SBLK_PROSPECTUS;SBLK_APPRAISAL</x:v>
      </x:c>
      <x:c r="N130" s="2" t="str">
        <x:v>observed</x:v>
      </x:c>
      <x:c r="O130" s="32" t="n">
        <x:f>DATE(F130+'Assumptions'!$D$50,7,1)</x:f>
        <x:v>51318</x:v>
      </x:c>
      <x:c r="P130" s="34" t="n">
        <x:f>I130*'Assumptions'!$D$45</x:f>
        <x:v>29500000</x:v>
      </x:c>
      <x:c r="Q130" s="34" t="n">
        <x:f>J130*'Assumptions'!$D$110</x:f>
        <x:v>0</x:v>
      </x:c>
      <x:c r="R130" s="2" t="str"/>
    </x:row>
    <x:row r="131" ht="21" customHeight="1">
      <x:c r="A131" s="2"/>
      <x:c r="B131" s="2"/>
      <x:c r="C131" s="2" t="str">
        <x:v>Crane</x:v>
      </x:c>
      <x:c r="D131" s="2" t="str">
        <x:v>Supramax</x:v>
      </x:c>
      <x:c r="E131" s="26" t="n">
        <x:v>57809</x:v>
      </x:c>
      <x:c r="F131" s="26" t="n">
        <x:v>2010</x:v>
      </x:c>
      <x:c r="G131" s="35" t="n">
        <x:v>45391</x:v>
      </x:c>
      <x:c r="H131" s="35" t="n">
        <x:v>46203</x:v>
      </x:c>
      <x:c r="I131" s="36" t="n">
        <x:v>14250000</x:v>
      </x:c>
      <x:c r="J131" s="36" t="n">
        <x:v>0</x:v>
      </x:c>
      <x:c r="K131" s="36" t="n">
        <x:v>1</x:v>
      </x:c>
      <x:c r="L131" s="2" t="str">
        <x:v>9441283</x:v>
      </x:c>
      <x:c r="M131" s="2" t="str">
        <x:v>SBLK_PROSPECTUS;SBLK_APPRAISAL</x:v>
      </x:c>
      <x:c r="N131" s="2" t="str">
        <x:v>observed</x:v>
      </x:c>
      <x:c r="O131" s="32" t="n">
        <x:f>DATE(F131+'Assumptions'!$D$50,7,1)</x:f>
        <x:v>49491</x:v>
      </x:c>
      <x:c r="P131" s="34" t="n">
        <x:f>I131*'Assumptions'!$D$45</x:f>
        <x:v>14250000</x:v>
      </x:c>
      <x:c r="Q131" s="34" t="n">
        <x:f>J131*'Assumptions'!$D$110</x:f>
        <x:v>0</x:v>
      </x:c>
      <x:c r="R131" s="2" t="str"/>
    </x:row>
    <x:row r="132" ht="21" customHeight="1">
      <x:c r="A132" s="2"/>
      <x:c r="B132" s="2"/>
      <x:c r="C132" s="2" t="str">
        <x:v>Egret Bulker</x:v>
      </x:c>
      <x:c r="D132" s="2" t="str">
        <x:v>Supramax</x:v>
      </x:c>
      <x:c r="E132" s="26" t="n">
        <x:v>57809</x:v>
      </x:c>
      <x:c r="F132" s="26" t="n">
        <x:v>2010</x:v>
      </x:c>
      <x:c r="G132" s="35" t="n">
        <x:v>45391</x:v>
      </x:c>
      <x:c r="H132" s="35" t="n">
        <x:v>46203</x:v>
      </x:c>
      <x:c r="I132" s="36" t="n">
        <x:v>14250000</x:v>
      </x:c>
      <x:c r="J132" s="36" t="n">
        <x:v>0</x:v>
      </x:c>
      <x:c r="K132" s="36" t="n">
        <x:v>1</x:v>
      </x:c>
      <x:c r="L132" s="2" t="str">
        <x:v>9441295</x:v>
      </x:c>
      <x:c r="M132" s="2" t="str">
        <x:v>SBLK_PROSPECTUS;SBLK_APPRAISAL</x:v>
      </x:c>
      <x:c r="N132" s="2" t="str">
        <x:v>observed</x:v>
      </x:c>
      <x:c r="O132" s="32" t="n">
        <x:f>DATE(F132+'Assumptions'!$D$50,7,1)</x:f>
        <x:v>49491</x:v>
      </x:c>
      <x:c r="P132" s="34" t="n">
        <x:f>I132*'Assumptions'!$D$45</x:f>
        <x:v>14250000</x:v>
      </x:c>
      <x:c r="Q132" s="34" t="n">
        <x:f>J132*'Assumptions'!$D$110</x:f>
        <x:v>0</x:v>
      </x:c>
      <x:c r="R132" s="2" t="str"/>
    </x:row>
    <x:row r="133" ht="21" customHeight="1">
      <x:c r="A133" s="2"/>
      <x:c r="B133" s="2"/>
      <x:c r="C133" s="2" t="str">
        <x:v>Gannet Bulker</x:v>
      </x:c>
      <x:c r="D133" s="2" t="str">
        <x:v>Supramax</x:v>
      </x:c>
      <x:c r="E133" s="26" t="n">
        <x:v>57809</x:v>
      </x:c>
      <x:c r="F133" s="26" t="n">
        <x:v>2010</x:v>
      </x:c>
      <x:c r="G133" s="35" t="n">
        <x:v>45391</x:v>
      </x:c>
      <x:c r="H133" s="35" t="n">
        <x:v>46203</x:v>
      </x:c>
      <x:c r="I133" s="36" t="n">
        <x:v>14250000</x:v>
      </x:c>
      <x:c r="J133" s="36" t="n">
        <x:v>0</x:v>
      </x:c>
      <x:c r="K133" s="36" t="n">
        <x:v>1</x:v>
      </x:c>
      <x:c r="L133" s="2" t="str">
        <x:v>9441300</x:v>
      </x:c>
      <x:c r="M133" s="2" t="str">
        <x:v>SBLK_PROSPECTUS;SBLK_APPRAISAL</x:v>
      </x:c>
      <x:c r="N133" s="2" t="str">
        <x:v>observed</x:v>
      </x:c>
      <x:c r="O133" s="32" t="n">
        <x:f>DATE(F133+'Assumptions'!$D$50,7,1)</x:f>
        <x:v>49491</x:v>
      </x:c>
      <x:c r="P133" s="34" t="n">
        <x:f>I133*'Assumptions'!$D$45</x:f>
        <x:v>14250000</x:v>
      </x:c>
      <x:c r="Q133" s="34" t="n">
        <x:f>J133*'Assumptions'!$D$110</x:f>
        <x:v>0</x:v>
      </x:c>
      <x:c r="R133" s="2" t="str"/>
    </x:row>
    <x:row r="134" ht="21" customHeight="1">
      <x:c r="A134" s="2"/>
      <x:c r="B134" s="2"/>
      <x:c r="C134" s="2" t="str">
        <x:v>Grebe Bulker</x:v>
      </x:c>
      <x:c r="D134" s="2" t="str">
        <x:v>Supramax</x:v>
      </x:c>
      <x:c r="E134" s="26" t="n">
        <x:v>57809</x:v>
      </x:c>
      <x:c r="F134" s="26" t="n">
        <x:v>2010</x:v>
      </x:c>
      <x:c r="G134" s="35" t="n">
        <x:v>45391</x:v>
      </x:c>
      <x:c r="H134" s="35" t="n">
        <x:v>46203</x:v>
      </x:c>
      <x:c r="I134" s="36" t="n">
        <x:v>14250000</x:v>
      </x:c>
      <x:c r="J134" s="36" t="n">
        <x:v>0</x:v>
      </x:c>
      <x:c r="K134" s="36" t="n">
        <x:v>1</x:v>
      </x:c>
      <x:c r="L134" s="2" t="str">
        <x:v>9441312</x:v>
      </x:c>
      <x:c r="M134" s="2" t="str">
        <x:v>SBLK_PROSPECTUS;SBLK_APPRAISAL</x:v>
      </x:c>
      <x:c r="N134" s="2" t="str">
        <x:v>observed</x:v>
      </x:c>
      <x:c r="O134" s="32" t="n">
        <x:f>DATE(F134+'Assumptions'!$D$50,7,1)</x:f>
        <x:v>49491</x:v>
      </x:c>
      <x:c r="P134" s="34" t="n">
        <x:f>I134*'Assumptions'!$D$45</x:f>
        <x:v>14250000</x:v>
      </x:c>
      <x:c r="Q134" s="34" t="n">
        <x:f>J134*'Assumptions'!$D$110</x:f>
        <x:v>0</x:v>
      </x:c>
      <x:c r="R134" s="2" t="str"/>
    </x:row>
    <x:row r="135" ht="21" customHeight="1">
      <x:c r="A135" s="2"/>
      <x:c r="B135" s="2"/>
      <x:c r="C135" s="2" t="str">
        <x:v>Ibis Bulker</x:v>
      </x:c>
      <x:c r="D135" s="2" t="str">
        <x:v>Supramax</x:v>
      </x:c>
      <x:c r="E135" s="26" t="n">
        <x:v>57809</x:v>
      </x:c>
      <x:c r="F135" s="26" t="n">
        <x:v>2010</x:v>
      </x:c>
      <x:c r="G135" s="35" t="n">
        <x:v>45391</x:v>
      </x:c>
      <x:c r="H135" s="35" t="n">
        <x:v>46203</x:v>
      </x:c>
      <x:c r="I135" s="36" t="n">
        <x:v>14250000</x:v>
      </x:c>
      <x:c r="J135" s="36" t="n">
        <x:v>0</x:v>
      </x:c>
      <x:c r="K135" s="36" t="n">
        <x:v>1</x:v>
      </x:c>
      <x:c r="L135" s="2" t="str">
        <x:v>9441324</x:v>
      </x:c>
      <x:c r="M135" s="2" t="str">
        <x:v>SBLK_PROSPECTUS;SBLK_APPRAISAL</x:v>
      </x:c>
      <x:c r="N135" s="2" t="str">
        <x:v>observed</x:v>
      </x:c>
      <x:c r="O135" s="32" t="n">
        <x:f>DATE(F135+'Assumptions'!$D$50,7,1)</x:f>
        <x:v>49491</x:v>
      </x:c>
      <x:c r="P135" s="34" t="n">
        <x:f>I135*'Assumptions'!$D$45</x:f>
        <x:v>14250000</x:v>
      </x:c>
      <x:c r="Q135" s="34" t="n">
        <x:f>J135*'Assumptions'!$D$110</x:f>
        <x:v>0</x:v>
      </x:c>
      <x:c r="R135" s="2" t="str"/>
    </x:row>
    <x:row r="136" ht="21" customHeight="1">
      <x:c r="A136" s="2"/>
      <x:c r="B136" s="2"/>
      <x:c r="C136" s="2" t="str">
        <x:v>Jay</x:v>
      </x:c>
      <x:c r="D136" s="2" t="str">
        <x:v>Supramax</x:v>
      </x:c>
      <x:c r="E136" s="26" t="n">
        <x:v>57809</x:v>
      </x:c>
      <x:c r="F136" s="26" t="n">
        <x:v>2010</x:v>
      </x:c>
      <x:c r="G136" s="35" t="n">
        <x:v>45391</x:v>
      </x:c>
      <x:c r="H136" s="35" t="n">
        <x:v>46203</x:v>
      </x:c>
      <x:c r="I136" s="36" t="n">
        <x:v>14250000</x:v>
      </x:c>
      <x:c r="J136" s="36" t="n">
        <x:v>0</x:v>
      </x:c>
      <x:c r="K136" s="36" t="n">
        <x:v>1</x:v>
      </x:c>
      <x:c r="L136" s="2" t="str">
        <x:v>9441336</x:v>
      </x:c>
      <x:c r="M136" s="2" t="str">
        <x:v>SBLK_PROSPECTUS;SBLK_APPRAISAL</x:v>
      </x:c>
      <x:c r="N136" s="2" t="str">
        <x:v>observed</x:v>
      </x:c>
      <x:c r="O136" s="32" t="n">
        <x:f>DATE(F136+'Assumptions'!$D$50,7,1)</x:f>
        <x:v>49491</x:v>
      </x:c>
      <x:c r="P136" s="34" t="n">
        <x:f>I136*'Assumptions'!$D$45</x:f>
        <x:v>14250000</x:v>
      </x:c>
      <x:c r="Q136" s="34" t="n">
        <x:f>J136*'Assumptions'!$D$110</x:f>
        <x:v>0</x:v>
      </x:c>
      <x:c r="R136" s="2" t="str"/>
    </x:row>
    <x:row r="137" ht="21" customHeight="1">
      <x:c r="A137" s="2"/>
      <x:c r="B137" s="2"/>
      <x:c r="C137" s="2" t="str">
        <x:v>Kingfisher</x:v>
      </x:c>
      <x:c r="D137" s="2" t="str">
        <x:v>Supramax</x:v>
      </x:c>
      <x:c r="E137" s="26" t="n">
        <x:v>57809</x:v>
      </x:c>
      <x:c r="F137" s="26" t="n">
        <x:v>2010</x:v>
      </x:c>
      <x:c r="G137" s="35" t="n">
        <x:v>45391</x:v>
      </x:c>
      <x:c r="H137" s="35" t="n">
        <x:v>46203</x:v>
      </x:c>
      <x:c r="I137" s="36" t="n">
        <x:v>14250000</x:v>
      </x:c>
      <x:c r="J137" s="36" t="n">
        <x:v>0</x:v>
      </x:c>
      <x:c r="K137" s="36" t="n">
        <x:v>1</x:v>
      </x:c>
      <x:c r="L137" s="2" t="str">
        <x:v>9441S348</x:v>
      </x:c>
      <x:c r="M137" s="2" t="str">
        <x:v>SBLK_PROSPECTUS;SBLK_APPRAISAL</x:v>
      </x:c>
      <x:c r="N137" s="2" t="str">
        <x:v>observed</x:v>
      </x:c>
      <x:c r="O137" s="32" t="n">
        <x:f>DATE(F137+'Assumptions'!$D$50,7,1)</x:f>
        <x:v>49491</x:v>
      </x:c>
      <x:c r="P137" s="34" t="n">
        <x:f>I137*'Assumptions'!$D$45</x:f>
        <x:v>14250000</x:v>
      </x:c>
      <x:c r="Q137" s="34" t="n">
        <x:f>J137*'Assumptions'!$D$110</x:f>
        <x:v>0</x:v>
      </x:c>
      <x:c r="R137" s="2" t="str">
        <x:v>; source IMO contains letter; not normalized or used as a join key</x:v>
      </x:c>
    </x:row>
    <x:row r="138" ht="21" customHeight="1">
      <x:c r="A138" s="2"/>
      <x:c r="B138" s="2"/>
      <x:c r="C138" s="2" t="str">
        <x:v>Martin</x:v>
      </x:c>
      <x:c r="D138" s="2" t="str">
        <x:v>Supramax</x:v>
      </x:c>
      <x:c r="E138" s="26" t="n">
        <x:v>57809</x:v>
      </x:c>
      <x:c r="F138" s="26" t="n">
        <x:v>2010</x:v>
      </x:c>
      <x:c r="G138" s="35" t="n">
        <x:v>45391</x:v>
      </x:c>
      <x:c r="H138" s="35" t="n">
        <x:v>46203</x:v>
      </x:c>
      <x:c r="I138" s="36" t="n">
        <x:v>14250000</x:v>
      </x:c>
      <x:c r="J138" s="36" t="n">
        <x:v>0</x:v>
      </x:c>
      <x:c r="K138" s="36" t="n">
        <x:v>1</x:v>
      </x:c>
      <x:c r="L138" s="2" t="str">
        <x:v>9441350</x:v>
      </x:c>
      <x:c r="M138" s="2" t="str">
        <x:v>SBLK_PROSPECTUS;SBLK_APPRAISAL</x:v>
      </x:c>
      <x:c r="N138" s="2" t="str">
        <x:v>observed</x:v>
      </x:c>
      <x:c r="O138" s="32" t="n">
        <x:f>DATE(F138+'Assumptions'!$D$50,7,1)</x:f>
        <x:v>49491</x:v>
      </x:c>
      <x:c r="P138" s="34" t="n">
        <x:f>I138*'Assumptions'!$D$45</x:f>
        <x:v>14250000</x:v>
      </x:c>
      <x:c r="Q138" s="34" t="n">
        <x:f>J138*'Assumptions'!$D$110</x:f>
        <x:v>0</x:v>
      </x:c>
      <x:c r="R138" s="2" t="str"/>
    </x:row>
    <x:row r="139" ht="21" customHeight="1">
      <x:c r="A139" s="2"/>
      <x:c r="B139" s="2"/>
      <x:c r="C139" s="2" t="str">
        <x:v>Star Cleo</x:v>
      </x:c>
      <x:c r="D139" s="2" t="str">
        <x:v>Supramax</x:v>
      </x:c>
      <x:c r="E139" s="26" t="n">
        <x:v>56582</x:v>
      </x:c>
      <x:c r="F139" s="26" t="n">
        <x:v>2013</x:v>
      </x:c>
      <x:c r="G139" s="35" t="n">
        <x:v>43661</x:v>
      </x:c>
      <x:c r="H139" s="35" t="n">
        <x:v>46203</x:v>
      </x:c>
      <x:c r="I139" s="36" t="n">
        <x:v>17000000</x:v>
      </x:c>
      <x:c r="J139" s="36" t="n">
        <x:v>0</x:v>
      </x:c>
      <x:c r="K139" s="36" t="n">
        <x:v>1</x:v>
      </x:c>
      <x:c r="L139" s="2" t="str">
        <x:v>9594638</x:v>
      </x:c>
      <x:c r="M139" s="2" t="str">
        <x:v>SBLK_PROSPECTUS;SBLK_APPRAISAL</x:v>
      </x:c>
      <x:c r="N139" s="2" t="str">
        <x:v>observed</x:v>
      </x:c>
      <x:c r="O139" s="32" t="n">
        <x:f>DATE(F139+'Assumptions'!$D$50,7,1)</x:f>
        <x:v>50587</x:v>
      </x:c>
      <x:c r="P139" s="34" t="n">
        <x:f>I139*'Assumptions'!$D$45</x:f>
        <x:v>17000000</x:v>
      </x:c>
      <x:c r="Q139" s="34" t="n">
        <x:f>J139*'Assumptions'!$D$110</x:f>
        <x:v>0</x:v>
      </x:c>
      <x:c r="R139" s="2" t="str"/>
    </x:row>
    <x:row r="140" ht="21" customHeight="1">
      <x:c r="A140" s="2"/>
      <x:c r="B140" s="2"/>
      <x:c r="C140" s="2" t="str">
        <x:v>Star Pegasus</x:v>
      </x:c>
      <x:c r="D140" s="2" t="str">
        <x:v>Supramax</x:v>
      </x:c>
      <x:c r="E140" s="26" t="n">
        <x:v>56540</x:v>
      </x:c>
      <x:c r="F140" s="26" t="n">
        <x:v>2013</x:v>
      </x:c>
      <x:c r="G140" s="35" t="n">
        <x:v>43661</x:v>
      </x:c>
      <x:c r="H140" s="35" t="n">
        <x:v>46203</x:v>
      </x:c>
      <x:c r="I140" s="36" t="n">
        <x:v>17000000</x:v>
      </x:c>
      <x:c r="J140" s="36" t="n">
        <x:v>0</x:v>
      </x:c>
      <x:c r="K140" s="36" t="n">
        <x:v>1</x:v>
      </x:c>
      <x:c r="L140" s="2" t="str">
        <x:v>9621780</x:v>
      </x:c>
      <x:c r="M140" s="2" t="str">
        <x:v>SBLK_PROSPECTUS;SBLK_APPRAISAL</x:v>
      </x:c>
      <x:c r="N140" s="2" t="str">
        <x:v>observed</x:v>
      </x:c>
      <x:c r="O140" s="32" t="n">
        <x:f>DATE(F140+'Assumptions'!$D$50,7,1)</x:f>
        <x:v>50587</x:v>
      </x:c>
      <x:c r="P140" s="34" t="n">
        <x:f>I140*'Assumptions'!$D$45</x:f>
        <x:v>17000000</x:v>
      </x:c>
      <x:c r="Q140" s="34" t="n">
        <x:f>J140*'Assumptions'!$D$110</x:f>
        <x:v>0</x:v>
      </x:c>
      <x:c r="R140" s="2" t="str"/>
    </x:row>
    <x:row r="141" ht="21" customHeight="1">
      <x:c r="A141" s="2"/>
      <x:c r="B141" s="2"/>
      <x:c r="C141" s="2" t="str">
        <x:v>Star Bright</x:v>
      </x:c>
      <x:c r="D141" s="2" t="str">
        <x:v>Supramax</x:v>
      </x:c>
      <x:c r="E141" s="26" t="n">
        <x:v>55569</x:v>
      </x:c>
      <x:c r="F141" s="26" t="n">
        <x:v>2010</x:v>
      </x:c>
      <x:c r="G141" s="35" t="n">
        <x:v>43383</x:v>
      </x:c>
      <x:c r="H141" s="35" t="n">
        <x:v>46203</x:v>
      </x:c>
      <x:c r="I141" s="36" t="n">
        <x:v>15500000</x:v>
      </x:c>
      <x:c r="J141" s="36" t="n">
        <x:v>0</x:v>
      </x:c>
      <x:c r="K141" s="36" t="n">
        <x:v>1</x:v>
      </x:c>
      <x:c r="L141" s="2" t="str">
        <x:v>9507788</x:v>
      </x:c>
      <x:c r="M141" s="2" t="str">
        <x:v>SBLK_PROSPECTUS;SBLK_APPRAISAL</x:v>
      </x:c>
      <x:c r="N141" s="2" t="str">
        <x:v>observed</x:v>
      </x:c>
      <x:c r="O141" s="32" t="n">
        <x:f>DATE(F141+'Assumptions'!$D$50,7,1)</x:f>
        <x:v>49491</x:v>
      </x:c>
      <x:c r="P141" s="34" t="n">
        <x:f>I141*'Assumptions'!$D$45</x:f>
        <x:v>15500000</x:v>
      </x:c>
      <x:c r="Q141" s="34" t="n">
        <x:f>J141*'Assumptions'!$D$110</x:f>
        <x:v>0</x:v>
      </x:c>
      <x:c r="R141" s="2" t="str"/>
    </x:row>
    <x:row r="142" ht="21" customHeight="1">
      <x:c r="A142" s="2"/>
      <x:c r="B142" s="2"/>
      <x:c r="C142" s="2" t="str">
        <x:v>Star Irini</x:v>
      </x:c>
      <x:c r="D142" s="2" t="str">
        <x:v>Kamsarmax</x:v>
      </x:c>
      <x:c r="E142" s="26" t="n">
        <x:v>82000</x:v>
      </x:c>
      <x:c r="F142" s="26" t="n">
        <x:v>2026</x:v>
      </x:c>
      <x:c r="G142" s="35" t="n">
        <x:v>46387</x:v>
      </x:c>
      <x:c r="H142" s="35" t="n">
        <x:v>46255</x:v>
      </x:c>
      <x:c r="I142" s="36" t="n">
        <x:v>43500000</x:v>
      </x:c>
      <x:c r="J142" s="36" t="n">
        <x:v>24407000</x:v>
      </x:c>
      <x:c r="K142" s="36" t="n">
        <x:v>1</x:v>
      </x:c>
      <x:c r="L142" s="2" t="str">
        <x:v>1055222</x:v>
      </x:c>
      <x:c r="M142" s="2" t="str">
        <x:v>SBLK_PROSPECTUS;SBLK_APPRAISAL;SBLK_INTERIM</x:v>
      </x:c>
      <x:c r="N142" s="2" t="str">
        <x:v>assumed</x:v>
      </x:c>
      <x:c r="O142" s="32" t="n">
        <x:f>DATE(F142+'Assumptions'!$D$50,7,1)</x:f>
        <x:v>55335</x:v>
      </x:c>
      <x:c r="P142" s="34" t="n">
        <x:f>I142*'Assumptions'!$D$45</x:f>
        <x:v>43500000</x:v>
      </x:c>
      <x:c r="Q142" s="34" t="n">
        <x:f>J142*'Assumptions'!$D$110</x:f>
        <x:v>24407000</x:v>
      </x:c>
      <x:c r="R142" s="2" t="str">
        <x:v>Q4 delivery disclosed; Dec 31 assumed. Remaining capex: June aggregate / 5; allocation estimated.</x:v>
      </x:c>
    </x:row>
    <x:row r="143" ht="21" customHeight="1">
      <x:c r="A143" s="2"/>
      <x:c r="B143" s="2"/>
      <x:c r="C143" s="2" t="str">
        <x:v>Star Aline</x:v>
      </x:c>
      <x:c r="D143" s="2" t="str">
        <x:v>Kamsarmax</x:v>
      </x:c>
      <x:c r="E143" s="26" t="n">
        <x:v>82000</x:v>
      </x:c>
      <x:c r="F143" s="26" t="n">
        <x:v>2026</x:v>
      </x:c>
      <x:c r="G143" s="35" t="n">
        <x:v>46387</x:v>
      </x:c>
      <x:c r="H143" s="35" t="n">
        <x:v>46255</x:v>
      </x:c>
      <x:c r="I143" s="36" t="n">
        <x:v>43500000</x:v>
      </x:c>
      <x:c r="J143" s="36" t="n">
        <x:v>24407000</x:v>
      </x:c>
      <x:c r="K143" s="36" t="n">
        <x:v>1</x:v>
      </x:c>
      <x:c r="L143" s="2" t="str">
        <x:v>1055234</x:v>
      </x:c>
      <x:c r="M143" s="2" t="str">
        <x:v>SBLK_PROSPECTUS;SBLK_APPRAISAL;SBLK_INTERIM</x:v>
      </x:c>
      <x:c r="N143" s="2" t="str">
        <x:v>assumed</x:v>
      </x:c>
      <x:c r="O143" s="32" t="n">
        <x:f>DATE(F143+'Assumptions'!$D$50,7,1)</x:f>
        <x:v>55335</x:v>
      </x:c>
      <x:c r="P143" s="34" t="n">
        <x:f>I143*'Assumptions'!$D$45</x:f>
        <x:v>43500000</x:v>
      </x:c>
      <x:c r="Q143" s="34" t="n">
        <x:f>J143*'Assumptions'!$D$110</x:f>
        <x:v>24407000</x:v>
      </x:c>
      <x:c r="R143" s="2" t="str">
        <x:v>Q4 delivery disclosed; Dec 31 assumed. Remaining capex: June aggregate / 5; allocation estimated.</x:v>
      </x:c>
    </x:row>
    <x:row r="144" ht="21" customHeight="1">
      <x:c r="A144" s="2"/>
      <x:c r="B144" s="2"/>
      <x:c r="C144" s="2" t="str">
        <x:v>Star Argyro</x:v>
      </x:c>
      <x:c r="D144" s="2" t="str">
        <x:v>Kamsarmax</x:v>
      </x:c>
      <x:c r="E144" s="26" t="n">
        <x:v>82000</x:v>
      </x:c>
      <x:c r="F144" s="26" t="n">
        <x:v>2026</x:v>
      </x:c>
      <x:c r="G144" s="35" t="n">
        <x:v>46387</x:v>
      </x:c>
      <x:c r="H144" s="35" t="n">
        <x:v>46255</x:v>
      </x:c>
      <x:c r="I144" s="36" t="n">
        <x:v>43500000</x:v>
      </x:c>
      <x:c r="J144" s="36" t="n">
        <x:v>24407000</x:v>
      </x:c>
      <x:c r="K144" s="36" t="n">
        <x:v>1</x:v>
      </x:c>
      <x:c r="L144" s="2" t="str">
        <x:v>1055246</x:v>
      </x:c>
      <x:c r="M144" s="2" t="str">
        <x:v>SBLK_PROSPECTUS;SBLK_APPRAISAL;SBLK_INTERIM</x:v>
      </x:c>
      <x:c r="N144" s="2" t="str">
        <x:v>assumed</x:v>
      </x:c>
      <x:c r="O144" s="32" t="n">
        <x:f>DATE(F144+'Assumptions'!$D$50,7,1)</x:f>
        <x:v>55335</x:v>
      </x:c>
      <x:c r="P144" s="34" t="n">
        <x:f>I144*'Assumptions'!$D$45</x:f>
        <x:v>43500000</x:v>
      </x:c>
      <x:c r="Q144" s="34" t="n">
        <x:f>J144*'Assumptions'!$D$110</x:f>
        <x:v>24407000</x:v>
      </x:c>
      <x:c r="R144" s="2" t="str">
        <x:v>Q4 delivery disclosed; Dec 31 assumed. Remaining capex: June aggregate / 5; allocation estimated.</x:v>
      </x:c>
    </x:row>
    <x:row r="145" ht="21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</x:row>
    <x:row r="146" ht="21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</x:row>
    <x:row r="147" ht="21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</x:row>
    <x:row r="2" ht="21" customHeight="1">
      <x:c r="A2" s="2"/>
      <x:c r="B2" s="2"/>
      <x:c r="C2" s="3" t="str">
        <x:v>Days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</x:row>
    <x:row r="6" ht="28" customHeight="1">
      <x:c r="A6" s="2"/>
      <x:c r="B6" s="2"/>
      <x:c r="C6" s="2"/>
      <x:c r="D6" s="2"/>
      <x:c r="E6" s="25" t="str">
        <x:v>Q4:26 stub</x:v>
      </x:c>
      <x:c r="F6" s="25" t="str">
        <x:v>Q1:27</x:v>
      </x:c>
      <x:c r="G6" s="25" t="str">
        <x:v>Q2:27</x:v>
      </x:c>
      <x:c r="H6" s="25" t="str">
        <x:v>Q3:27</x:v>
      </x:c>
      <x:c r="I6" s="25" t="str">
        <x:v>Q4:27</x:v>
      </x:c>
      <x:c r="J6" s="25" t="str">
        <x:v>Q1:28</x:v>
      </x:c>
      <x:c r="K6" s="25" t="str">
        <x:v>Q2:28</x:v>
      </x:c>
      <x:c r="L6" s="25" t="str">
        <x:v>Q3:28</x:v>
      </x:c>
      <x:c r="M6" s="25" t="str">
        <x:v>Q4:28</x:v>
      </x:c>
      <x:c r="N6" s="25" t="str">
        <x:v>Q1:29</x:v>
      </x:c>
      <x:c r="O6" s="25" t="str">
        <x:v>Q2:29</x:v>
      </x:c>
      <x:c r="P6" s="25" t="str">
        <x:v>Q3:29</x:v>
      </x:c>
      <x:c r="Q6" s="25" t="str">
        <x:v>Sep-30</x:v>
      </x:c>
      <x:c r="R6" s="25" t="str">
        <x:v>Sep-31</x:v>
      </x:c>
      <x:c r="S6" s="25" t="str">
        <x:v>Sep-32</x:v>
      </x:c>
      <x:c r="T6" s="25" t="str">
        <x:v>Sep-33</x:v>
      </x:c>
      <x:c r="U6" s="25" t="str">
        <x:v>Sep-34</x:v>
      </x:c>
      <x:c r="V6" s="25" t="str">
        <x:v>Sep-35</x:v>
      </x:c>
      <x:c r="W6" s="25" t="str">
        <x:v>Sep-36</x:v>
      </x:c>
      <x:c r="X6" s="25" t="str">
        <x:v>Sep-37</x:v>
      </x:c>
      <x:c r="Y6" s="25" t="str">
        <x:v>Sep-38</x:v>
      </x:c>
      <x:c r="Z6" s="25" t="str">
        <x:v>Sep-39</x:v>
      </x:c>
      <x:c r="AA6" s="25" t="str">
        <x:v>Sep-40</x:v>
      </x:c>
      <x:c r="AB6" s="25" t="str">
        <x:v>Sep-41</x:v>
      </x:c>
      <x:c r="AC6" s="25" t="str">
        <x:v>Sep-42</x:v>
      </x:c>
      <x:c r="AD6" s="25" t="str">
        <x:v>Sep-43</x:v>
      </x:c>
      <x:c r="AE6" s="25" t="str">
        <x:v>Sep-44</x:v>
      </x:c>
      <x:c r="AF6" s="25" t="str">
        <x:v>Sep-45</x:v>
      </x:c>
      <x:c r="AG6" s="25" t="str">
        <x:v>Sep-46</x:v>
      </x:c>
      <x:c r="AH6" s="25" t="str">
        <x:v>Sep-47</x:v>
      </x:c>
      <x:c r="AI6" s="25" t="str">
        <x:v>Sep-48</x:v>
      </x:c>
      <x:c r="AJ6" s="25" t="str">
        <x:v>Sep-49</x:v>
      </x:c>
      <x:c r="AK6" s="25" t="str">
        <x:v>Sep-50</x:v>
      </x:c>
      <x:c r="AL6" s="25" t="str">
        <x:v>Sep-51</x:v>
      </x:c>
      <x:c r="AM6" s="25" t="str">
        <x:v>Sep-52</x:v>
      </x:c>
      <x:c r="AN6" s="25" t="str">
        <x:v>Sep-53</x:v>
      </x:c>
      <x:c r="AO6" s="25" t="str">
        <x:v>Sep-54</x:v>
      </x:c>
      <x:c r="AP6" s="25" t="str">
        <x:v>Sep-55</x:v>
      </x:c>
      <x:c r="AQ6" s="25" t="str">
        <x:v>Sep-56</x:v>
      </x:c>
    </x:row>
    <x:row r="7" ht="21" customHeight="1">
      <x:c r="A7" s="2"/>
      <x:c r="B7" s="2"/>
      <x:c r="C7" s="2" t="str">
        <x:v>Period starts</x:v>
      </x:c>
      <x:c r="D7" s="2"/>
      <x:c r="E7" s="28" t="n">
        <x:v>46305</x:v>
      </x:c>
      <x:c r="F7" s="28" t="n">
        <x:v>46388</x:v>
      </x:c>
      <x:c r="G7" s="28" t="n">
        <x:v>46478</x:v>
      </x:c>
      <x:c r="H7" s="28" t="n">
        <x:v>46569</x:v>
      </x:c>
      <x:c r="I7" s="28" t="n">
        <x:v>46661</x:v>
      </x:c>
      <x:c r="J7" s="28" t="n">
        <x:v>46753</x:v>
      </x:c>
      <x:c r="K7" s="28" t="n">
        <x:v>46844</x:v>
      </x:c>
      <x:c r="L7" s="28" t="n">
        <x:v>46935</x:v>
      </x:c>
      <x:c r="M7" s="28" t="n">
        <x:v>47027</x:v>
      </x:c>
      <x:c r="N7" s="28" t="n">
        <x:v>47119</x:v>
      </x:c>
      <x:c r="O7" s="28" t="n">
        <x:v>47209</x:v>
      </x:c>
      <x:c r="P7" s="28" t="n">
        <x:v>47300</x:v>
      </x:c>
      <x:c r="Q7" s="28" t="n">
        <x:v>47392</x:v>
      </x:c>
      <x:c r="R7" s="28" t="n">
        <x:v>47757</x:v>
      </x:c>
      <x:c r="S7" s="28" t="n">
        <x:v>48122</x:v>
      </x:c>
      <x:c r="T7" s="28" t="n">
        <x:v>48488</x:v>
      </x:c>
      <x:c r="U7" s="28" t="n">
        <x:v>48853</x:v>
      </x:c>
      <x:c r="V7" s="28" t="n">
        <x:v>49218</x:v>
      </x:c>
      <x:c r="W7" s="28" t="n">
        <x:v>49583</x:v>
      </x:c>
      <x:c r="X7" s="28" t="n">
        <x:v>49949</x:v>
      </x:c>
      <x:c r="Y7" s="28" t="n">
        <x:v>50314</x:v>
      </x:c>
      <x:c r="Z7" s="28" t="n">
        <x:v>50679</x:v>
      </x:c>
      <x:c r="AA7" s="28" t="n">
        <x:v>51044</x:v>
      </x:c>
      <x:c r="AB7" s="28" t="n">
        <x:v>51410</x:v>
      </x:c>
      <x:c r="AC7" s="28" t="n">
        <x:v>51775</x:v>
      </x:c>
      <x:c r="AD7" s="28" t="n">
        <x:v>52140</x:v>
      </x:c>
      <x:c r="AE7" s="28" t="n">
        <x:v>52505</x:v>
      </x:c>
      <x:c r="AF7" s="28" t="n">
        <x:v>52871</x:v>
      </x:c>
      <x:c r="AG7" s="28" t="n">
        <x:v>53236</x:v>
      </x:c>
      <x:c r="AH7" s="28" t="n">
        <x:v>53601</x:v>
      </x:c>
      <x:c r="AI7" s="28" t="n">
        <x:v>53966</x:v>
      </x:c>
      <x:c r="AJ7" s="28" t="n">
        <x:v>54332</x:v>
      </x:c>
      <x:c r="AK7" s="28" t="n">
        <x:v>54697</x:v>
      </x:c>
      <x:c r="AL7" s="28" t="n">
        <x:v>55062</x:v>
      </x:c>
      <x:c r="AM7" s="28" t="n">
        <x:v>55427</x:v>
      </x:c>
      <x:c r="AN7" s="28" t="n">
        <x:v>55793</x:v>
      </x:c>
      <x:c r="AO7" s="28" t="n">
        <x:v>56158</x:v>
      </x:c>
      <x:c r="AP7" s="28" t="n">
        <x:v>56523</x:v>
      </x:c>
      <x:c r="AQ7" s="28" t="n">
        <x:v>56888</x:v>
      </x:c>
    </x:row>
    <x:row r="8" ht="21" customHeight="1">
      <x:c r="A8" s="2"/>
      <x:c r="B8" s="2"/>
      <x:c r="C8" s="2" t="str">
        <x:v>Period ends</x:v>
      </x:c>
      <x:c r="D8" s="2"/>
      <x:c r="E8" s="28" t="n">
        <x:v>46387</x:v>
      </x:c>
      <x:c r="F8" s="28" t="n">
        <x:v>46477</x:v>
      </x:c>
      <x:c r="G8" s="28" t="n">
        <x:v>46568</x:v>
      </x:c>
      <x:c r="H8" s="28" t="n">
        <x:v>46660</x:v>
      </x:c>
      <x:c r="I8" s="28" t="n">
        <x:v>46752</x:v>
      </x:c>
      <x:c r="J8" s="28" t="n">
        <x:v>46843</x:v>
      </x:c>
      <x:c r="K8" s="28" t="n">
        <x:v>46934</x:v>
      </x:c>
      <x:c r="L8" s="28" t="n">
        <x:v>47026</x:v>
      </x:c>
      <x:c r="M8" s="28" t="n">
        <x:v>47118</x:v>
      </x:c>
      <x:c r="N8" s="28" t="n">
        <x:v>47208</x:v>
      </x:c>
      <x:c r="O8" s="28" t="n">
        <x:v>47299</x:v>
      </x:c>
      <x:c r="P8" s="28" t="n">
        <x:v>47391</x:v>
      </x:c>
      <x:c r="Q8" s="28" t="n">
        <x:v>47756</x:v>
      </x:c>
      <x:c r="R8" s="28" t="n">
        <x:v>48121</x:v>
      </x:c>
      <x:c r="S8" s="28" t="n">
        <x:v>48487</x:v>
      </x:c>
      <x:c r="T8" s="28" t="n">
        <x:v>48852</x:v>
      </x:c>
      <x:c r="U8" s="28" t="n">
        <x:v>49217</x:v>
      </x:c>
      <x:c r="V8" s="28" t="n">
        <x:v>49582</x:v>
      </x:c>
      <x:c r="W8" s="28" t="n">
        <x:v>49948</x:v>
      </x:c>
      <x:c r="X8" s="28" t="n">
        <x:v>50313</x:v>
      </x:c>
      <x:c r="Y8" s="28" t="n">
        <x:v>50678</x:v>
      </x:c>
      <x:c r="Z8" s="28" t="n">
        <x:v>51043</x:v>
      </x:c>
      <x:c r="AA8" s="28" t="n">
        <x:v>51409</x:v>
      </x:c>
      <x:c r="AB8" s="28" t="n">
        <x:v>51774</x:v>
      </x:c>
      <x:c r="AC8" s="28" t="n">
        <x:v>52139</x:v>
      </x:c>
      <x:c r="AD8" s="28" t="n">
        <x:v>52504</x:v>
      </x:c>
      <x:c r="AE8" s="28" t="n">
        <x:v>52870</x:v>
      </x:c>
      <x:c r="AF8" s="28" t="n">
        <x:v>53235</x:v>
      </x:c>
      <x:c r="AG8" s="28" t="n">
        <x:v>53600</x:v>
      </x:c>
      <x:c r="AH8" s="28" t="n">
        <x:v>53965</x:v>
      </x:c>
      <x:c r="AI8" s="28" t="n">
        <x:v>54331</x:v>
      </x:c>
      <x:c r="AJ8" s="28" t="n">
        <x:v>54696</x:v>
      </x:c>
      <x:c r="AK8" s="28" t="n">
        <x:v>55061</x:v>
      </x:c>
      <x:c r="AL8" s="28" t="n">
        <x:v>55426</x:v>
      </x:c>
      <x:c r="AM8" s="28" t="n">
        <x:v>55792</x:v>
      </x:c>
      <x:c r="AN8" s="28" t="n">
        <x:v>56157</x:v>
      </x:c>
      <x:c r="AO8" s="28" t="n">
        <x:v>56522</x:v>
      </x:c>
      <x:c r="AP8" s="28" t="n">
        <x:v>56887</x:v>
      </x:c>
      <x:c r="AQ8" s="28" t="n">
        <x:v>57253</x:v>
      </x:c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</x:row>
    <x:row r="10" ht="21" customHeight="1">
      <x:c r="A10" s="2"/>
      <x:c r="B10" s="2"/>
      <x:c r="C10" s="5" t="str">
        <x:f>'Fleet'!C7</x:f>
        <x:v>Goliath</x:v>
      </x:c>
      <x:c r="D10" s="5" t="str">
        <x:f>'Fleet'!D7</x:f>
        <x:v>Newcastlemax</x:v>
      </x:c>
      <x:c r="E10" s="34" t="n">
        <x:f>MAX(0,MIN(E$8+1,'Fleet'!$O7)-MAX(E$7,'Fleet'!$G7))</x:f>
        <x:v>83</x:v>
      </x:c>
      <x:c r="F10" s="34" t="n">
        <x:f>MAX(0,MIN(F$8+1,'Fleet'!$O7)-MAX(F$7,'Fleet'!$G7))</x:f>
        <x:v>90</x:v>
      </x:c>
      <x:c r="G10" s="34" t="n">
        <x:f>MAX(0,MIN(G$8+1,'Fleet'!$O7)-MAX(G$7,'Fleet'!$G7))</x:f>
        <x:v>91</x:v>
      </x:c>
      <x:c r="H10" s="34" t="n">
        <x:f>MAX(0,MIN(H$8+1,'Fleet'!$O7)-MAX(H$7,'Fleet'!$G7))</x:f>
        <x:v>92</x:v>
      </x:c>
      <x:c r="I10" s="34" t="n">
        <x:f>MAX(0,MIN(I$8+1,'Fleet'!$O7)-MAX(I$7,'Fleet'!$G7))</x:f>
        <x:v>92</x:v>
      </x:c>
      <x:c r="J10" s="34" t="n">
        <x:f>MAX(0,MIN(J$8+1,'Fleet'!$O7)-MAX(J$7,'Fleet'!$G7))</x:f>
        <x:v>91</x:v>
      </x:c>
      <x:c r="K10" s="34" t="n">
        <x:f>MAX(0,MIN(K$8+1,'Fleet'!$O7)-MAX(K$7,'Fleet'!$G7))</x:f>
        <x:v>91</x:v>
      </x:c>
      <x:c r="L10" s="34" t="n">
        <x:f>MAX(0,MIN(L$8+1,'Fleet'!$O7)-MAX(L$7,'Fleet'!$G7))</x:f>
        <x:v>92</x:v>
      </x:c>
      <x:c r="M10" s="34" t="n">
        <x:f>MAX(0,MIN(M$8+1,'Fleet'!$O7)-MAX(M$7,'Fleet'!$G7))</x:f>
        <x:v>92</x:v>
      </x:c>
      <x:c r="N10" s="34" t="n">
        <x:f>MAX(0,MIN(N$8+1,'Fleet'!$O7)-MAX(N$7,'Fleet'!$G7))</x:f>
        <x:v>90</x:v>
      </x:c>
      <x:c r="O10" s="34" t="n">
        <x:f>MAX(0,MIN(O$8+1,'Fleet'!$O7)-MAX(O$7,'Fleet'!$G7))</x:f>
        <x:v>91</x:v>
      </x:c>
      <x:c r="P10" s="34" t="n">
        <x:f>MAX(0,MIN(P$8+1,'Fleet'!$O7)-MAX(P$7,'Fleet'!$G7))</x:f>
        <x:v>92</x:v>
      </x:c>
      <x:c r="Q10" s="34" t="n">
        <x:f>MAX(0,MIN(Q$8+1,'Fleet'!$O7)-MAX(Q$7,'Fleet'!$G7))</x:f>
        <x:v>365</x:v>
      </x:c>
      <x:c r="R10" s="34" t="n">
        <x:f>MAX(0,MIN(R$8+1,'Fleet'!$O7)-MAX(R$7,'Fleet'!$G7))</x:f>
        <x:v>365</x:v>
      </x:c>
      <x:c r="S10" s="34" t="n">
        <x:f>MAX(0,MIN(S$8+1,'Fleet'!$O7)-MAX(S$7,'Fleet'!$G7))</x:f>
        <x:v>366</x:v>
      </x:c>
      <x:c r="T10" s="34" t="n">
        <x:f>MAX(0,MIN(T$8+1,'Fleet'!$O7)-MAX(T$7,'Fleet'!$G7))</x:f>
        <x:v>365</x:v>
      </x:c>
      <x:c r="U10" s="34" t="n">
        <x:f>MAX(0,MIN(U$8+1,'Fleet'!$O7)-MAX(U$7,'Fleet'!$G7))</x:f>
        <x:v>365</x:v>
      </x:c>
      <x:c r="V10" s="34" t="n">
        <x:f>MAX(0,MIN(V$8+1,'Fleet'!$O7)-MAX(V$7,'Fleet'!$G7))</x:f>
        <x:v>365</x:v>
      </x:c>
      <x:c r="W10" s="34" t="n">
        <x:f>MAX(0,MIN(W$8+1,'Fleet'!$O7)-MAX(W$7,'Fleet'!$G7))</x:f>
        <x:v>366</x:v>
      </x:c>
      <x:c r="X10" s="34" t="n">
        <x:f>MAX(0,MIN(X$8+1,'Fleet'!$O7)-MAX(X$7,'Fleet'!$G7))</x:f>
        <x:v>365</x:v>
      </x:c>
      <x:c r="Y10" s="34" t="n">
        <x:f>MAX(0,MIN(Y$8+1,'Fleet'!$O7)-MAX(Y$7,'Fleet'!$G7))</x:f>
        <x:v>365</x:v>
      </x:c>
      <x:c r="Z10" s="34" t="n">
        <x:f>MAX(0,MIN(Z$8+1,'Fleet'!$O7)-MAX(Z$7,'Fleet'!$G7))</x:f>
        <x:v>365</x:v>
      </x:c>
      <x:c r="AA10" s="34" t="n">
        <x:f>MAX(0,MIN(AA$8+1,'Fleet'!$O7)-MAX(AA$7,'Fleet'!$G7))</x:f>
        <x:v>274</x:v>
      </x:c>
      <x:c r="AB10" s="34" t="n">
        <x:f>MAX(0,MIN(AB$8+1,'Fleet'!$O7)-MAX(AB$7,'Fleet'!$G7))</x:f>
        <x:v>0</x:v>
      </x:c>
      <x:c r="AC10" s="34" t="n">
        <x:f>MAX(0,MIN(AC$8+1,'Fleet'!$O7)-MAX(AC$7,'Fleet'!$G7))</x:f>
        <x:v>0</x:v>
      </x:c>
      <x:c r="AD10" s="34" t="n">
        <x:f>MAX(0,MIN(AD$8+1,'Fleet'!$O7)-MAX(AD$7,'Fleet'!$G7))</x:f>
        <x:v>0</x:v>
      </x:c>
      <x:c r="AE10" s="34" t="n">
        <x:f>MAX(0,MIN(AE$8+1,'Fleet'!$O7)-MAX(AE$7,'Fleet'!$G7))</x:f>
        <x:v>0</x:v>
      </x:c>
      <x:c r="AF10" s="34" t="n">
        <x:f>MAX(0,MIN(AF$8+1,'Fleet'!$O7)-MAX(AF$7,'Fleet'!$G7))</x:f>
        <x:v>0</x:v>
      </x:c>
      <x:c r="AG10" s="34" t="n">
        <x:f>MAX(0,MIN(AG$8+1,'Fleet'!$O7)-MAX(AG$7,'Fleet'!$G7))</x:f>
        <x:v>0</x:v>
      </x:c>
      <x:c r="AH10" s="34" t="n">
        <x:f>MAX(0,MIN(AH$8+1,'Fleet'!$O7)-MAX(AH$7,'Fleet'!$G7))</x:f>
        <x:v>0</x:v>
      </x:c>
      <x:c r="AI10" s="34" t="n">
        <x:f>MAX(0,MIN(AI$8+1,'Fleet'!$O7)-MAX(AI$7,'Fleet'!$G7))</x:f>
        <x:v>0</x:v>
      </x:c>
      <x:c r="AJ10" s="34" t="n">
        <x:f>MAX(0,MIN(AJ$8+1,'Fleet'!$O7)-MAX(AJ$7,'Fleet'!$G7))</x:f>
        <x:v>0</x:v>
      </x:c>
      <x:c r="AK10" s="34" t="n">
        <x:f>MAX(0,MIN(AK$8+1,'Fleet'!$O7)-MAX(AK$7,'Fleet'!$G7))</x:f>
        <x:v>0</x:v>
      </x:c>
      <x:c r="AL10" s="34" t="n">
        <x:f>MAX(0,MIN(AL$8+1,'Fleet'!$O7)-MAX(AL$7,'Fleet'!$G7))</x:f>
        <x:v>0</x:v>
      </x:c>
      <x:c r="AM10" s="34" t="n">
        <x:f>MAX(0,MIN(AM$8+1,'Fleet'!$O7)-MAX(AM$7,'Fleet'!$G7))</x:f>
        <x:v>0</x:v>
      </x:c>
      <x:c r="AN10" s="34" t="n">
        <x:f>MAX(0,MIN(AN$8+1,'Fleet'!$O7)-MAX(AN$7,'Fleet'!$G7))</x:f>
        <x:v>0</x:v>
      </x:c>
      <x:c r="AO10" s="34" t="n">
        <x:f>MAX(0,MIN(AO$8+1,'Fleet'!$O7)-MAX(AO$7,'Fleet'!$G7))</x:f>
        <x:v>0</x:v>
      </x:c>
      <x:c r="AP10" s="34" t="n">
        <x:f>MAX(0,MIN(AP$8+1,'Fleet'!$O7)-MAX(AP$7,'Fleet'!$G7))</x:f>
        <x:v>0</x:v>
      </x:c>
      <x:c r="AQ10" s="34" t="n">
        <x:f>MAX(0,MIN(AQ$8+1,'Fleet'!$O7)-MAX(AQ$7,'Fleet'!$G7))</x:f>
        <x:v>0</x:v>
      </x:c>
    </x:row>
    <x:row r="11" ht="21" customHeight="1">
      <x:c r="A11" s="2"/>
      <x:c r="B11" s="2"/>
      <x:c r="C11" s="5" t="str">
        <x:f>'Fleet'!C8</x:f>
        <x:v>Gargantua</x:v>
      </x:c>
      <x:c r="D11" s="5" t="str">
        <x:f>'Fleet'!D8</x:f>
        <x:v>Newcastlemax</x:v>
      </x:c>
      <x:c r="E11" s="34" t="n">
        <x:f>MAX(0,MIN(E$8+1,'Fleet'!$O8)-MAX(E$7,'Fleet'!$G8))</x:f>
        <x:v>83</x:v>
      </x:c>
      <x:c r="F11" s="34" t="n">
        <x:f>MAX(0,MIN(F$8+1,'Fleet'!$O8)-MAX(F$7,'Fleet'!$G8))</x:f>
        <x:v>90</x:v>
      </x:c>
      <x:c r="G11" s="34" t="n">
        <x:f>MAX(0,MIN(G$8+1,'Fleet'!$O8)-MAX(G$7,'Fleet'!$G8))</x:f>
        <x:v>91</x:v>
      </x:c>
      <x:c r="H11" s="34" t="n">
        <x:f>MAX(0,MIN(H$8+1,'Fleet'!$O8)-MAX(H$7,'Fleet'!$G8))</x:f>
        <x:v>92</x:v>
      </x:c>
      <x:c r="I11" s="34" t="n">
        <x:f>MAX(0,MIN(I$8+1,'Fleet'!$O8)-MAX(I$7,'Fleet'!$G8))</x:f>
        <x:v>92</x:v>
      </x:c>
      <x:c r="J11" s="34" t="n">
        <x:f>MAX(0,MIN(J$8+1,'Fleet'!$O8)-MAX(J$7,'Fleet'!$G8))</x:f>
        <x:v>91</x:v>
      </x:c>
      <x:c r="K11" s="34" t="n">
        <x:f>MAX(0,MIN(K$8+1,'Fleet'!$O8)-MAX(K$7,'Fleet'!$G8))</x:f>
        <x:v>91</x:v>
      </x:c>
      <x:c r="L11" s="34" t="n">
        <x:f>MAX(0,MIN(L$8+1,'Fleet'!$O8)-MAX(L$7,'Fleet'!$G8))</x:f>
        <x:v>92</x:v>
      </x:c>
      <x:c r="M11" s="34" t="n">
        <x:f>MAX(0,MIN(M$8+1,'Fleet'!$O8)-MAX(M$7,'Fleet'!$G8))</x:f>
        <x:v>92</x:v>
      </x:c>
      <x:c r="N11" s="34" t="n">
        <x:f>MAX(0,MIN(N$8+1,'Fleet'!$O8)-MAX(N$7,'Fleet'!$G8))</x:f>
        <x:v>90</x:v>
      </x:c>
      <x:c r="O11" s="34" t="n">
        <x:f>MAX(0,MIN(O$8+1,'Fleet'!$O8)-MAX(O$7,'Fleet'!$G8))</x:f>
        <x:v>91</x:v>
      </x:c>
      <x:c r="P11" s="34" t="n">
        <x:f>MAX(0,MIN(P$8+1,'Fleet'!$O8)-MAX(P$7,'Fleet'!$G8))</x:f>
        <x:v>92</x:v>
      </x:c>
      <x:c r="Q11" s="34" t="n">
        <x:f>MAX(0,MIN(Q$8+1,'Fleet'!$O8)-MAX(Q$7,'Fleet'!$G8))</x:f>
        <x:v>365</x:v>
      </x:c>
      <x:c r="R11" s="34" t="n">
        <x:f>MAX(0,MIN(R$8+1,'Fleet'!$O8)-MAX(R$7,'Fleet'!$G8))</x:f>
        <x:v>365</x:v>
      </x:c>
      <x:c r="S11" s="34" t="n">
        <x:f>MAX(0,MIN(S$8+1,'Fleet'!$O8)-MAX(S$7,'Fleet'!$G8))</x:f>
        <x:v>366</x:v>
      </x:c>
      <x:c r="T11" s="34" t="n">
        <x:f>MAX(0,MIN(T$8+1,'Fleet'!$O8)-MAX(T$7,'Fleet'!$G8))</x:f>
        <x:v>365</x:v>
      </x:c>
      <x:c r="U11" s="34" t="n">
        <x:f>MAX(0,MIN(U$8+1,'Fleet'!$O8)-MAX(U$7,'Fleet'!$G8))</x:f>
        <x:v>365</x:v>
      </x:c>
      <x:c r="V11" s="34" t="n">
        <x:f>MAX(0,MIN(V$8+1,'Fleet'!$O8)-MAX(V$7,'Fleet'!$G8))</x:f>
        <x:v>365</x:v>
      </x:c>
      <x:c r="W11" s="34" t="n">
        <x:f>MAX(0,MIN(W$8+1,'Fleet'!$O8)-MAX(W$7,'Fleet'!$G8))</x:f>
        <x:v>366</x:v>
      </x:c>
      <x:c r="X11" s="34" t="n">
        <x:f>MAX(0,MIN(X$8+1,'Fleet'!$O8)-MAX(X$7,'Fleet'!$G8))</x:f>
        <x:v>365</x:v>
      </x:c>
      <x:c r="Y11" s="34" t="n">
        <x:f>MAX(0,MIN(Y$8+1,'Fleet'!$O8)-MAX(Y$7,'Fleet'!$G8))</x:f>
        <x:v>365</x:v>
      </x:c>
      <x:c r="Z11" s="34" t="n">
        <x:f>MAX(0,MIN(Z$8+1,'Fleet'!$O8)-MAX(Z$7,'Fleet'!$G8))</x:f>
        <x:v>365</x:v>
      </x:c>
      <x:c r="AA11" s="34" t="n">
        <x:f>MAX(0,MIN(AA$8+1,'Fleet'!$O8)-MAX(AA$7,'Fleet'!$G8))</x:f>
        <x:v>274</x:v>
      </x:c>
      <x:c r="AB11" s="34" t="n">
        <x:f>MAX(0,MIN(AB$8+1,'Fleet'!$O8)-MAX(AB$7,'Fleet'!$G8))</x:f>
        <x:v>0</x:v>
      </x:c>
      <x:c r="AC11" s="34" t="n">
        <x:f>MAX(0,MIN(AC$8+1,'Fleet'!$O8)-MAX(AC$7,'Fleet'!$G8))</x:f>
        <x:v>0</x:v>
      </x:c>
      <x:c r="AD11" s="34" t="n">
        <x:f>MAX(0,MIN(AD$8+1,'Fleet'!$O8)-MAX(AD$7,'Fleet'!$G8))</x:f>
        <x:v>0</x:v>
      </x:c>
      <x:c r="AE11" s="34" t="n">
        <x:f>MAX(0,MIN(AE$8+1,'Fleet'!$O8)-MAX(AE$7,'Fleet'!$G8))</x:f>
        <x:v>0</x:v>
      </x:c>
      <x:c r="AF11" s="34" t="n">
        <x:f>MAX(0,MIN(AF$8+1,'Fleet'!$O8)-MAX(AF$7,'Fleet'!$G8))</x:f>
        <x:v>0</x:v>
      </x:c>
      <x:c r="AG11" s="34" t="n">
        <x:f>MAX(0,MIN(AG$8+1,'Fleet'!$O8)-MAX(AG$7,'Fleet'!$G8))</x:f>
        <x:v>0</x:v>
      </x:c>
      <x:c r="AH11" s="34" t="n">
        <x:f>MAX(0,MIN(AH$8+1,'Fleet'!$O8)-MAX(AH$7,'Fleet'!$G8))</x:f>
        <x:v>0</x:v>
      </x:c>
      <x:c r="AI11" s="34" t="n">
        <x:f>MAX(0,MIN(AI$8+1,'Fleet'!$O8)-MAX(AI$7,'Fleet'!$G8))</x:f>
        <x:v>0</x:v>
      </x:c>
      <x:c r="AJ11" s="34" t="n">
        <x:f>MAX(0,MIN(AJ$8+1,'Fleet'!$O8)-MAX(AJ$7,'Fleet'!$G8))</x:f>
        <x:v>0</x:v>
      </x:c>
      <x:c r="AK11" s="34" t="n">
        <x:f>MAX(0,MIN(AK$8+1,'Fleet'!$O8)-MAX(AK$7,'Fleet'!$G8))</x:f>
        <x:v>0</x:v>
      </x:c>
      <x:c r="AL11" s="34" t="n">
        <x:f>MAX(0,MIN(AL$8+1,'Fleet'!$O8)-MAX(AL$7,'Fleet'!$G8))</x:f>
        <x:v>0</x:v>
      </x:c>
      <x:c r="AM11" s="34" t="n">
        <x:f>MAX(0,MIN(AM$8+1,'Fleet'!$O8)-MAX(AM$7,'Fleet'!$G8))</x:f>
        <x:v>0</x:v>
      </x:c>
      <x:c r="AN11" s="34" t="n">
        <x:f>MAX(0,MIN(AN$8+1,'Fleet'!$O8)-MAX(AN$7,'Fleet'!$G8))</x:f>
        <x:v>0</x:v>
      </x:c>
      <x:c r="AO11" s="34" t="n">
        <x:f>MAX(0,MIN(AO$8+1,'Fleet'!$O8)-MAX(AO$7,'Fleet'!$G8))</x:f>
        <x:v>0</x:v>
      </x:c>
      <x:c r="AP11" s="34" t="n">
        <x:f>MAX(0,MIN(AP$8+1,'Fleet'!$O8)-MAX(AP$7,'Fleet'!$G8))</x:f>
        <x:v>0</x:v>
      </x:c>
      <x:c r="AQ11" s="34" t="n">
        <x:f>MAX(0,MIN(AQ$8+1,'Fleet'!$O8)-MAX(AQ$7,'Fleet'!$G8))</x:f>
        <x:v>0</x:v>
      </x:c>
    </x:row>
    <x:row r="12" ht="21" customHeight="1">
      <x:c r="A12" s="2"/>
      <x:c r="B12" s="2"/>
      <x:c r="C12" s="5" t="str">
        <x:f>'Fleet'!C9</x:f>
        <x:v>Star Gina 2GR</x:v>
      </x:c>
      <x:c r="D12" s="5" t="str">
        <x:f>'Fleet'!D9</x:f>
        <x:v>Newcastlemax</x:v>
      </x:c>
      <x:c r="E12" s="34" t="n">
        <x:f>MAX(0,MIN(E$8+1,'Fleet'!$O9)-MAX(E$7,'Fleet'!$G9))</x:f>
        <x:v>83</x:v>
      </x:c>
      <x:c r="F12" s="34" t="n">
        <x:f>MAX(0,MIN(F$8+1,'Fleet'!$O9)-MAX(F$7,'Fleet'!$G9))</x:f>
        <x:v>90</x:v>
      </x:c>
      <x:c r="G12" s="34" t="n">
        <x:f>MAX(0,MIN(G$8+1,'Fleet'!$O9)-MAX(G$7,'Fleet'!$G9))</x:f>
        <x:v>91</x:v>
      </x:c>
      <x:c r="H12" s="34" t="n">
        <x:f>MAX(0,MIN(H$8+1,'Fleet'!$O9)-MAX(H$7,'Fleet'!$G9))</x:f>
        <x:v>92</x:v>
      </x:c>
      <x:c r="I12" s="34" t="n">
        <x:f>MAX(0,MIN(I$8+1,'Fleet'!$O9)-MAX(I$7,'Fleet'!$G9))</x:f>
        <x:v>92</x:v>
      </x:c>
      <x:c r="J12" s="34" t="n">
        <x:f>MAX(0,MIN(J$8+1,'Fleet'!$O9)-MAX(J$7,'Fleet'!$G9))</x:f>
        <x:v>91</x:v>
      </x:c>
      <x:c r="K12" s="34" t="n">
        <x:f>MAX(0,MIN(K$8+1,'Fleet'!$O9)-MAX(K$7,'Fleet'!$G9))</x:f>
        <x:v>91</x:v>
      </x:c>
      <x:c r="L12" s="34" t="n">
        <x:f>MAX(0,MIN(L$8+1,'Fleet'!$O9)-MAX(L$7,'Fleet'!$G9))</x:f>
        <x:v>92</x:v>
      </x:c>
      <x:c r="M12" s="34" t="n">
        <x:f>MAX(0,MIN(M$8+1,'Fleet'!$O9)-MAX(M$7,'Fleet'!$G9))</x:f>
        <x:v>92</x:v>
      </x:c>
      <x:c r="N12" s="34" t="n">
        <x:f>MAX(0,MIN(N$8+1,'Fleet'!$O9)-MAX(N$7,'Fleet'!$G9))</x:f>
        <x:v>90</x:v>
      </x:c>
      <x:c r="O12" s="34" t="n">
        <x:f>MAX(0,MIN(O$8+1,'Fleet'!$O9)-MAX(O$7,'Fleet'!$G9))</x:f>
        <x:v>91</x:v>
      </x:c>
      <x:c r="P12" s="34" t="n">
        <x:f>MAX(0,MIN(P$8+1,'Fleet'!$O9)-MAX(P$7,'Fleet'!$G9))</x:f>
        <x:v>92</x:v>
      </x:c>
      <x:c r="Q12" s="34" t="n">
        <x:f>MAX(0,MIN(Q$8+1,'Fleet'!$O9)-MAX(Q$7,'Fleet'!$G9))</x:f>
        <x:v>365</x:v>
      </x:c>
      <x:c r="R12" s="34" t="n">
        <x:f>MAX(0,MIN(R$8+1,'Fleet'!$O9)-MAX(R$7,'Fleet'!$G9))</x:f>
        <x:v>365</x:v>
      </x:c>
      <x:c r="S12" s="34" t="n">
        <x:f>MAX(0,MIN(S$8+1,'Fleet'!$O9)-MAX(S$7,'Fleet'!$G9))</x:f>
        <x:v>366</x:v>
      </x:c>
      <x:c r="T12" s="34" t="n">
        <x:f>MAX(0,MIN(T$8+1,'Fleet'!$O9)-MAX(T$7,'Fleet'!$G9))</x:f>
        <x:v>365</x:v>
      </x:c>
      <x:c r="U12" s="34" t="n">
        <x:f>MAX(0,MIN(U$8+1,'Fleet'!$O9)-MAX(U$7,'Fleet'!$G9))</x:f>
        <x:v>365</x:v>
      </x:c>
      <x:c r="V12" s="34" t="n">
        <x:f>MAX(0,MIN(V$8+1,'Fleet'!$O9)-MAX(V$7,'Fleet'!$G9))</x:f>
        <x:v>365</x:v>
      </x:c>
      <x:c r="W12" s="34" t="n">
        <x:f>MAX(0,MIN(W$8+1,'Fleet'!$O9)-MAX(W$7,'Fleet'!$G9))</x:f>
        <x:v>366</x:v>
      </x:c>
      <x:c r="X12" s="34" t="n">
        <x:f>MAX(0,MIN(X$8+1,'Fleet'!$O9)-MAX(X$7,'Fleet'!$G9))</x:f>
        <x:v>365</x:v>
      </x:c>
      <x:c r="Y12" s="34" t="n">
        <x:f>MAX(0,MIN(Y$8+1,'Fleet'!$O9)-MAX(Y$7,'Fleet'!$G9))</x:f>
        <x:v>365</x:v>
      </x:c>
      <x:c r="Z12" s="34" t="n">
        <x:f>MAX(0,MIN(Z$8+1,'Fleet'!$O9)-MAX(Z$7,'Fleet'!$G9))</x:f>
        <x:v>365</x:v>
      </x:c>
      <x:c r="AA12" s="34" t="n">
        <x:f>MAX(0,MIN(AA$8+1,'Fleet'!$O9)-MAX(AA$7,'Fleet'!$G9))</x:f>
        <x:v>366</x:v>
      </x:c>
      <x:c r="AB12" s="34" t="n">
        <x:f>MAX(0,MIN(AB$8+1,'Fleet'!$O9)-MAX(AB$7,'Fleet'!$G9))</x:f>
        <x:v>273</x:v>
      </x:c>
      <x:c r="AC12" s="34" t="n">
        <x:f>MAX(0,MIN(AC$8+1,'Fleet'!$O9)-MAX(AC$7,'Fleet'!$G9))</x:f>
        <x:v>0</x:v>
      </x:c>
      <x:c r="AD12" s="34" t="n">
        <x:f>MAX(0,MIN(AD$8+1,'Fleet'!$O9)-MAX(AD$7,'Fleet'!$G9))</x:f>
        <x:v>0</x:v>
      </x:c>
      <x:c r="AE12" s="34" t="n">
        <x:f>MAX(0,MIN(AE$8+1,'Fleet'!$O9)-MAX(AE$7,'Fleet'!$G9))</x:f>
        <x:v>0</x:v>
      </x:c>
      <x:c r="AF12" s="34" t="n">
        <x:f>MAX(0,MIN(AF$8+1,'Fleet'!$O9)-MAX(AF$7,'Fleet'!$G9))</x:f>
        <x:v>0</x:v>
      </x:c>
      <x:c r="AG12" s="34" t="n">
        <x:f>MAX(0,MIN(AG$8+1,'Fleet'!$O9)-MAX(AG$7,'Fleet'!$G9))</x:f>
        <x:v>0</x:v>
      </x:c>
      <x:c r="AH12" s="34" t="n">
        <x:f>MAX(0,MIN(AH$8+1,'Fleet'!$O9)-MAX(AH$7,'Fleet'!$G9))</x:f>
        <x:v>0</x:v>
      </x:c>
      <x:c r="AI12" s="34" t="n">
        <x:f>MAX(0,MIN(AI$8+1,'Fleet'!$O9)-MAX(AI$7,'Fleet'!$G9))</x:f>
        <x:v>0</x:v>
      </x:c>
      <x:c r="AJ12" s="34" t="n">
        <x:f>MAX(0,MIN(AJ$8+1,'Fleet'!$O9)-MAX(AJ$7,'Fleet'!$G9))</x:f>
        <x:v>0</x:v>
      </x:c>
      <x:c r="AK12" s="34" t="n">
        <x:f>MAX(0,MIN(AK$8+1,'Fleet'!$O9)-MAX(AK$7,'Fleet'!$G9))</x:f>
        <x:v>0</x:v>
      </x:c>
      <x:c r="AL12" s="34" t="n">
        <x:f>MAX(0,MIN(AL$8+1,'Fleet'!$O9)-MAX(AL$7,'Fleet'!$G9))</x:f>
        <x:v>0</x:v>
      </x:c>
      <x:c r="AM12" s="34" t="n">
        <x:f>MAX(0,MIN(AM$8+1,'Fleet'!$O9)-MAX(AM$7,'Fleet'!$G9))</x:f>
        <x:v>0</x:v>
      </x:c>
      <x:c r="AN12" s="34" t="n">
        <x:f>MAX(0,MIN(AN$8+1,'Fleet'!$O9)-MAX(AN$7,'Fleet'!$G9))</x:f>
        <x:v>0</x:v>
      </x:c>
      <x:c r="AO12" s="34" t="n">
        <x:f>MAX(0,MIN(AO$8+1,'Fleet'!$O9)-MAX(AO$7,'Fleet'!$G9))</x:f>
        <x:v>0</x:v>
      </x:c>
      <x:c r="AP12" s="34" t="n">
        <x:f>MAX(0,MIN(AP$8+1,'Fleet'!$O9)-MAX(AP$7,'Fleet'!$G9))</x:f>
        <x:v>0</x:v>
      </x:c>
      <x:c r="AQ12" s="34" t="n">
        <x:f>MAX(0,MIN(AQ$8+1,'Fleet'!$O9)-MAX(AQ$7,'Fleet'!$G9))</x:f>
        <x:v>0</x:v>
      </x:c>
    </x:row>
    <x:row r="13" ht="21" customHeight="1">
      <x:c r="A13" s="2"/>
      <x:c r="B13" s="2"/>
      <x:c r="C13" s="5" t="str">
        <x:f>'Fleet'!C10</x:f>
        <x:v>Maharaj</x:v>
      </x:c>
      <x:c r="D13" s="5" t="str">
        <x:f>'Fleet'!D10</x:f>
        <x:v>Newcastlemax</x:v>
      </x:c>
      <x:c r="E13" s="34" t="n">
        <x:f>MAX(0,MIN(E$8+1,'Fleet'!$O10)-MAX(E$7,'Fleet'!$G10))</x:f>
        <x:v>83</x:v>
      </x:c>
      <x:c r="F13" s="34" t="n">
        <x:f>MAX(0,MIN(F$8+1,'Fleet'!$O10)-MAX(F$7,'Fleet'!$G10))</x:f>
        <x:v>90</x:v>
      </x:c>
      <x:c r="G13" s="34" t="n">
        <x:f>MAX(0,MIN(G$8+1,'Fleet'!$O10)-MAX(G$7,'Fleet'!$G10))</x:f>
        <x:v>91</x:v>
      </x:c>
      <x:c r="H13" s="34" t="n">
        <x:f>MAX(0,MIN(H$8+1,'Fleet'!$O10)-MAX(H$7,'Fleet'!$G10))</x:f>
        <x:v>92</x:v>
      </x:c>
      <x:c r="I13" s="34" t="n">
        <x:f>MAX(0,MIN(I$8+1,'Fleet'!$O10)-MAX(I$7,'Fleet'!$G10))</x:f>
        <x:v>92</x:v>
      </x:c>
      <x:c r="J13" s="34" t="n">
        <x:f>MAX(0,MIN(J$8+1,'Fleet'!$O10)-MAX(J$7,'Fleet'!$G10))</x:f>
        <x:v>91</x:v>
      </x:c>
      <x:c r="K13" s="34" t="n">
        <x:f>MAX(0,MIN(K$8+1,'Fleet'!$O10)-MAX(K$7,'Fleet'!$G10))</x:f>
        <x:v>91</x:v>
      </x:c>
      <x:c r="L13" s="34" t="n">
        <x:f>MAX(0,MIN(L$8+1,'Fleet'!$O10)-MAX(L$7,'Fleet'!$G10))</x:f>
        <x:v>92</x:v>
      </x:c>
      <x:c r="M13" s="34" t="n">
        <x:f>MAX(0,MIN(M$8+1,'Fleet'!$O10)-MAX(M$7,'Fleet'!$G10))</x:f>
        <x:v>92</x:v>
      </x:c>
      <x:c r="N13" s="34" t="n">
        <x:f>MAX(0,MIN(N$8+1,'Fleet'!$O10)-MAX(N$7,'Fleet'!$G10))</x:f>
        <x:v>90</x:v>
      </x:c>
      <x:c r="O13" s="34" t="n">
        <x:f>MAX(0,MIN(O$8+1,'Fleet'!$O10)-MAX(O$7,'Fleet'!$G10))</x:f>
        <x:v>91</x:v>
      </x:c>
      <x:c r="P13" s="34" t="n">
        <x:f>MAX(0,MIN(P$8+1,'Fleet'!$O10)-MAX(P$7,'Fleet'!$G10))</x:f>
        <x:v>92</x:v>
      </x:c>
      <x:c r="Q13" s="34" t="n">
        <x:f>MAX(0,MIN(Q$8+1,'Fleet'!$O10)-MAX(Q$7,'Fleet'!$G10))</x:f>
        <x:v>365</x:v>
      </x:c>
      <x:c r="R13" s="34" t="n">
        <x:f>MAX(0,MIN(R$8+1,'Fleet'!$O10)-MAX(R$7,'Fleet'!$G10))</x:f>
        <x:v>365</x:v>
      </x:c>
      <x:c r="S13" s="34" t="n">
        <x:f>MAX(0,MIN(S$8+1,'Fleet'!$O10)-MAX(S$7,'Fleet'!$G10))</x:f>
        <x:v>366</x:v>
      </x:c>
      <x:c r="T13" s="34" t="n">
        <x:f>MAX(0,MIN(T$8+1,'Fleet'!$O10)-MAX(T$7,'Fleet'!$G10))</x:f>
        <x:v>365</x:v>
      </x:c>
      <x:c r="U13" s="34" t="n">
        <x:f>MAX(0,MIN(U$8+1,'Fleet'!$O10)-MAX(U$7,'Fleet'!$G10))</x:f>
        <x:v>365</x:v>
      </x:c>
      <x:c r="V13" s="34" t="n">
        <x:f>MAX(0,MIN(V$8+1,'Fleet'!$O10)-MAX(V$7,'Fleet'!$G10))</x:f>
        <x:v>365</x:v>
      </x:c>
      <x:c r="W13" s="34" t="n">
        <x:f>MAX(0,MIN(W$8+1,'Fleet'!$O10)-MAX(W$7,'Fleet'!$G10))</x:f>
        <x:v>366</x:v>
      </x:c>
      <x:c r="X13" s="34" t="n">
        <x:f>MAX(0,MIN(X$8+1,'Fleet'!$O10)-MAX(X$7,'Fleet'!$G10))</x:f>
        <x:v>365</x:v>
      </x:c>
      <x:c r="Y13" s="34" t="n">
        <x:f>MAX(0,MIN(Y$8+1,'Fleet'!$O10)-MAX(Y$7,'Fleet'!$G10))</x:f>
        <x:v>365</x:v>
      </x:c>
      <x:c r="Z13" s="34" t="n">
        <x:f>MAX(0,MIN(Z$8+1,'Fleet'!$O10)-MAX(Z$7,'Fleet'!$G10))</x:f>
        <x:v>365</x:v>
      </x:c>
      <x:c r="AA13" s="34" t="n">
        <x:f>MAX(0,MIN(AA$8+1,'Fleet'!$O10)-MAX(AA$7,'Fleet'!$G10))</x:f>
        <x:v>274</x:v>
      </x:c>
      <x:c r="AB13" s="34" t="n">
        <x:f>MAX(0,MIN(AB$8+1,'Fleet'!$O10)-MAX(AB$7,'Fleet'!$G10))</x:f>
        <x:v>0</x:v>
      </x:c>
      <x:c r="AC13" s="34" t="n">
        <x:f>MAX(0,MIN(AC$8+1,'Fleet'!$O10)-MAX(AC$7,'Fleet'!$G10))</x:f>
        <x:v>0</x:v>
      </x:c>
      <x:c r="AD13" s="34" t="n">
        <x:f>MAX(0,MIN(AD$8+1,'Fleet'!$O10)-MAX(AD$7,'Fleet'!$G10))</x:f>
        <x:v>0</x:v>
      </x:c>
      <x:c r="AE13" s="34" t="n">
        <x:f>MAX(0,MIN(AE$8+1,'Fleet'!$O10)-MAX(AE$7,'Fleet'!$G10))</x:f>
        <x:v>0</x:v>
      </x:c>
      <x:c r="AF13" s="34" t="n">
        <x:f>MAX(0,MIN(AF$8+1,'Fleet'!$O10)-MAX(AF$7,'Fleet'!$G10))</x:f>
        <x:v>0</x:v>
      </x:c>
      <x:c r="AG13" s="34" t="n">
        <x:f>MAX(0,MIN(AG$8+1,'Fleet'!$O10)-MAX(AG$7,'Fleet'!$G10))</x:f>
        <x:v>0</x:v>
      </x:c>
      <x:c r="AH13" s="34" t="n">
        <x:f>MAX(0,MIN(AH$8+1,'Fleet'!$O10)-MAX(AH$7,'Fleet'!$G10))</x:f>
        <x:v>0</x:v>
      </x:c>
      <x:c r="AI13" s="34" t="n">
        <x:f>MAX(0,MIN(AI$8+1,'Fleet'!$O10)-MAX(AI$7,'Fleet'!$G10))</x:f>
        <x:v>0</x:v>
      </x:c>
      <x:c r="AJ13" s="34" t="n">
        <x:f>MAX(0,MIN(AJ$8+1,'Fleet'!$O10)-MAX(AJ$7,'Fleet'!$G10))</x:f>
        <x:v>0</x:v>
      </x:c>
      <x:c r="AK13" s="34" t="n">
        <x:f>MAX(0,MIN(AK$8+1,'Fleet'!$O10)-MAX(AK$7,'Fleet'!$G10))</x:f>
        <x:v>0</x:v>
      </x:c>
      <x:c r="AL13" s="34" t="n">
        <x:f>MAX(0,MIN(AL$8+1,'Fleet'!$O10)-MAX(AL$7,'Fleet'!$G10))</x:f>
        <x:v>0</x:v>
      </x:c>
      <x:c r="AM13" s="34" t="n">
        <x:f>MAX(0,MIN(AM$8+1,'Fleet'!$O10)-MAX(AM$7,'Fleet'!$G10))</x:f>
        <x:v>0</x:v>
      </x:c>
      <x:c r="AN13" s="34" t="n">
        <x:f>MAX(0,MIN(AN$8+1,'Fleet'!$O10)-MAX(AN$7,'Fleet'!$G10))</x:f>
        <x:v>0</x:v>
      </x:c>
      <x:c r="AO13" s="34" t="n">
        <x:f>MAX(0,MIN(AO$8+1,'Fleet'!$O10)-MAX(AO$7,'Fleet'!$G10))</x:f>
        <x:v>0</x:v>
      </x:c>
      <x:c r="AP13" s="34" t="n">
        <x:f>MAX(0,MIN(AP$8+1,'Fleet'!$O10)-MAX(AP$7,'Fleet'!$G10))</x:f>
        <x:v>0</x:v>
      </x:c>
      <x:c r="AQ13" s="34" t="n">
        <x:f>MAX(0,MIN(AQ$8+1,'Fleet'!$O10)-MAX(AQ$7,'Fleet'!$G10))</x:f>
        <x:v>0</x:v>
      </x:c>
    </x:row>
    <x:row r="14" ht="21" customHeight="1">
      <x:c r="A14" s="2"/>
      <x:c r="B14" s="2"/>
      <x:c r="C14" s="5" t="str">
        <x:f>'Fleet'!C11</x:f>
        <x:v>Star Leo</x:v>
      </x:c>
      <x:c r="D14" s="5" t="str">
        <x:f>'Fleet'!D11</x:f>
        <x:v>Newcastlemax</x:v>
      </x:c>
      <x:c r="E14" s="34" t="n">
        <x:f>MAX(0,MIN(E$8+1,'Fleet'!$O11)-MAX(E$7,'Fleet'!$G11))</x:f>
        <x:v>83</x:v>
      </x:c>
      <x:c r="F14" s="34" t="n">
        <x:f>MAX(0,MIN(F$8+1,'Fleet'!$O11)-MAX(F$7,'Fleet'!$G11))</x:f>
        <x:v>90</x:v>
      </x:c>
      <x:c r="G14" s="34" t="n">
        <x:f>MAX(0,MIN(G$8+1,'Fleet'!$O11)-MAX(G$7,'Fleet'!$G11))</x:f>
        <x:v>91</x:v>
      </x:c>
      <x:c r="H14" s="34" t="n">
        <x:f>MAX(0,MIN(H$8+1,'Fleet'!$O11)-MAX(H$7,'Fleet'!$G11))</x:f>
        <x:v>92</x:v>
      </x:c>
      <x:c r="I14" s="34" t="n">
        <x:f>MAX(0,MIN(I$8+1,'Fleet'!$O11)-MAX(I$7,'Fleet'!$G11))</x:f>
        <x:v>92</x:v>
      </x:c>
      <x:c r="J14" s="34" t="n">
        <x:f>MAX(0,MIN(J$8+1,'Fleet'!$O11)-MAX(J$7,'Fleet'!$G11))</x:f>
        <x:v>91</x:v>
      </x:c>
      <x:c r="K14" s="34" t="n">
        <x:f>MAX(0,MIN(K$8+1,'Fleet'!$O11)-MAX(K$7,'Fleet'!$G11))</x:f>
        <x:v>91</x:v>
      </x:c>
      <x:c r="L14" s="34" t="n">
        <x:f>MAX(0,MIN(L$8+1,'Fleet'!$O11)-MAX(L$7,'Fleet'!$G11))</x:f>
        <x:v>92</x:v>
      </x:c>
      <x:c r="M14" s="34" t="n">
        <x:f>MAX(0,MIN(M$8+1,'Fleet'!$O11)-MAX(M$7,'Fleet'!$G11))</x:f>
        <x:v>92</x:v>
      </x:c>
      <x:c r="N14" s="34" t="n">
        <x:f>MAX(0,MIN(N$8+1,'Fleet'!$O11)-MAX(N$7,'Fleet'!$G11))</x:f>
        <x:v>90</x:v>
      </x:c>
      <x:c r="O14" s="34" t="n">
        <x:f>MAX(0,MIN(O$8+1,'Fleet'!$O11)-MAX(O$7,'Fleet'!$G11))</x:f>
        <x:v>91</x:v>
      </x:c>
      <x:c r="P14" s="34" t="n">
        <x:f>MAX(0,MIN(P$8+1,'Fleet'!$O11)-MAX(P$7,'Fleet'!$G11))</x:f>
        <x:v>92</x:v>
      </x:c>
      <x:c r="Q14" s="34" t="n">
        <x:f>MAX(0,MIN(Q$8+1,'Fleet'!$O11)-MAX(Q$7,'Fleet'!$G11))</x:f>
        <x:v>365</x:v>
      </x:c>
      <x:c r="R14" s="34" t="n">
        <x:f>MAX(0,MIN(R$8+1,'Fleet'!$O11)-MAX(R$7,'Fleet'!$G11))</x:f>
        <x:v>365</x:v>
      </x:c>
      <x:c r="S14" s="34" t="n">
        <x:f>MAX(0,MIN(S$8+1,'Fleet'!$O11)-MAX(S$7,'Fleet'!$G11))</x:f>
        <x:v>366</x:v>
      </x:c>
      <x:c r="T14" s="34" t="n">
        <x:f>MAX(0,MIN(T$8+1,'Fleet'!$O11)-MAX(T$7,'Fleet'!$G11))</x:f>
        <x:v>365</x:v>
      </x:c>
      <x:c r="U14" s="34" t="n">
        <x:f>MAX(0,MIN(U$8+1,'Fleet'!$O11)-MAX(U$7,'Fleet'!$G11))</x:f>
        <x:v>365</x:v>
      </x:c>
      <x:c r="V14" s="34" t="n">
        <x:f>MAX(0,MIN(V$8+1,'Fleet'!$O11)-MAX(V$7,'Fleet'!$G11))</x:f>
        <x:v>365</x:v>
      </x:c>
      <x:c r="W14" s="34" t="n">
        <x:f>MAX(0,MIN(W$8+1,'Fleet'!$O11)-MAX(W$7,'Fleet'!$G11))</x:f>
        <x:v>366</x:v>
      </x:c>
      <x:c r="X14" s="34" t="n">
        <x:f>MAX(0,MIN(X$8+1,'Fleet'!$O11)-MAX(X$7,'Fleet'!$G11))</x:f>
        <x:v>365</x:v>
      </x:c>
      <x:c r="Y14" s="34" t="n">
        <x:f>MAX(0,MIN(Y$8+1,'Fleet'!$O11)-MAX(Y$7,'Fleet'!$G11))</x:f>
        <x:v>365</x:v>
      </x:c>
      <x:c r="Z14" s="34" t="n">
        <x:f>MAX(0,MIN(Z$8+1,'Fleet'!$O11)-MAX(Z$7,'Fleet'!$G11))</x:f>
        <x:v>365</x:v>
      </x:c>
      <x:c r="AA14" s="34" t="n">
        <x:f>MAX(0,MIN(AA$8+1,'Fleet'!$O11)-MAX(AA$7,'Fleet'!$G11))</x:f>
        <x:v>366</x:v>
      </x:c>
      <x:c r="AB14" s="34" t="n">
        <x:f>MAX(0,MIN(AB$8+1,'Fleet'!$O11)-MAX(AB$7,'Fleet'!$G11))</x:f>
        <x:v>365</x:v>
      </x:c>
      <x:c r="AC14" s="34" t="n">
        <x:f>MAX(0,MIN(AC$8+1,'Fleet'!$O11)-MAX(AC$7,'Fleet'!$G11))</x:f>
        <x:v>365</x:v>
      </x:c>
      <x:c r="AD14" s="34" t="n">
        <x:f>MAX(0,MIN(AD$8+1,'Fleet'!$O11)-MAX(AD$7,'Fleet'!$G11))</x:f>
        <x:v>273</x:v>
      </x:c>
      <x:c r="AE14" s="34" t="n">
        <x:f>MAX(0,MIN(AE$8+1,'Fleet'!$O11)-MAX(AE$7,'Fleet'!$G11))</x:f>
        <x:v>0</x:v>
      </x:c>
      <x:c r="AF14" s="34" t="n">
        <x:f>MAX(0,MIN(AF$8+1,'Fleet'!$O11)-MAX(AF$7,'Fleet'!$G11))</x:f>
        <x:v>0</x:v>
      </x:c>
      <x:c r="AG14" s="34" t="n">
        <x:f>MAX(0,MIN(AG$8+1,'Fleet'!$O11)-MAX(AG$7,'Fleet'!$G11))</x:f>
        <x:v>0</x:v>
      </x:c>
      <x:c r="AH14" s="34" t="n">
        <x:f>MAX(0,MIN(AH$8+1,'Fleet'!$O11)-MAX(AH$7,'Fleet'!$G11))</x:f>
        <x:v>0</x:v>
      </x:c>
      <x:c r="AI14" s="34" t="n">
        <x:f>MAX(0,MIN(AI$8+1,'Fleet'!$O11)-MAX(AI$7,'Fleet'!$G11))</x:f>
        <x:v>0</x:v>
      </x:c>
      <x:c r="AJ14" s="34" t="n">
        <x:f>MAX(0,MIN(AJ$8+1,'Fleet'!$O11)-MAX(AJ$7,'Fleet'!$G11))</x:f>
        <x:v>0</x:v>
      </x:c>
      <x:c r="AK14" s="34" t="n">
        <x:f>MAX(0,MIN(AK$8+1,'Fleet'!$O11)-MAX(AK$7,'Fleet'!$G11))</x:f>
        <x:v>0</x:v>
      </x:c>
      <x:c r="AL14" s="34" t="n">
        <x:f>MAX(0,MIN(AL$8+1,'Fleet'!$O11)-MAX(AL$7,'Fleet'!$G11))</x:f>
        <x:v>0</x:v>
      </x:c>
      <x:c r="AM14" s="34" t="n">
        <x:f>MAX(0,MIN(AM$8+1,'Fleet'!$O11)-MAX(AM$7,'Fleet'!$G11))</x:f>
        <x:v>0</x:v>
      </x:c>
      <x:c r="AN14" s="34" t="n">
        <x:f>MAX(0,MIN(AN$8+1,'Fleet'!$O11)-MAX(AN$7,'Fleet'!$G11))</x:f>
        <x:v>0</x:v>
      </x:c>
      <x:c r="AO14" s="34" t="n">
        <x:f>MAX(0,MIN(AO$8+1,'Fleet'!$O11)-MAX(AO$7,'Fleet'!$G11))</x:f>
        <x:v>0</x:v>
      </x:c>
      <x:c r="AP14" s="34" t="n">
        <x:f>MAX(0,MIN(AP$8+1,'Fleet'!$O11)-MAX(AP$7,'Fleet'!$G11))</x:f>
        <x:v>0</x:v>
      </x:c>
      <x:c r="AQ14" s="34" t="n">
        <x:f>MAX(0,MIN(AQ$8+1,'Fleet'!$O11)-MAX(AQ$7,'Fleet'!$G11))</x:f>
        <x:v>0</x:v>
      </x:c>
    </x:row>
    <x:row r="15" ht="21" customHeight="1">
      <x:c r="A15" s="2"/>
      <x:c r="B15" s="2"/>
      <x:c r="C15" s="5" t="str">
        <x:f>'Fleet'!C12</x:f>
        <x:v>Star Laetitia</x:v>
      </x:c>
      <x:c r="D15" s="5" t="str">
        <x:f>'Fleet'!D12</x:f>
        <x:v>Newcastlemax</x:v>
      </x:c>
      <x:c r="E15" s="34" t="n">
        <x:f>MAX(0,MIN(E$8+1,'Fleet'!$O12)-MAX(E$7,'Fleet'!$G12))</x:f>
        <x:v>83</x:v>
      </x:c>
      <x:c r="F15" s="34" t="n">
        <x:f>MAX(0,MIN(F$8+1,'Fleet'!$O12)-MAX(F$7,'Fleet'!$G12))</x:f>
        <x:v>90</x:v>
      </x:c>
      <x:c r="G15" s="34" t="n">
        <x:f>MAX(0,MIN(G$8+1,'Fleet'!$O12)-MAX(G$7,'Fleet'!$G12))</x:f>
        <x:v>91</x:v>
      </x:c>
      <x:c r="H15" s="34" t="n">
        <x:f>MAX(0,MIN(H$8+1,'Fleet'!$O12)-MAX(H$7,'Fleet'!$G12))</x:f>
        <x:v>92</x:v>
      </x:c>
      <x:c r="I15" s="34" t="n">
        <x:f>MAX(0,MIN(I$8+1,'Fleet'!$O12)-MAX(I$7,'Fleet'!$G12))</x:f>
        <x:v>92</x:v>
      </x:c>
      <x:c r="J15" s="34" t="n">
        <x:f>MAX(0,MIN(J$8+1,'Fleet'!$O12)-MAX(J$7,'Fleet'!$G12))</x:f>
        <x:v>91</x:v>
      </x:c>
      <x:c r="K15" s="34" t="n">
        <x:f>MAX(0,MIN(K$8+1,'Fleet'!$O12)-MAX(K$7,'Fleet'!$G12))</x:f>
        <x:v>91</x:v>
      </x:c>
      <x:c r="L15" s="34" t="n">
        <x:f>MAX(0,MIN(L$8+1,'Fleet'!$O12)-MAX(L$7,'Fleet'!$G12))</x:f>
        <x:v>92</x:v>
      </x:c>
      <x:c r="M15" s="34" t="n">
        <x:f>MAX(0,MIN(M$8+1,'Fleet'!$O12)-MAX(M$7,'Fleet'!$G12))</x:f>
        <x:v>92</x:v>
      </x:c>
      <x:c r="N15" s="34" t="n">
        <x:f>MAX(0,MIN(N$8+1,'Fleet'!$O12)-MAX(N$7,'Fleet'!$G12))</x:f>
        <x:v>90</x:v>
      </x:c>
      <x:c r="O15" s="34" t="n">
        <x:f>MAX(0,MIN(O$8+1,'Fleet'!$O12)-MAX(O$7,'Fleet'!$G12))</x:f>
        <x:v>91</x:v>
      </x:c>
      <x:c r="P15" s="34" t="n">
        <x:f>MAX(0,MIN(P$8+1,'Fleet'!$O12)-MAX(P$7,'Fleet'!$G12))</x:f>
        <x:v>92</x:v>
      </x:c>
      <x:c r="Q15" s="34" t="n">
        <x:f>MAX(0,MIN(Q$8+1,'Fleet'!$O12)-MAX(Q$7,'Fleet'!$G12))</x:f>
        <x:v>365</x:v>
      </x:c>
      <x:c r="R15" s="34" t="n">
        <x:f>MAX(0,MIN(R$8+1,'Fleet'!$O12)-MAX(R$7,'Fleet'!$G12))</x:f>
        <x:v>365</x:v>
      </x:c>
      <x:c r="S15" s="34" t="n">
        <x:f>MAX(0,MIN(S$8+1,'Fleet'!$O12)-MAX(S$7,'Fleet'!$G12))</x:f>
        <x:v>366</x:v>
      </x:c>
      <x:c r="T15" s="34" t="n">
        <x:f>MAX(0,MIN(T$8+1,'Fleet'!$O12)-MAX(T$7,'Fleet'!$G12))</x:f>
        <x:v>365</x:v>
      </x:c>
      <x:c r="U15" s="34" t="n">
        <x:f>MAX(0,MIN(U$8+1,'Fleet'!$O12)-MAX(U$7,'Fleet'!$G12))</x:f>
        <x:v>365</x:v>
      </x:c>
      <x:c r="V15" s="34" t="n">
        <x:f>MAX(0,MIN(V$8+1,'Fleet'!$O12)-MAX(V$7,'Fleet'!$G12))</x:f>
        <x:v>365</x:v>
      </x:c>
      <x:c r="W15" s="34" t="n">
        <x:f>MAX(0,MIN(W$8+1,'Fleet'!$O12)-MAX(W$7,'Fleet'!$G12))</x:f>
        <x:v>366</x:v>
      </x:c>
      <x:c r="X15" s="34" t="n">
        <x:f>MAX(0,MIN(X$8+1,'Fleet'!$O12)-MAX(X$7,'Fleet'!$G12))</x:f>
        <x:v>365</x:v>
      </x:c>
      <x:c r="Y15" s="34" t="n">
        <x:f>MAX(0,MIN(Y$8+1,'Fleet'!$O12)-MAX(Y$7,'Fleet'!$G12))</x:f>
        <x:v>365</x:v>
      </x:c>
      <x:c r="Z15" s="34" t="n">
        <x:f>MAX(0,MIN(Z$8+1,'Fleet'!$O12)-MAX(Z$7,'Fleet'!$G12))</x:f>
        <x:v>365</x:v>
      </x:c>
      <x:c r="AA15" s="34" t="n">
        <x:f>MAX(0,MIN(AA$8+1,'Fleet'!$O12)-MAX(AA$7,'Fleet'!$G12))</x:f>
        <x:v>366</x:v>
      </x:c>
      <x:c r="AB15" s="34" t="n">
        <x:f>MAX(0,MIN(AB$8+1,'Fleet'!$O12)-MAX(AB$7,'Fleet'!$G12))</x:f>
        <x:v>365</x:v>
      </x:c>
      <x:c r="AC15" s="34" t="n">
        <x:f>MAX(0,MIN(AC$8+1,'Fleet'!$O12)-MAX(AC$7,'Fleet'!$G12))</x:f>
        <x:v>273</x:v>
      </x:c>
      <x:c r="AD15" s="34" t="n">
        <x:f>MAX(0,MIN(AD$8+1,'Fleet'!$O12)-MAX(AD$7,'Fleet'!$G12))</x:f>
        <x:v>0</x:v>
      </x:c>
      <x:c r="AE15" s="34" t="n">
        <x:f>MAX(0,MIN(AE$8+1,'Fleet'!$O12)-MAX(AE$7,'Fleet'!$G12))</x:f>
        <x:v>0</x:v>
      </x:c>
      <x:c r="AF15" s="34" t="n">
        <x:f>MAX(0,MIN(AF$8+1,'Fleet'!$O12)-MAX(AF$7,'Fleet'!$G12))</x:f>
        <x:v>0</x:v>
      </x:c>
      <x:c r="AG15" s="34" t="n">
        <x:f>MAX(0,MIN(AG$8+1,'Fleet'!$O12)-MAX(AG$7,'Fleet'!$G12))</x:f>
        <x:v>0</x:v>
      </x:c>
      <x:c r="AH15" s="34" t="n">
        <x:f>MAX(0,MIN(AH$8+1,'Fleet'!$O12)-MAX(AH$7,'Fleet'!$G12))</x:f>
        <x:v>0</x:v>
      </x:c>
      <x:c r="AI15" s="34" t="n">
        <x:f>MAX(0,MIN(AI$8+1,'Fleet'!$O12)-MAX(AI$7,'Fleet'!$G12))</x:f>
        <x:v>0</x:v>
      </x:c>
      <x:c r="AJ15" s="34" t="n">
        <x:f>MAX(0,MIN(AJ$8+1,'Fleet'!$O12)-MAX(AJ$7,'Fleet'!$G12))</x:f>
        <x:v>0</x:v>
      </x:c>
      <x:c r="AK15" s="34" t="n">
        <x:f>MAX(0,MIN(AK$8+1,'Fleet'!$O12)-MAX(AK$7,'Fleet'!$G12))</x:f>
        <x:v>0</x:v>
      </x:c>
      <x:c r="AL15" s="34" t="n">
        <x:f>MAX(0,MIN(AL$8+1,'Fleet'!$O12)-MAX(AL$7,'Fleet'!$G12))</x:f>
        <x:v>0</x:v>
      </x:c>
      <x:c r="AM15" s="34" t="n">
        <x:f>MAX(0,MIN(AM$8+1,'Fleet'!$O12)-MAX(AM$7,'Fleet'!$G12))</x:f>
        <x:v>0</x:v>
      </x:c>
      <x:c r="AN15" s="34" t="n">
        <x:f>MAX(0,MIN(AN$8+1,'Fleet'!$O12)-MAX(AN$7,'Fleet'!$G12))</x:f>
        <x:v>0</x:v>
      </x:c>
      <x:c r="AO15" s="34" t="n">
        <x:f>MAX(0,MIN(AO$8+1,'Fleet'!$O12)-MAX(AO$7,'Fleet'!$G12))</x:f>
        <x:v>0</x:v>
      </x:c>
      <x:c r="AP15" s="34" t="n">
        <x:f>MAX(0,MIN(AP$8+1,'Fleet'!$O12)-MAX(AP$7,'Fleet'!$G12))</x:f>
        <x:v>0</x:v>
      </x:c>
      <x:c r="AQ15" s="34" t="n">
        <x:f>MAX(0,MIN(AQ$8+1,'Fleet'!$O12)-MAX(AQ$7,'Fleet'!$G12))</x:f>
        <x:v>0</x:v>
      </x:c>
    </x:row>
    <x:row r="16" ht="21" customHeight="1">
      <x:c r="A16" s="2"/>
      <x:c r="B16" s="2"/>
      <x:c r="C16" s="5" t="str">
        <x:f>'Fleet'!C13</x:f>
        <x:v>Star Ariadne</x:v>
      </x:c>
      <x:c r="D16" s="5" t="str">
        <x:f>'Fleet'!D13</x:f>
        <x:v>Newcastlemax</x:v>
      </x:c>
      <x:c r="E16" s="34" t="n">
        <x:f>MAX(0,MIN(E$8+1,'Fleet'!$O13)-MAX(E$7,'Fleet'!$G13))</x:f>
        <x:v>83</x:v>
      </x:c>
      <x:c r="F16" s="34" t="n">
        <x:f>MAX(0,MIN(F$8+1,'Fleet'!$O13)-MAX(F$7,'Fleet'!$G13))</x:f>
        <x:v>90</x:v>
      </x:c>
      <x:c r="G16" s="34" t="n">
        <x:f>MAX(0,MIN(G$8+1,'Fleet'!$O13)-MAX(G$7,'Fleet'!$G13))</x:f>
        <x:v>91</x:v>
      </x:c>
      <x:c r="H16" s="34" t="n">
        <x:f>MAX(0,MIN(H$8+1,'Fleet'!$O13)-MAX(H$7,'Fleet'!$G13))</x:f>
        <x:v>92</x:v>
      </x:c>
      <x:c r="I16" s="34" t="n">
        <x:f>MAX(0,MIN(I$8+1,'Fleet'!$O13)-MAX(I$7,'Fleet'!$G13))</x:f>
        <x:v>92</x:v>
      </x:c>
      <x:c r="J16" s="34" t="n">
        <x:f>MAX(0,MIN(J$8+1,'Fleet'!$O13)-MAX(J$7,'Fleet'!$G13))</x:f>
        <x:v>91</x:v>
      </x:c>
      <x:c r="K16" s="34" t="n">
        <x:f>MAX(0,MIN(K$8+1,'Fleet'!$O13)-MAX(K$7,'Fleet'!$G13))</x:f>
        <x:v>91</x:v>
      </x:c>
      <x:c r="L16" s="34" t="n">
        <x:f>MAX(0,MIN(L$8+1,'Fleet'!$O13)-MAX(L$7,'Fleet'!$G13))</x:f>
        <x:v>92</x:v>
      </x:c>
      <x:c r="M16" s="34" t="n">
        <x:f>MAX(0,MIN(M$8+1,'Fleet'!$O13)-MAX(M$7,'Fleet'!$G13))</x:f>
        <x:v>92</x:v>
      </x:c>
      <x:c r="N16" s="34" t="n">
        <x:f>MAX(0,MIN(N$8+1,'Fleet'!$O13)-MAX(N$7,'Fleet'!$G13))</x:f>
        <x:v>90</x:v>
      </x:c>
      <x:c r="O16" s="34" t="n">
        <x:f>MAX(0,MIN(O$8+1,'Fleet'!$O13)-MAX(O$7,'Fleet'!$G13))</x:f>
        <x:v>91</x:v>
      </x:c>
      <x:c r="P16" s="34" t="n">
        <x:f>MAX(0,MIN(P$8+1,'Fleet'!$O13)-MAX(P$7,'Fleet'!$G13))</x:f>
        <x:v>92</x:v>
      </x:c>
      <x:c r="Q16" s="34" t="n">
        <x:f>MAX(0,MIN(Q$8+1,'Fleet'!$O13)-MAX(Q$7,'Fleet'!$G13))</x:f>
        <x:v>365</x:v>
      </x:c>
      <x:c r="R16" s="34" t="n">
        <x:f>MAX(0,MIN(R$8+1,'Fleet'!$O13)-MAX(R$7,'Fleet'!$G13))</x:f>
        <x:v>365</x:v>
      </x:c>
      <x:c r="S16" s="34" t="n">
        <x:f>MAX(0,MIN(S$8+1,'Fleet'!$O13)-MAX(S$7,'Fleet'!$G13))</x:f>
        <x:v>366</x:v>
      </x:c>
      <x:c r="T16" s="34" t="n">
        <x:f>MAX(0,MIN(T$8+1,'Fleet'!$O13)-MAX(T$7,'Fleet'!$G13))</x:f>
        <x:v>365</x:v>
      </x:c>
      <x:c r="U16" s="34" t="n">
        <x:f>MAX(0,MIN(U$8+1,'Fleet'!$O13)-MAX(U$7,'Fleet'!$G13))</x:f>
        <x:v>365</x:v>
      </x:c>
      <x:c r="V16" s="34" t="n">
        <x:f>MAX(0,MIN(V$8+1,'Fleet'!$O13)-MAX(V$7,'Fleet'!$G13))</x:f>
        <x:v>365</x:v>
      </x:c>
      <x:c r="W16" s="34" t="n">
        <x:f>MAX(0,MIN(W$8+1,'Fleet'!$O13)-MAX(W$7,'Fleet'!$G13))</x:f>
        <x:v>366</x:v>
      </x:c>
      <x:c r="X16" s="34" t="n">
        <x:f>MAX(0,MIN(X$8+1,'Fleet'!$O13)-MAX(X$7,'Fleet'!$G13))</x:f>
        <x:v>365</x:v>
      </x:c>
      <x:c r="Y16" s="34" t="n">
        <x:f>MAX(0,MIN(Y$8+1,'Fleet'!$O13)-MAX(Y$7,'Fleet'!$G13))</x:f>
        <x:v>365</x:v>
      </x:c>
      <x:c r="Z16" s="34" t="n">
        <x:f>MAX(0,MIN(Z$8+1,'Fleet'!$O13)-MAX(Z$7,'Fleet'!$G13))</x:f>
        <x:v>365</x:v>
      </x:c>
      <x:c r="AA16" s="34" t="n">
        <x:f>MAX(0,MIN(AA$8+1,'Fleet'!$O13)-MAX(AA$7,'Fleet'!$G13))</x:f>
        <x:v>366</x:v>
      </x:c>
      <x:c r="AB16" s="34" t="n">
        <x:f>MAX(0,MIN(AB$8+1,'Fleet'!$O13)-MAX(AB$7,'Fleet'!$G13))</x:f>
        <x:v>365</x:v>
      </x:c>
      <x:c r="AC16" s="34" t="n">
        <x:f>MAX(0,MIN(AC$8+1,'Fleet'!$O13)-MAX(AC$7,'Fleet'!$G13))</x:f>
        <x:v>273</x:v>
      </x:c>
      <x:c r="AD16" s="34" t="n">
        <x:f>MAX(0,MIN(AD$8+1,'Fleet'!$O13)-MAX(AD$7,'Fleet'!$G13))</x:f>
        <x:v>0</x:v>
      </x:c>
      <x:c r="AE16" s="34" t="n">
        <x:f>MAX(0,MIN(AE$8+1,'Fleet'!$O13)-MAX(AE$7,'Fleet'!$G13))</x:f>
        <x:v>0</x:v>
      </x:c>
      <x:c r="AF16" s="34" t="n">
        <x:f>MAX(0,MIN(AF$8+1,'Fleet'!$O13)-MAX(AF$7,'Fleet'!$G13))</x:f>
        <x:v>0</x:v>
      </x:c>
      <x:c r="AG16" s="34" t="n">
        <x:f>MAX(0,MIN(AG$8+1,'Fleet'!$O13)-MAX(AG$7,'Fleet'!$G13))</x:f>
        <x:v>0</x:v>
      </x:c>
      <x:c r="AH16" s="34" t="n">
        <x:f>MAX(0,MIN(AH$8+1,'Fleet'!$O13)-MAX(AH$7,'Fleet'!$G13))</x:f>
        <x:v>0</x:v>
      </x:c>
      <x:c r="AI16" s="34" t="n">
        <x:f>MAX(0,MIN(AI$8+1,'Fleet'!$O13)-MAX(AI$7,'Fleet'!$G13))</x:f>
        <x:v>0</x:v>
      </x:c>
      <x:c r="AJ16" s="34" t="n">
        <x:f>MAX(0,MIN(AJ$8+1,'Fleet'!$O13)-MAX(AJ$7,'Fleet'!$G13))</x:f>
        <x:v>0</x:v>
      </x:c>
      <x:c r="AK16" s="34" t="n">
        <x:f>MAX(0,MIN(AK$8+1,'Fleet'!$O13)-MAX(AK$7,'Fleet'!$G13))</x:f>
        <x:v>0</x:v>
      </x:c>
      <x:c r="AL16" s="34" t="n">
        <x:f>MAX(0,MIN(AL$8+1,'Fleet'!$O13)-MAX(AL$7,'Fleet'!$G13))</x:f>
        <x:v>0</x:v>
      </x:c>
      <x:c r="AM16" s="34" t="n">
        <x:f>MAX(0,MIN(AM$8+1,'Fleet'!$O13)-MAX(AM$7,'Fleet'!$G13))</x:f>
        <x:v>0</x:v>
      </x:c>
      <x:c r="AN16" s="34" t="n">
        <x:f>MAX(0,MIN(AN$8+1,'Fleet'!$O13)-MAX(AN$7,'Fleet'!$G13))</x:f>
        <x:v>0</x:v>
      </x:c>
      <x:c r="AO16" s="34" t="n">
        <x:f>MAX(0,MIN(AO$8+1,'Fleet'!$O13)-MAX(AO$7,'Fleet'!$G13))</x:f>
        <x:v>0</x:v>
      </x:c>
      <x:c r="AP16" s="34" t="n">
        <x:f>MAX(0,MIN(AP$8+1,'Fleet'!$O13)-MAX(AP$7,'Fleet'!$G13))</x:f>
        <x:v>0</x:v>
      </x:c>
      <x:c r="AQ16" s="34" t="n">
        <x:f>MAX(0,MIN(AQ$8+1,'Fleet'!$O13)-MAX(AQ$7,'Fleet'!$G13))</x:f>
        <x:v>0</x:v>
      </x:c>
    </x:row>
    <x:row r="17" ht="21" customHeight="1">
      <x:c r="A17" s="2"/>
      <x:c r="B17" s="2"/>
      <x:c r="C17" s="5" t="str">
        <x:f>'Fleet'!C14</x:f>
        <x:v>Star Virgo</x:v>
      </x:c>
      <x:c r="D17" s="5" t="str">
        <x:f>'Fleet'!D14</x:f>
        <x:v>Newcastlemax</x:v>
      </x:c>
      <x:c r="E17" s="34" t="n">
        <x:f>MAX(0,MIN(E$8+1,'Fleet'!$O14)-MAX(E$7,'Fleet'!$G14))</x:f>
        <x:v>83</x:v>
      </x:c>
      <x:c r="F17" s="34" t="n">
        <x:f>MAX(0,MIN(F$8+1,'Fleet'!$O14)-MAX(F$7,'Fleet'!$G14))</x:f>
        <x:v>90</x:v>
      </x:c>
      <x:c r="G17" s="34" t="n">
        <x:f>MAX(0,MIN(G$8+1,'Fleet'!$O14)-MAX(G$7,'Fleet'!$G14))</x:f>
        <x:v>91</x:v>
      </x:c>
      <x:c r="H17" s="34" t="n">
        <x:f>MAX(0,MIN(H$8+1,'Fleet'!$O14)-MAX(H$7,'Fleet'!$G14))</x:f>
        <x:v>92</x:v>
      </x:c>
      <x:c r="I17" s="34" t="n">
        <x:f>MAX(0,MIN(I$8+1,'Fleet'!$O14)-MAX(I$7,'Fleet'!$G14))</x:f>
        <x:v>92</x:v>
      </x:c>
      <x:c r="J17" s="34" t="n">
        <x:f>MAX(0,MIN(J$8+1,'Fleet'!$O14)-MAX(J$7,'Fleet'!$G14))</x:f>
        <x:v>91</x:v>
      </x:c>
      <x:c r="K17" s="34" t="n">
        <x:f>MAX(0,MIN(K$8+1,'Fleet'!$O14)-MAX(K$7,'Fleet'!$G14))</x:f>
        <x:v>91</x:v>
      </x:c>
      <x:c r="L17" s="34" t="n">
        <x:f>MAX(0,MIN(L$8+1,'Fleet'!$O14)-MAX(L$7,'Fleet'!$G14))</x:f>
        <x:v>92</x:v>
      </x:c>
      <x:c r="M17" s="34" t="n">
        <x:f>MAX(0,MIN(M$8+1,'Fleet'!$O14)-MAX(M$7,'Fleet'!$G14))</x:f>
        <x:v>92</x:v>
      </x:c>
      <x:c r="N17" s="34" t="n">
        <x:f>MAX(0,MIN(N$8+1,'Fleet'!$O14)-MAX(N$7,'Fleet'!$G14))</x:f>
        <x:v>90</x:v>
      </x:c>
      <x:c r="O17" s="34" t="n">
        <x:f>MAX(0,MIN(O$8+1,'Fleet'!$O14)-MAX(O$7,'Fleet'!$G14))</x:f>
        <x:v>91</x:v>
      </x:c>
      <x:c r="P17" s="34" t="n">
        <x:f>MAX(0,MIN(P$8+1,'Fleet'!$O14)-MAX(P$7,'Fleet'!$G14))</x:f>
        <x:v>92</x:v>
      </x:c>
      <x:c r="Q17" s="34" t="n">
        <x:f>MAX(0,MIN(Q$8+1,'Fleet'!$O14)-MAX(Q$7,'Fleet'!$G14))</x:f>
        <x:v>365</x:v>
      </x:c>
      <x:c r="R17" s="34" t="n">
        <x:f>MAX(0,MIN(R$8+1,'Fleet'!$O14)-MAX(R$7,'Fleet'!$G14))</x:f>
        <x:v>365</x:v>
      </x:c>
      <x:c r="S17" s="34" t="n">
        <x:f>MAX(0,MIN(S$8+1,'Fleet'!$O14)-MAX(S$7,'Fleet'!$G14))</x:f>
        <x:v>366</x:v>
      </x:c>
      <x:c r="T17" s="34" t="n">
        <x:f>MAX(0,MIN(T$8+1,'Fleet'!$O14)-MAX(T$7,'Fleet'!$G14))</x:f>
        <x:v>365</x:v>
      </x:c>
      <x:c r="U17" s="34" t="n">
        <x:f>MAX(0,MIN(U$8+1,'Fleet'!$O14)-MAX(U$7,'Fleet'!$G14))</x:f>
        <x:v>365</x:v>
      </x:c>
      <x:c r="V17" s="34" t="n">
        <x:f>MAX(0,MIN(V$8+1,'Fleet'!$O14)-MAX(V$7,'Fleet'!$G14))</x:f>
        <x:v>365</x:v>
      </x:c>
      <x:c r="W17" s="34" t="n">
        <x:f>MAX(0,MIN(W$8+1,'Fleet'!$O14)-MAX(W$7,'Fleet'!$G14))</x:f>
        <x:v>366</x:v>
      </x:c>
      <x:c r="X17" s="34" t="n">
        <x:f>MAX(0,MIN(X$8+1,'Fleet'!$O14)-MAX(X$7,'Fleet'!$G14))</x:f>
        <x:v>365</x:v>
      </x:c>
      <x:c r="Y17" s="34" t="n">
        <x:f>MAX(0,MIN(Y$8+1,'Fleet'!$O14)-MAX(Y$7,'Fleet'!$G14))</x:f>
        <x:v>365</x:v>
      </x:c>
      <x:c r="Z17" s="34" t="n">
        <x:f>MAX(0,MIN(Z$8+1,'Fleet'!$O14)-MAX(Z$7,'Fleet'!$G14))</x:f>
        <x:v>365</x:v>
      </x:c>
      <x:c r="AA17" s="34" t="n">
        <x:f>MAX(0,MIN(AA$8+1,'Fleet'!$O14)-MAX(AA$7,'Fleet'!$G14))</x:f>
        <x:v>366</x:v>
      </x:c>
      <x:c r="AB17" s="34" t="n">
        <x:f>MAX(0,MIN(AB$8+1,'Fleet'!$O14)-MAX(AB$7,'Fleet'!$G14))</x:f>
        <x:v>365</x:v>
      </x:c>
      <x:c r="AC17" s="34" t="n">
        <x:f>MAX(0,MIN(AC$8+1,'Fleet'!$O14)-MAX(AC$7,'Fleet'!$G14))</x:f>
        <x:v>273</x:v>
      </x:c>
      <x:c r="AD17" s="34" t="n">
        <x:f>MAX(0,MIN(AD$8+1,'Fleet'!$O14)-MAX(AD$7,'Fleet'!$G14))</x:f>
        <x:v>0</x:v>
      </x:c>
      <x:c r="AE17" s="34" t="n">
        <x:f>MAX(0,MIN(AE$8+1,'Fleet'!$O14)-MAX(AE$7,'Fleet'!$G14))</x:f>
        <x:v>0</x:v>
      </x:c>
      <x:c r="AF17" s="34" t="n">
        <x:f>MAX(0,MIN(AF$8+1,'Fleet'!$O14)-MAX(AF$7,'Fleet'!$G14))</x:f>
        <x:v>0</x:v>
      </x:c>
      <x:c r="AG17" s="34" t="n">
        <x:f>MAX(0,MIN(AG$8+1,'Fleet'!$O14)-MAX(AG$7,'Fleet'!$G14))</x:f>
        <x:v>0</x:v>
      </x:c>
      <x:c r="AH17" s="34" t="n">
        <x:f>MAX(0,MIN(AH$8+1,'Fleet'!$O14)-MAX(AH$7,'Fleet'!$G14))</x:f>
        <x:v>0</x:v>
      </x:c>
      <x:c r="AI17" s="34" t="n">
        <x:f>MAX(0,MIN(AI$8+1,'Fleet'!$O14)-MAX(AI$7,'Fleet'!$G14))</x:f>
        <x:v>0</x:v>
      </x:c>
      <x:c r="AJ17" s="34" t="n">
        <x:f>MAX(0,MIN(AJ$8+1,'Fleet'!$O14)-MAX(AJ$7,'Fleet'!$G14))</x:f>
        <x:v>0</x:v>
      </x:c>
      <x:c r="AK17" s="34" t="n">
        <x:f>MAX(0,MIN(AK$8+1,'Fleet'!$O14)-MAX(AK$7,'Fleet'!$G14))</x:f>
        <x:v>0</x:v>
      </x:c>
      <x:c r="AL17" s="34" t="n">
        <x:f>MAX(0,MIN(AL$8+1,'Fleet'!$O14)-MAX(AL$7,'Fleet'!$G14))</x:f>
        <x:v>0</x:v>
      </x:c>
      <x:c r="AM17" s="34" t="n">
        <x:f>MAX(0,MIN(AM$8+1,'Fleet'!$O14)-MAX(AM$7,'Fleet'!$G14))</x:f>
        <x:v>0</x:v>
      </x:c>
      <x:c r="AN17" s="34" t="n">
        <x:f>MAX(0,MIN(AN$8+1,'Fleet'!$O14)-MAX(AN$7,'Fleet'!$G14))</x:f>
        <x:v>0</x:v>
      </x:c>
      <x:c r="AO17" s="34" t="n">
        <x:f>MAX(0,MIN(AO$8+1,'Fleet'!$O14)-MAX(AO$7,'Fleet'!$G14))</x:f>
        <x:v>0</x:v>
      </x:c>
      <x:c r="AP17" s="34" t="n">
        <x:f>MAX(0,MIN(AP$8+1,'Fleet'!$O14)-MAX(AP$7,'Fleet'!$G14))</x:f>
        <x:v>0</x:v>
      </x:c>
      <x:c r="AQ17" s="34" t="n">
        <x:f>MAX(0,MIN(AQ$8+1,'Fleet'!$O14)-MAX(AQ$7,'Fleet'!$G14))</x:f>
        <x:v>0</x:v>
      </x:c>
    </x:row>
    <x:row r="18" ht="21" customHeight="1">
      <x:c r="A18" s="2"/>
      <x:c r="B18" s="2"/>
      <x:c r="C18" s="5" t="str">
        <x:f>'Fleet'!C15</x:f>
        <x:v>Star Libra</x:v>
      </x:c>
      <x:c r="D18" s="5" t="str">
        <x:f>'Fleet'!D15</x:f>
        <x:v>Newcastlemax</x:v>
      </x:c>
      <x:c r="E18" s="34" t="n">
        <x:f>MAX(0,MIN(E$8+1,'Fleet'!$O15)-MAX(E$7,'Fleet'!$G15))</x:f>
        <x:v>83</x:v>
      </x:c>
      <x:c r="F18" s="34" t="n">
        <x:f>MAX(0,MIN(F$8+1,'Fleet'!$O15)-MAX(F$7,'Fleet'!$G15))</x:f>
        <x:v>90</x:v>
      </x:c>
      <x:c r="G18" s="34" t="n">
        <x:f>MAX(0,MIN(G$8+1,'Fleet'!$O15)-MAX(G$7,'Fleet'!$G15))</x:f>
        <x:v>91</x:v>
      </x:c>
      <x:c r="H18" s="34" t="n">
        <x:f>MAX(0,MIN(H$8+1,'Fleet'!$O15)-MAX(H$7,'Fleet'!$G15))</x:f>
        <x:v>92</x:v>
      </x:c>
      <x:c r="I18" s="34" t="n">
        <x:f>MAX(0,MIN(I$8+1,'Fleet'!$O15)-MAX(I$7,'Fleet'!$G15))</x:f>
        <x:v>92</x:v>
      </x:c>
      <x:c r="J18" s="34" t="n">
        <x:f>MAX(0,MIN(J$8+1,'Fleet'!$O15)-MAX(J$7,'Fleet'!$G15))</x:f>
        <x:v>91</x:v>
      </x:c>
      <x:c r="K18" s="34" t="n">
        <x:f>MAX(0,MIN(K$8+1,'Fleet'!$O15)-MAX(K$7,'Fleet'!$G15))</x:f>
        <x:v>91</x:v>
      </x:c>
      <x:c r="L18" s="34" t="n">
        <x:f>MAX(0,MIN(L$8+1,'Fleet'!$O15)-MAX(L$7,'Fleet'!$G15))</x:f>
        <x:v>92</x:v>
      </x:c>
      <x:c r="M18" s="34" t="n">
        <x:f>MAX(0,MIN(M$8+1,'Fleet'!$O15)-MAX(M$7,'Fleet'!$G15))</x:f>
        <x:v>92</x:v>
      </x:c>
      <x:c r="N18" s="34" t="n">
        <x:f>MAX(0,MIN(N$8+1,'Fleet'!$O15)-MAX(N$7,'Fleet'!$G15))</x:f>
        <x:v>90</x:v>
      </x:c>
      <x:c r="O18" s="34" t="n">
        <x:f>MAX(0,MIN(O$8+1,'Fleet'!$O15)-MAX(O$7,'Fleet'!$G15))</x:f>
        <x:v>91</x:v>
      </x:c>
      <x:c r="P18" s="34" t="n">
        <x:f>MAX(0,MIN(P$8+1,'Fleet'!$O15)-MAX(P$7,'Fleet'!$G15))</x:f>
        <x:v>92</x:v>
      </x:c>
      <x:c r="Q18" s="34" t="n">
        <x:f>MAX(0,MIN(Q$8+1,'Fleet'!$O15)-MAX(Q$7,'Fleet'!$G15))</x:f>
        <x:v>365</x:v>
      </x:c>
      <x:c r="R18" s="34" t="n">
        <x:f>MAX(0,MIN(R$8+1,'Fleet'!$O15)-MAX(R$7,'Fleet'!$G15))</x:f>
        <x:v>365</x:v>
      </x:c>
      <x:c r="S18" s="34" t="n">
        <x:f>MAX(0,MIN(S$8+1,'Fleet'!$O15)-MAX(S$7,'Fleet'!$G15))</x:f>
        <x:v>366</x:v>
      </x:c>
      <x:c r="T18" s="34" t="n">
        <x:f>MAX(0,MIN(T$8+1,'Fleet'!$O15)-MAX(T$7,'Fleet'!$G15))</x:f>
        <x:v>365</x:v>
      </x:c>
      <x:c r="U18" s="34" t="n">
        <x:f>MAX(0,MIN(U$8+1,'Fleet'!$O15)-MAX(U$7,'Fleet'!$G15))</x:f>
        <x:v>365</x:v>
      </x:c>
      <x:c r="V18" s="34" t="n">
        <x:f>MAX(0,MIN(V$8+1,'Fleet'!$O15)-MAX(V$7,'Fleet'!$G15))</x:f>
        <x:v>365</x:v>
      </x:c>
      <x:c r="W18" s="34" t="n">
        <x:f>MAX(0,MIN(W$8+1,'Fleet'!$O15)-MAX(W$7,'Fleet'!$G15))</x:f>
        <x:v>366</x:v>
      </x:c>
      <x:c r="X18" s="34" t="n">
        <x:f>MAX(0,MIN(X$8+1,'Fleet'!$O15)-MAX(X$7,'Fleet'!$G15))</x:f>
        <x:v>365</x:v>
      </x:c>
      <x:c r="Y18" s="34" t="n">
        <x:f>MAX(0,MIN(Y$8+1,'Fleet'!$O15)-MAX(Y$7,'Fleet'!$G15))</x:f>
        <x:v>365</x:v>
      </x:c>
      <x:c r="Z18" s="34" t="n">
        <x:f>MAX(0,MIN(Z$8+1,'Fleet'!$O15)-MAX(Z$7,'Fleet'!$G15))</x:f>
        <x:v>365</x:v>
      </x:c>
      <x:c r="AA18" s="34" t="n">
        <x:f>MAX(0,MIN(AA$8+1,'Fleet'!$O15)-MAX(AA$7,'Fleet'!$G15))</x:f>
        <x:v>366</x:v>
      </x:c>
      <x:c r="AB18" s="34" t="n">
        <x:f>MAX(0,MIN(AB$8+1,'Fleet'!$O15)-MAX(AB$7,'Fleet'!$G15))</x:f>
        <x:v>273</x:v>
      </x:c>
      <x:c r="AC18" s="34" t="n">
        <x:f>MAX(0,MIN(AC$8+1,'Fleet'!$O15)-MAX(AC$7,'Fleet'!$G15))</x:f>
        <x:v>0</x:v>
      </x:c>
      <x:c r="AD18" s="34" t="n">
        <x:f>MAX(0,MIN(AD$8+1,'Fleet'!$O15)-MAX(AD$7,'Fleet'!$G15))</x:f>
        <x:v>0</x:v>
      </x:c>
      <x:c r="AE18" s="34" t="n">
        <x:f>MAX(0,MIN(AE$8+1,'Fleet'!$O15)-MAX(AE$7,'Fleet'!$G15))</x:f>
        <x:v>0</x:v>
      </x:c>
      <x:c r="AF18" s="34" t="n">
        <x:f>MAX(0,MIN(AF$8+1,'Fleet'!$O15)-MAX(AF$7,'Fleet'!$G15))</x:f>
        <x:v>0</x:v>
      </x:c>
      <x:c r="AG18" s="34" t="n">
        <x:f>MAX(0,MIN(AG$8+1,'Fleet'!$O15)-MAX(AG$7,'Fleet'!$G15))</x:f>
        <x:v>0</x:v>
      </x:c>
      <x:c r="AH18" s="34" t="n">
        <x:f>MAX(0,MIN(AH$8+1,'Fleet'!$O15)-MAX(AH$7,'Fleet'!$G15))</x:f>
        <x:v>0</x:v>
      </x:c>
      <x:c r="AI18" s="34" t="n">
        <x:f>MAX(0,MIN(AI$8+1,'Fleet'!$O15)-MAX(AI$7,'Fleet'!$G15))</x:f>
        <x:v>0</x:v>
      </x:c>
      <x:c r="AJ18" s="34" t="n">
        <x:f>MAX(0,MIN(AJ$8+1,'Fleet'!$O15)-MAX(AJ$7,'Fleet'!$G15))</x:f>
        <x:v>0</x:v>
      </x:c>
      <x:c r="AK18" s="34" t="n">
        <x:f>MAX(0,MIN(AK$8+1,'Fleet'!$O15)-MAX(AK$7,'Fleet'!$G15))</x:f>
        <x:v>0</x:v>
      </x:c>
      <x:c r="AL18" s="34" t="n">
        <x:f>MAX(0,MIN(AL$8+1,'Fleet'!$O15)-MAX(AL$7,'Fleet'!$G15))</x:f>
        <x:v>0</x:v>
      </x:c>
      <x:c r="AM18" s="34" t="n">
        <x:f>MAX(0,MIN(AM$8+1,'Fleet'!$O15)-MAX(AM$7,'Fleet'!$G15))</x:f>
        <x:v>0</x:v>
      </x:c>
      <x:c r="AN18" s="34" t="n">
        <x:f>MAX(0,MIN(AN$8+1,'Fleet'!$O15)-MAX(AN$7,'Fleet'!$G15))</x:f>
        <x:v>0</x:v>
      </x:c>
      <x:c r="AO18" s="34" t="n">
        <x:f>MAX(0,MIN(AO$8+1,'Fleet'!$O15)-MAX(AO$7,'Fleet'!$G15))</x:f>
        <x:v>0</x:v>
      </x:c>
      <x:c r="AP18" s="34" t="n">
        <x:f>MAX(0,MIN(AP$8+1,'Fleet'!$O15)-MAX(AP$7,'Fleet'!$G15))</x:f>
        <x:v>0</x:v>
      </x:c>
      <x:c r="AQ18" s="34" t="n">
        <x:f>MAX(0,MIN(AQ$8+1,'Fleet'!$O15)-MAX(AQ$7,'Fleet'!$G15))</x:f>
        <x:v>0</x:v>
      </x:c>
    </x:row>
    <x:row r="19" ht="21" customHeight="1">
      <x:c r="A19" s="2"/>
      <x:c r="B19" s="2"/>
      <x:c r="C19" s="5" t="str">
        <x:f>'Fleet'!C16</x:f>
        <x:v>Star Sienna</x:v>
      </x:c>
      <x:c r="D19" s="5" t="str">
        <x:f>'Fleet'!D16</x:f>
        <x:v>Newcastlemax</x:v>
      </x:c>
      <x:c r="E19" s="34" t="n">
        <x:f>MAX(0,MIN(E$8+1,'Fleet'!$O16)-MAX(E$7,'Fleet'!$G16))</x:f>
        <x:v>83</x:v>
      </x:c>
      <x:c r="F19" s="34" t="n">
        <x:f>MAX(0,MIN(F$8+1,'Fleet'!$O16)-MAX(F$7,'Fleet'!$G16))</x:f>
        <x:v>90</x:v>
      </x:c>
      <x:c r="G19" s="34" t="n">
        <x:f>MAX(0,MIN(G$8+1,'Fleet'!$O16)-MAX(G$7,'Fleet'!$G16))</x:f>
        <x:v>91</x:v>
      </x:c>
      <x:c r="H19" s="34" t="n">
        <x:f>MAX(0,MIN(H$8+1,'Fleet'!$O16)-MAX(H$7,'Fleet'!$G16))</x:f>
        <x:v>92</x:v>
      </x:c>
      <x:c r="I19" s="34" t="n">
        <x:f>MAX(0,MIN(I$8+1,'Fleet'!$O16)-MAX(I$7,'Fleet'!$G16))</x:f>
        <x:v>92</x:v>
      </x:c>
      <x:c r="J19" s="34" t="n">
        <x:f>MAX(0,MIN(J$8+1,'Fleet'!$O16)-MAX(J$7,'Fleet'!$G16))</x:f>
        <x:v>91</x:v>
      </x:c>
      <x:c r="K19" s="34" t="n">
        <x:f>MAX(0,MIN(K$8+1,'Fleet'!$O16)-MAX(K$7,'Fleet'!$G16))</x:f>
        <x:v>91</x:v>
      </x:c>
      <x:c r="L19" s="34" t="n">
        <x:f>MAX(0,MIN(L$8+1,'Fleet'!$O16)-MAX(L$7,'Fleet'!$G16))</x:f>
        <x:v>92</x:v>
      </x:c>
      <x:c r="M19" s="34" t="n">
        <x:f>MAX(0,MIN(M$8+1,'Fleet'!$O16)-MAX(M$7,'Fleet'!$G16))</x:f>
        <x:v>92</x:v>
      </x:c>
      <x:c r="N19" s="34" t="n">
        <x:f>MAX(0,MIN(N$8+1,'Fleet'!$O16)-MAX(N$7,'Fleet'!$G16))</x:f>
        <x:v>90</x:v>
      </x:c>
      <x:c r="O19" s="34" t="n">
        <x:f>MAX(0,MIN(O$8+1,'Fleet'!$O16)-MAX(O$7,'Fleet'!$G16))</x:f>
        <x:v>91</x:v>
      </x:c>
      <x:c r="P19" s="34" t="n">
        <x:f>MAX(0,MIN(P$8+1,'Fleet'!$O16)-MAX(P$7,'Fleet'!$G16))</x:f>
        <x:v>92</x:v>
      </x:c>
      <x:c r="Q19" s="34" t="n">
        <x:f>MAX(0,MIN(Q$8+1,'Fleet'!$O16)-MAX(Q$7,'Fleet'!$G16))</x:f>
        <x:v>365</x:v>
      </x:c>
      <x:c r="R19" s="34" t="n">
        <x:f>MAX(0,MIN(R$8+1,'Fleet'!$O16)-MAX(R$7,'Fleet'!$G16))</x:f>
        <x:v>365</x:v>
      </x:c>
      <x:c r="S19" s="34" t="n">
        <x:f>MAX(0,MIN(S$8+1,'Fleet'!$O16)-MAX(S$7,'Fleet'!$G16))</x:f>
        <x:v>366</x:v>
      </x:c>
      <x:c r="T19" s="34" t="n">
        <x:f>MAX(0,MIN(T$8+1,'Fleet'!$O16)-MAX(T$7,'Fleet'!$G16))</x:f>
        <x:v>365</x:v>
      </x:c>
      <x:c r="U19" s="34" t="n">
        <x:f>MAX(0,MIN(U$8+1,'Fleet'!$O16)-MAX(U$7,'Fleet'!$G16))</x:f>
        <x:v>365</x:v>
      </x:c>
      <x:c r="V19" s="34" t="n">
        <x:f>MAX(0,MIN(V$8+1,'Fleet'!$O16)-MAX(V$7,'Fleet'!$G16))</x:f>
        <x:v>365</x:v>
      </x:c>
      <x:c r="W19" s="34" t="n">
        <x:f>MAX(0,MIN(W$8+1,'Fleet'!$O16)-MAX(W$7,'Fleet'!$G16))</x:f>
        <x:v>366</x:v>
      </x:c>
      <x:c r="X19" s="34" t="n">
        <x:f>MAX(0,MIN(X$8+1,'Fleet'!$O16)-MAX(X$7,'Fleet'!$G16))</x:f>
        <x:v>365</x:v>
      </x:c>
      <x:c r="Y19" s="34" t="n">
        <x:f>MAX(0,MIN(Y$8+1,'Fleet'!$O16)-MAX(Y$7,'Fleet'!$G16))</x:f>
        <x:v>365</x:v>
      </x:c>
      <x:c r="Z19" s="34" t="n">
        <x:f>MAX(0,MIN(Z$8+1,'Fleet'!$O16)-MAX(Z$7,'Fleet'!$G16))</x:f>
        <x:v>365</x:v>
      </x:c>
      <x:c r="AA19" s="34" t="n">
        <x:f>MAX(0,MIN(AA$8+1,'Fleet'!$O16)-MAX(AA$7,'Fleet'!$G16))</x:f>
        <x:v>366</x:v>
      </x:c>
      <x:c r="AB19" s="34" t="n">
        <x:f>MAX(0,MIN(AB$8+1,'Fleet'!$O16)-MAX(AB$7,'Fleet'!$G16))</x:f>
        <x:v>365</x:v>
      </x:c>
      <x:c r="AC19" s="34" t="n">
        <x:f>MAX(0,MIN(AC$8+1,'Fleet'!$O16)-MAX(AC$7,'Fleet'!$G16))</x:f>
        <x:v>273</x:v>
      </x:c>
      <x:c r="AD19" s="34" t="n">
        <x:f>MAX(0,MIN(AD$8+1,'Fleet'!$O16)-MAX(AD$7,'Fleet'!$G16))</x:f>
        <x:v>0</x:v>
      </x:c>
      <x:c r="AE19" s="34" t="n">
        <x:f>MAX(0,MIN(AE$8+1,'Fleet'!$O16)-MAX(AE$7,'Fleet'!$G16))</x:f>
        <x:v>0</x:v>
      </x:c>
      <x:c r="AF19" s="34" t="n">
        <x:f>MAX(0,MIN(AF$8+1,'Fleet'!$O16)-MAX(AF$7,'Fleet'!$G16))</x:f>
        <x:v>0</x:v>
      </x:c>
      <x:c r="AG19" s="34" t="n">
        <x:f>MAX(0,MIN(AG$8+1,'Fleet'!$O16)-MAX(AG$7,'Fleet'!$G16))</x:f>
        <x:v>0</x:v>
      </x:c>
      <x:c r="AH19" s="34" t="n">
        <x:f>MAX(0,MIN(AH$8+1,'Fleet'!$O16)-MAX(AH$7,'Fleet'!$G16))</x:f>
        <x:v>0</x:v>
      </x:c>
      <x:c r="AI19" s="34" t="n">
        <x:f>MAX(0,MIN(AI$8+1,'Fleet'!$O16)-MAX(AI$7,'Fleet'!$G16))</x:f>
        <x:v>0</x:v>
      </x:c>
      <x:c r="AJ19" s="34" t="n">
        <x:f>MAX(0,MIN(AJ$8+1,'Fleet'!$O16)-MAX(AJ$7,'Fleet'!$G16))</x:f>
        <x:v>0</x:v>
      </x:c>
      <x:c r="AK19" s="34" t="n">
        <x:f>MAX(0,MIN(AK$8+1,'Fleet'!$O16)-MAX(AK$7,'Fleet'!$G16))</x:f>
        <x:v>0</x:v>
      </x:c>
      <x:c r="AL19" s="34" t="n">
        <x:f>MAX(0,MIN(AL$8+1,'Fleet'!$O16)-MAX(AL$7,'Fleet'!$G16))</x:f>
        <x:v>0</x:v>
      </x:c>
      <x:c r="AM19" s="34" t="n">
        <x:f>MAX(0,MIN(AM$8+1,'Fleet'!$O16)-MAX(AM$7,'Fleet'!$G16))</x:f>
        <x:v>0</x:v>
      </x:c>
      <x:c r="AN19" s="34" t="n">
        <x:f>MAX(0,MIN(AN$8+1,'Fleet'!$O16)-MAX(AN$7,'Fleet'!$G16))</x:f>
        <x:v>0</x:v>
      </x:c>
      <x:c r="AO19" s="34" t="n">
        <x:f>MAX(0,MIN(AO$8+1,'Fleet'!$O16)-MAX(AO$7,'Fleet'!$G16))</x:f>
        <x:v>0</x:v>
      </x:c>
      <x:c r="AP19" s="34" t="n">
        <x:f>MAX(0,MIN(AP$8+1,'Fleet'!$O16)-MAX(AP$7,'Fleet'!$G16))</x:f>
        <x:v>0</x:v>
      </x:c>
      <x:c r="AQ19" s="34" t="n">
        <x:f>MAX(0,MIN(AQ$8+1,'Fleet'!$O16)-MAX(AQ$7,'Fleet'!$G16))</x:f>
        <x:v>0</x:v>
      </x:c>
    </x:row>
    <x:row r="20" ht="21" customHeight="1">
      <x:c r="A20" s="2"/>
      <x:c r="B20" s="2"/>
      <x:c r="C20" s="5" t="str">
        <x:f>'Fleet'!C17</x:f>
        <x:v>Star Marisa</x:v>
      </x:c>
      <x:c r="D20" s="5" t="str">
        <x:f>'Fleet'!D17</x:f>
        <x:v>Newcastlemax</x:v>
      </x:c>
      <x:c r="E20" s="34" t="n">
        <x:f>MAX(0,MIN(E$8+1,'Fleet'!$O17)-MAX(E$7,'Fleet'!$G17))</x:f>
        <x:v>83</x:v>
      </x:c>
      <x:c r="F20" s="34" t="n">
        <x:f>MAX(0,MIN(F$8+1,'Fleet'!$O17)-MAX(F$7,'Fleet'!$G17))</x:f>
        <x:v>90</x:v>
      </x:c>
      <x:c r="G20" s="34" t="n">
        <x:f>MAX(0,MIN(G$8+1,'Fleet'!$O17)-MAX(G$7,'Fleet'!$G17))</x:f>
        <x:v>91</x:v>
      </x:c>
      <x:c r="H20" s="34" t="n">
        <x:f>MAX(0,MIN(H$8+1,'Fleet'!$O17)-MAX(H$7,'Fleet'!$G17))</x:f>
        <x:v>92</x:v>
      </x:c>
      <x:c r="I20" s="34" t="n">
        <x:f>MAX(0,MIN(I$8+1,'Fleet'!$O17)-MAX(I$7,'Fleet'!$G17))</x:f>
        <x:v>92</x:v>
      </x:c>
      <x:c r="J20" s="34" t="n">
        <x:f>MAX(0,MIN(J$8+1,'Fleet'!$O17)-MAX(J$7,'Fleet'!$G17))</x:f>
        <x:v>91</x:v>
      </x:c>
      <x:c r="K20" s="34" t="n">
        <x:f>MAX(0,MIN(K$8+1,'Fleet'!$O17)-MAX(K$7,'Fleet'!$G17))</x:f>
        <x:v>91</x:v>
      </x:c>
      <x:c r="L20" s="34" t="n">
        <x:f>MAX(0,MIN(L$8+1,'Fleet'!$O17)-MAX(L$7,'Fleet'!$G17))</x:f>
        <x:v>92</x:v>
      </x:c>
      <x:c r="M20" s="34" t="n">
        <x:f>MAX(0,MIN(M$8+1,'Fleet'!$O17)-MAX(M$7,'Fleet'!$G17))</x:f>
        <x:v>92</x:v>
      </x:c>
      <x:c r="N20" s="34" t="n">
        <x:f>MAX(0,MIN(N$8+1,'Fleet'!$O17)-MAX(N$7,'Fleet'!$G17))</x:f>
        <x:v>90</x:v>
      </x:c>
      <x:c r="O20" s="34" t="n">
        <x:f>MAX(0,MIN(O$8+1,'Fleet'!$O17)-MAX(O$7,'Fleet'!$G17))</x:f>
        <x:v>91</x:v>
      </x:c>
      <x:c r="P20" s="34" t="n">
        <x:f>MAX(0,MIN(P$8+1,'Fleet'!$O17)-MAX(P$7,'Fleet'!$G17))</x:f>
        <x:v>92</x:v>
      </x:c>
      <x:c r="Q20" s="34" t="n">
        <x:f>MAX(0,MIN(Q$8+1,'Fleet'!$O17)-MAX(Q$7,'Fleet'!$G17))</x:f>
        <x:v>365</x:v>
      </x:c>
      <x:c r="R20" s="34" t="n">
        <x:f>MAX(0,MIN(R$8+1,'Fleet'!$O17)-MAX(R$7,'Fleet'!$G17))</x:f>
        <x:v>365</x:v>
      </x:c>
      <x:c r="S20" s="34" t="n">
        <x:f>MAX(0,MIN(S$8+1,'Fleet'!$O17)-MAX(S$7,'Fleet'!$G17))</x:f>
        <x:v>366</x:v>
      </x:c>
      <x:c r="T20" s="34" t="n">
        <x:f>MAX(0,MIN(T$8+1,'Fleet'!$O17)-MAX(T$7,'Fleet'!$G17))</x:f>
        <x:v>365</x:v>
      </x:c>
      <x:c r="U20" s="34" t="n">
        <x:f>MAX(0,MIN(U$8+1,'Fleet'!$O17)-MAX(U$7,'Fleet'!$G17))</x:f>
        <x:v>365</x:v>
      </x:c>
      <x:c r="V20" s="34" t="n">
        <x:f>MAX(0,MIN(V$8+1,'Fleet'!$O17)-MAX(V$7,'Fleet'!$G17))</x:f>
        <x:v>365</x:v>
      </x:c>
      <x:c r="W20" s="34" t="n">
        <x:f>MAX(0,MIN(W$8+1,'Fleet'!$O17)-MAX(W$7,'Fleet'!$G17))</x:f>
        <x:v>366</x:v>
      </x:c>
      <x:c r="X20" s="34" t="n">
        <x:f>MAX(0,MIN(X$8+1,'Fleet'!$O17)-MAX(X$7,'Fleet'!$G17))</x:f>
        <x:v>365</x:v>
      </x:c>
      <x:c r="Y20" s="34" t="n">
        <x:f>MAX(0,MIN(Y$8+1,'Fleet'!$O17)-MAX(Y$7,'Fleet'!$G17))</x:f>
        <x:v>365</x:v>
      </x:c>
      <x:c r="Z20" s="34" t="n">
        <x:f>MAX(0,MIN(Z$8+1,'Fleet'!$O17)-MAX(Z$7,'Fleet'!$G17))</x:f>
        <x:v>365</x:v>
      </x:c>
      <x:c r="AA20" s="34" t="n">
        <x:f>MAX(0,MIN(AA$8+1,'Fleet'!$O17)-MAX(AA$7,'Fleet'!$G17))</x:f>
        <x:v>366</x:v>
      </x:c>
      <x:c r="AB20" s="34" t="n">
        <x:f>MAX(0,MIN(AB$8+1,'Fleet'!$O17)-MAX(AB$7,'Fleet'!$G17))</x:f>
        <x:v>273</x:v>
      </x:c>
      <x:c r="AC20" s="34" t="n">
        <x:f>MAX(0,MIN(AC$8+1,'Fleet'!$O17)-MAX(AC$7,'Fleet'!$G17))</x:f>
        <x:v>0</x:v>
      </x:c>
      <x:c r="AD20" s="34" t="n">
        <x:f>MAX(0,MIN(AD$8+1,'Fleet'!$O17)-MAX(AD$7,'Fleet'!$G17))</x:f>
        <x:v>0</x:v>
      </x:c>
      <x:c r="AE20" s="34" t="n">
        <x:f>MAX(0,MIN(AE$8+1,'Fleet'!$O17)-MAX(AE$7,'Fleet'!$G17))</x:f>
        <x:v>0</x:v>
      </x:c>
      <x:c r="AF20" s="34" t="n">
        <x:f>MAX(0,MIN(AF$8+1,'Fleet'!$O17)-MAX(AF$7,'Fleet'!$G17))</x:f>
        <x:v>0</x:v>
      </x:c>
      <x:c r="AG20" s="34" t="n">
        <x:f>MAX(0,MIN(AG$8+1,'Fleet'!$O17)-MAX(AG$7,'Fleet'!$G17))</x:f>
        <x:v>0</x:v>
      </x:c>
      <x:c r="AH20" s="34" t="n">
        <x:f>MAX(0,MIN(AH$8+1,'Fleet'!$O17)-MAX(AH$7,'Fleet'!$G17))</x:f>
        <x:v>0</x:v>
      </x:c>
      <x:c r="AI20" s="34" t="n">
        <x:f>MAX(0,MIN(AI$8+1,'Fleet'!$O17)-MAX(AI$7,'Fleet'!$G17))</x:f>
        <x:v>0</x:v>
      </x:c>
      <x:c r="AJ20" s="34" t="n">
        <x:f>MAX(0,MIN(AJ$8+1,'Fleet'!$O17)-MAX(AJ$7,'Fleet'!$G17))</x:f>
        <x:v>0</x:v>
      </x:c>
      <x:c r="AK20" s="34" t="n">
        <x:f>MAX(0,MIN(AK$8+1,'Fleet'!$O17)-MAX(AK$7,'Fleet'!$G17))</x:f>
        <x:v>0</x:v>
      </x:c>
      <x:c r="AL20" s="34" t="n">
        <x:f>MAX(0,MIN(AL$8+1,'Fleet'!$O17)-MAX(AL$7,'Fleet'!$G17))</x:f>
        <x:v>0</x:v>
      </x:c>
      <x:c r="AM20" s="34" t="n">
        <x:f>MAX(0,MIN(AM$8+1,'Fleet'!$O17)-MAX(AM$7,'Fleet'!$G17))</x:f>
        <x:v>0</x:v>
      </x:c>
      <x:c r="AN20" s="34" t="n">
        <x:f>MAX(0,MIN(AN$8+1,'Fleet'!$O17)-MAX(AN$7,'Fleet'!$G17))</x:f>
        <x:v>0</x:v>
      </x:c>
      <x:c r="AO20" s="34" t="n">
        <x:f>MAX(0,MIN(AO$8+1,'Fleet'!$O17)-MAX(AO$7,'Fleet'!$G17))</x:f>
        <x:v>0</x:v>
      </x:c>
      <x:c r="AP20" s="34" t="n">
        <x:f>MAX(0,MIN(AP$8+1,'Fleet'!$O17)-MAX(AP$7,'Fleet'!$G17))</x:f>
        <x:v>0</x:v>
      </x:c>
      <x:c r="AQ20" s="34" t="n">
        <x:f>MAX(0,MIN(AQ$8+1,'Fleet'!$O17)-MAX(AQ$7,'Fleet'!$G17))</x:f>
        <x:v>0</x:v>
      </x:c>
    </x:row>
    <x:row r="21" ht="21" customHeight="1">
      <x:c r="A21" s="2"/>
      <x:c r="B21" s="2"/>
      <x:c r="C21" s="5" t="str">
        <x:f>'Fleet'!C18</x:f>
        <x:v>Star Karlie</x:v>
      </x:c>
      <x:c r="D21" s="5" t="str">
        <x:f>'Fleet'!D18</x:f>
        <x:v>Newcastlemax</x:v>
      </x:c>
      <x:c r="E21" s="34" t="n">
        <x:f>MAX(0,MIN(E$8+1,'Fleet'!$O18)-MAX(E$7,'Fleet'!$G18))</x:f>
        <x:v>83</x:v>
      </x:c>
      <x:c r="F21" s="34" t="n">
        <x:f>MAX(0,MIN(F$8+1,'Fleet'!$O18)-MAX(F$7,'Fleet'!$G18))</x:f>
        <x:v>90</x:v>
      </x:c>
      <x:c r="G21" s="34" t="n">
        <x:f>MAX(0,MIN(G$8+1,'Fleet'!$O18)-MAX(G$7,'Fleet'!$G18))</x:f>
        <x:v>91</x:v>
      </x:c>
      <x:c r="H21" s="34" t="n">
        <x:f>MAX(0,MIN(H$8+1,'Fleet'!$O18)-MAX(H$7,'Fleet'!$G18))</x:f>
        <x:v>92</x:v>
      </x:c>
      <x:c r="I21" s="34" t="n">
        <x:f>MAX(0,MIN(I$8+1,'Fleet'!$O18)-MAX(I$7,'Fleet'!$G18))</x:f>
        <x:v>92</x:v>
      </x:c>
      <x:c r="J21" s="34" t="n">
        <x:f>MAX(0,MIN(J$8+1,'Fleet'!$O18)-MAX(J$7,'Fleet'!$G18))</x:f>
        <x:v>91</x:v>
      </x:c>
      <x:c r="K21" s="34" t="n">
        <x:f>MAX(0,MIN(K$8+1,'Fleet'!$O18)-MAX(K$7,'Fleet'!$G18))</x:f>
        <x:v>91</x:v>
      </x:c>
      <x:c r="L21" s="34" t="n">
        <x:f>MAX(0,MIN(L$8+1,'Fleet'!$O18)-MAX(L$7,'Fleet'!$G18))</x:f>
        <x:v>92</x:v>
      </x:c>
      <x:c r="M21" s="34" t="n">
        <x:f>MAX(0,MIN(M$8+1,'Fleet'!$O18)-MAX(M$7,'Fleet'!$G18))</x:f>
        <x:v>92</x:v>
      </x:c>
      <x:c r="N21" s="34" t="n">
        <x:f>MAX(0,MIN(N$8+1,'Fleet'!$O18)-MAX(N$7,'Fleet'!$G18))</x:f>
        <x:v>90</x:v>
      </x:c>
      <x:c r="O21" s="34" t="n">
        <x:f>MAX(0,MIN(O$8+1,'Fleet'!$O18)-MAX(O$7,'Fleet'!$G18))</x:f>
        <x:v>91</x:v>
      </x:c>
      <x:c r="P21" s="34" t="n">
        <x:f>MAX(0,MIN(P$8+1,'Fleet'!$O18)-MAX(P$7,'Fleet'!$G18))</x:f>
        <x:v>92</x:v>
      </x:c>
      <x:c r="Q21" s="34" t="n">
        <x:f>MAX(0,MIN(Q$8+1,'Fleet'!$O18)-MAX(Q$7,'Fleet'!$G18))</x:f>
        <x:v>365</x:v>
      </x:c>
      <x:c r="R21" s="34" t="n">
        <x:f>MAX(0,MIN(R$8+1,'Fleet'!$O18)-MAX(R$7,'Fleet'!$G18))</x:f>
        <x:v>365</x:v>
      </x:c>
      <x:c r="S21" s="34" t="n">
        <x:f>MAX(0,MIN(S$8+1,'Fleet'!$O18)-MAX(S$7,'Fleet'!$G18))</x:f>
        <x:v>366</x:v>
      </x:c>
      <x:c r="T21" s="34" t="n">
        <x:f>MAX(0,MIN(T$8+1,'Fleet'!$O18)-MAX(T$7,'Fleet'!$G18))</x:f>
        <x:v>365</x:v>
      </x:c>
      <x:c r="U21" s="34" t="n">
        <x:f>MAX(0,MIN(U$8+1,'Fleet'!$O18)-MAX(U$7,'Fleet'!$G18))</x:f>
        <x:v>365</x:v>
      </x:c>
      <x:c r="V21" s="34" t="n">
        <x:f>MAX(0,MIN(V$8+1,'Fleet'!$O18)-MAX(V$7,'Fleet'!$G18))</x:f>
        <x:v>365</x:v>
      </x:c>
      <x:c r="W21" s="34" t="n">
        <x:f>MAX(0,MIN(W$8+1,'Fleet'!$O18)-MAX(W$7,'Fleet'!$G18))</x:f>
        <x:v>366</x:v>
      </x:c>
      <x:c r="X21" s="34" t="n">
        <x:f>MAX(0,MIN(X$8+1,'Fleet'!$O18)-MAX(X$7,'Fleet'!$G18))</x:f>
        <x:v>365</x:v>
      </x:c>
      <x:c r="Y21" s="34" t="n">
        <x:f>MAX(0,MIN(Y$8+1,'Fleet'!$O18)-MAX(Y$7,'Fleet'!$G18))</x:f>
        <x:v>365</x:v>
      </x:c>
      <x:c r="Z21" s="34" t="n">
        <x:f>MAX(0,MIN(Z$8+1,'Fleet'!$O18)-MAX(Z$7,'Fleet'!$G18))</x:f>
        <x:v>365</x:v>
      </x:c>
      <x:c r="AA21" s="34" t="n">
        <x:f>MAX(0,MIN(AA$8+1,'Fleet'!$O18)-MAX(AA$7,'Fleet'!$G18))</x:f>
        <x:v>366</x:v>
      </x:c>
      <x:c r="AB21" s="34" t="n">
        <x:f>MAX(0,MIN(AB$8+1,'Fleet'!$O18)-MAX(AB$7,'Fleet'!$G18))</x:f>
        <x:v>273</x:v>
      </x:c>
      <x:c r="AC21" s="34" t="n">
        <x:f>MAX(0,MIN(AC$8+1,'Fleet'!$O18)-MAX(AC$7,'Fleet'!$G18))</x:f>
        <x:v>0</x:v>
      </x:c>
      <x:c r="AD21" s="34" t="n">
        <x:f>MAX(0,MIN(AD$8+1,'Fleet'!$O18)-MAX(AD$7,'Fleet'!$G18))</x:f>
        <x:v>0</x:v>
      </x:c>
      <x:c r="AE21" s="34" t="n">
        <x:f>MAX(0,MIN(AE$8+1,'Fleet'!$O18)-MAX(AE$7,'Fleet'!$G18))</x:f>
        <x:v>0</x:v>
      </x:c>
      <x:c r="AF21" s="34" t="n">
        <x:f>MAX(0,MIN(AF$8+1,'Fleet'!$O18)-MAX(AF$7,'Fleet'!$G18))</x:f>
        <x:v>0</x:v>
      </x:c>
      <x:c r="AG21" s="34" t="n">
        <x:f>MAX(0,MIN(AG$8+1,'Fleet'!$O18)-MAX(AG$7,'Fleet'!$G18))</x:f>
        <x:v>0</x:v>
      </x:c>
      <x:c r="AH21" s="34" t="n">
        <x:f>MAX(0,MIN(AH$8+1,'Fleet'!$O18)-MAX(AH$7,'Fleet'!$G18))</x:f>
        <x:v>0</x:v>
      </x:c>
      <x:c r="AI21" s="34" t="n">
        <x:f>MAX(0,MIN(AI$8+1,'Fleet'!$O18)-MAX(AI$7,'Fleet'!$G18))</x:f>
        <x:v>0</x:v>
      </x:c>
      <x:c r="AJ21" s="34" t="n">
        <x:f>MAX(0,MIN(AJ$8+1,'Fleet'!$O18)-MAX(AJ$7,'Fleet'!$G18))</x:f>
        <x:v>0</x:v>
      </x:c>
      <x:c r="AK21" s="34" t="n">
        <x:f>MAX(0,MIN(AK$8+1,'Fleet'!$O18)-MAX(AK$7,'Fleet'!$G18))</x:f>
        <x:v>0</x:v>
      </x:c>
      <x:c r="AL21" s="34" t="n">
        <x:f>MAX(0,MIN(AL$8+1,'Fleet'!$O18)-MAX(AL$7,'Fleet'!$G18))</x:f>
        <x:v>0</x:v>
      </x:c>
      <x:c r="AM21" s="34" t="n">
        <x:f>MAX(0,MIN(AM$8+1,'Fleet'!$O18)-MAX(AM$7,'Fleet'!$G18))</x:f>
        <x:v>0</x:v>
      </x:c>
      <x:c r="AN21" s="34" t="n">
        <x:f>MAX(0,MIN(AN$8+1,'Fleet'!$O18)-MAX(AN$7,'Fleet'!$G18))</x:f>
        <x:v>0</x:v>
      </x:c>
      <x:c r="AO21" s="34" t="n">
        <x:f>MAX(0,MIN(AO$8+1,'Fleet'!$O18)-MAX(AO$7,'Fleet'!$G18))</x:f>
        <x:v>0</x:v>
      </x:c>
      <x:c r="AP21" s="34" t="n">
        <x:f>MAX(0,MIN(AP$8+1,'Fleet'!$O18)-MAX(AP$7,'Fleet'!$G18))</x:f>
        <x:v>0</x:v>
      </x:c>
      <x:c r="AQ21" s="34" t="n">
        <x:f>MAX(0,MIN(AQ$8+1,'Fleet'!$O18)-MAX(AQ$7,'Fleet'!$G18))</x:f>
        <x:v>0</x:v>
      </x:c>
    </x:row>
    <x:row r="22" ht="21" customHeight="1">
      <x:c r="A22" s="2"/>
      <x:c r="B22" s="2"/>
      <x:c r="C22" s="5" t="str">
        <x:f>'Fleet'!C19</x:f>
        <x:v>Star Eleni</x:v>
      </x:c>
      <x:c r="D22" s="5" t="str">
        <x:f>'Fleet'!D19</x:f>
        <x:v>Newcastlemax</x:v>
      </x:c>
      <x:c r="E22" s="34" t="n">
        <x:f>MAX(0,MIN(E$8+1,'Fleet'!$O19)-MAX(E$7,'Fleet'!$G19))</x:f>
        <x:v>83</x:v>
      </x:c>
      <x:c r="F22" s="34" t="n">
        <x:f>MAX(0,MIN(F$8+1,'Fleet'!$O19)-MAX(F$7,'Fleet'!$G19))</x:f>
        <x:v>90</x:v>
      </x:c>
      <x:c r="G22" s="34" t="n">
        <x:f>MAX(0,MIN(G$8+1,'Fleet'!$O19)-MAX(G$7,'Fleet'!$G19))</x:f>
        <x:v>91</x:v>
      </x:c>
      <x:c r="H22" s="34" t="n">
        <x:f>MAX(0,MIN(H$8+1,'Fleet'!$O19)-MAX(H$7,'Fleet'!$G19))</x:f>
        <x:v>92</x:v>
      </x:c>
      <x:c r="I22" s="34" t="n">
        <x:f>MAX(0,MIN(I$8+1,'Fleet'!$O19)-MAX(I$7,'Fleet'!$G19))</x:f>
        <x:v>92</x:v>
      </x:c>
      <x:c r="J22" s="34" t="n">
        <x:f>MAX(0,MIN(J$8+1,'Fleet'!$O19)-MAX(J$7,'Fleet'!$G19))</x:f>
        <x:v>91</x:v>
      </x:c>
      <x:c r="K22" s="34" t="n">
        <x:f>MAX(0,MIN(K$8+1,'Fleet'!$O19)-MAX(K$7,'Fleet'!$G19))</x:f>
        <x:v>91</x:v>
      </x:c>
      <x:c r="L22" s="34" t="n">
        <x:f>MAX(0,MIN(L$8+1,'Fleet'!$O19)-MAX(L$7,'Fleet'!$G19))</x:f>
        <x:v>92</x:v>
      </x:c>
      <x:c r="M22" s="34" t="n">
        <x:f>MAX(0,MIN(M$8+1,'Fleet'!$O19)-MAX(M$7,'Fleet'!$G19))</x:f>
        <x:v>92</x:v>
      </x:c>
      <x:c r="N22" s="34" t="n">
        <x:f>MAX(0,MIN(N$8+1,'Fleet'!$O19)-MAX(N$7,'Fleet'!$G19))</x:f>
        <x:v>90</x:v>
      </x:c>
      <x:c r="O22" s="34" t="n">
        <x:f>MAX(0,MIN(O$8+1,'Fleet'!$O19)-MAX(O$7,'Fleet'!$G19))</x:f>
        <x:v>91</x:v>
      </x:c>
      <x:c r="P22" s="34" t="n">
        <x:f>MAX(0,MIN(P$8+1,'Fleet'!$O19)-MAX(P$7,'Fleet'!$G19))</x:f>
        <x:v>92</x:v>
      </x:c>
      <x:c r="Q22" s="34" t="n">
        <x:f>MAX(0,MIN(Q$8+1,'Fleet'!$O19)-MAX(Q$7,'Fleet'!$G19))</x:f>
        <x:v>365</x:v>
      </x:c>
      <x:c r="R22" s="34" t="n">
        <x:f>MAX(0,MIN(R$8+1,'Fleet'!$O19)-MAX(R$7,'Fleet'!$G19))</x:f>
        <x:v>365</x:v>
      </x:c>
      <x:c r="S22" s="34" t="n">
        <x:f>MAX(0,MIN(S$8+1,'Fleet'!$O19)-MAX(S$7,'Fleet'!$G19))</x:f>
        <x:v>366</x:v>
      </x:c>
      <x:c r="T22" s="34" t="n">
        <x:f>MAX(0,MIN(T$8+1,'Fleet'!$O19)-MAX(T$7,'Fleet'!$G19))</x:f>
        <x:v>365</x:v>
      </x:c>
      <x:c r="U22" s="34" t="n">
        <x:f>MAX(0,MIN(U$8+1,'Fleet'!$O19)-MAX(U$7,'Fleet'!$G19))</x:f>
        <x:v>365</x:v>
      </x:c>
      <x:c r="V22" s="34" t="n">
        <x:f>MAX(0,MIN(V$8+1,'Fleet'!$O19)-MAX(V$7,'Fleet'!$G19))</x:f>
        <x:v>365</x:v>
      </x:c>
      <x:c r="W22" s="34" t="n">
        <x:f>MAX(0,MIN(W$8+1,'Fleet'!$O19)-MAX(W$7,'Fleet'!$G19))</x:f>
        <x:v>366</x:v>
      </x:c>
      <x:c r="X22" s="34" t="n">
        <x:f>MAX(0,MIN(X$8+1,'Fleet'!$O19)-MAX(X$7,'Fleet'!$G19))</x:f>
        <x:v>365</x:v>
      </x:c>
      <x:c r="Y22" s="34" t="n">
        <x:f>MAX(0,MIN(Y$8+1,'Fleet'!$O19)-MAX(Y$7,'Fleet'!$G19))</x:f>
        <x:v>365</x:v>
      </x:c>
      <x:c r="Z22" s="34" t="n">
        <x:f>MAX(0,MIN(Z$8+1,'Fleet'!$O19)-MAX(Z$7,'Fleet'!$G19))</x:f>
        <x:v>365</x:v>
      </x:c>
      <x:c r="AA22" s="34" t="n">
        <x:f>MAX(0,MIN(AA$8+1,'Fleet'!$O19)-MAX(AA$7,'Fleet'!$G19))</x:f>
        <x:v>366</x:v>
      </x:c>
      <x:c r="AB22" s="34" t="n">
        <x:f>MAX(0,MIN(AB$8+1,'Fleet'!$O19)-MAX(AB$7,'Fleet'!$G19))</x:f>
        <x:v>365</x:v>
      </x:c>
      <x:c r="AC22" s="34" t="n">
        <x:f>MAX(0,MIN(AC$8+1,'Fleet'!$O19)-MAX(AC$7,'Fleet'!$G19))</x:f>
        <x:v>365</x:v>
      </x:c>
      <x:c r="AD22" s="34" t="n">
        <x:f>MAX(0,MIN(AD$8+1,'Fleet'!$O19)-MAX(AD$7,'Fleet'!$G19))</x:f>
        <x:v>273</x:v>
      </x:c>
      <x:c r="AE22" s="34" t="n">
        <x:f>MAX(0,MIN(AE$8+1,'Fleet'!$O19)-MAX(AE$7,'Fleet'!$G19))</x:f>
        <x:v>0</x:v>
      </x:c>
      <x:c r="AF22" s="34" t="n">
        <x:f>MAX(0,MIN(AF$8+1,'Fleet'!$O19)-MAX(AF$7,'Fleet'!$G19))</x:f>
        <x:v>0</x:v>
      </x:c>
      <x:c r="AG22" s="34" t="n">
        <x:f>MAX(0,MIN(AG$8+1,'Fleet'!$O19)-MAX(AG$7,'Fleet'!$G19))</x:f>
        <x:v>0</x:v>
      </x:c>
      <x:c r="AH22" s="34" t="n">
        <x:f>MAX(0,MIN(AH$8+1,'Fleet'!$O19)-MAX(AH$7,'Fleet'!$G19))</x:f>
        <x:v>0</x:v>
      </x:c>
      <x:c r="AI22" s="34" t="n">
        <x:f>MAX(0,MIN(AI$8+1,'Fleet'!$O19)-MAX(AI$7,'Fleet'!$G19))</x:f>
        <x:v>0</x:v>
      </x:c>
      <x:c r="AJ22" s="34" t="n">
        <x:f>MAX(0,MIN(AJ$8+1,'Fleet'!$O19)-MAX(AJ$7,'Fleet'!$G19))</x:f>
        <x:v>0</x:v>
      </x:c>
      <x:c r="AK22" s="34" t="n">
        <x:f>MAX(0,MIN(AK$8+1,'Fleet'!$O19)-MAX(AK$7,'Fleet'!$G19))</x:f>
        <x:v>0</x:v>
      </x:c>
      <x:c r="AL22" s="34" t="n">
        <x:f>MAX(0,MIN(AL$8+1,'Fleet'!$O19)-MAX(AL$7,'Fleet'!$G19))</x:f>
        <x:v>0</x:v>
      </x:c>
      <x:c r="AM22" s="34" t="n">
        <x:f>MAX(0,MIN(AM$8+1,'Fleet'!$O19)-MAX(AM$7,'Fleet'!$G19))</x:f>
        <x:v>0</x:v>
      </x:c>
      <x:c r="AN22" s="34" t="n">
        <x:f>MAX(0,MIN(AN$8+1,'Fleet'!$O19)-MAX(AN$7,'Fleet'!$G19))</x:f>
        <x:v>0</x:v>
      </x:c>
      <x:c r="AO22" s="34" t="n">
        <x:f>MAX(0,MIN(AO$8+1,'Fleet'!$O19)-MAX(AO$7,'Fleet'!$G19))</x:f>
        <x:v>0</x:v>
      </x:c>
      <x:c r="AP22" s="34" t="n">
        <x:f>MAX(0,MIN(AP$8+1,'Fleet'!$O19)-MAX(AP$7,'Fleet'!$G19))</x:f>
        <x:v>0</x:v>
      </x:c>
      <x:c r="AQ22" s="34" t="n">
        <x:f>MAX(0,MIN(AQ$8+1,'Fleet'!$O19)-MAX(AQ$7,'Fleet'!$G19))</x:f>
        <x:v>0</x:v>
      </x:c>
    </x:row>
    <x:row r="23" ht="21" customHeight="1">
      <x:c r="A23" s="2"/>
      <x:c r="B23" s="2"/>
      <x:c r="C23" s="5" t="str">
        <x:f>'Fleet'!C20</x:f>
        <x:v>Star Magnanimus</x:v>
      </x:c>
      <x:c r="D23" s="5" t="str">
        <x:f>'Fleet'!D20</x:f>
        <x:v>Newcastlemax</x:v>
      </x:c>
      <x:c r="E23" s="34" t="n">
        <x:f>MAX(0,MIN(E$8+1,'Fleet'!$O20)-MAX(E$7,'Fleet'!$G20))</x:f>
        <x:v>83</x:v>
      </x:c>
      <x:c r="F23" s="34" t="n">
        <x:f>MAX(0,MIN(F$8+1,'Fleet'!$O20)-MAX(F$7,'Fleet'!$G20))</x:f>
        <x:v>90</x:v>
      </x:c>
      <x:c r="G23" s="34" t="n">
        <x:f>MAX(0,MIN(G$8+1,'Fleet'!$O20)-MAX(G$7,'Fleet'!$G20))</x:f>
        <x:v>91</x:v>
      </x:c>
      <x:c r="H23" s="34" t="n">
        <x:f>MAX(0,MIN(H$8+1,'Fleet'!$O20)-MAX(H$7,'Fleet'!$G20))</x:f>
        <x:v>92</x:v>
      </x:c>
      <x:c r="I23" s="34" t="n">
        <x:f>MAX(0,MIN(I$8+1,'Fleet'!$O20)-MAX(I$7,'Fleet'!$G20))</x:f>
        <x:v>92</x:v>
      </x:c>
      <x:c r="J23" s="34" t="n">
        <x:f>MAX(0,MIN(J$8+1,'Fleet'!$O20)-MAX(J$7,'Fleet'!$G20))</x:f>
        <x:v>91</x:v>
      </x:c>
      <x:c r="K23" s="34" t="n">
        <x:f>MAX(0,MIN(K$8+1,'Fleet'!$O20)-MAX(K$7,'Fleet'!$G20))</x:f>
        <x:v>91</x:v>
      </x:c>
      <x:c r="L23" s="34" t="n">
        <x:f>MAX(0,MIN(L$8+1,'Fleet'!$O20)-MAX(L$7,'Fleet'!$G20))</x:f>
        <x:v>92</x:v>
      </x:c>
      <x:c r="M23" s="34" t="n">
        <x:f>MAX(0,MIN(M$8+1,'Fleet'!$O20)-MAX(M$7,'Fleet'!$G20))</x:f>
        <x:v>92</x:v>
      </x:c>
      <x:c r="N23" s="34" t="n">
        <x:f>MAX(0,MIN(N$8+1,'Fleet'!$O20)-MAX(N$7,'Fleet'!$G20))</x:f>
        <x:v>90</x:v>
      </x:c>
      <x:c r="O23" s="34" t="n">
        <x:f>MAX(0,MIN(O$8+1,'Fleet'!$O20)-MAX(O$7,'Fleet'!$G20))</x:f>
        <x:v>91</x:v>
      </x:c>
      <x:c r="P23" s="34" t="n">
        <x:f>MAX(0,MIN(P$8+1,'Fleet'!$O20)-MAX(P$7,'Fleet'!$G20))</x:f>
        <x:v>92</x:v>
      </x:c>
      <x:c r="Q23" s="34" t="n">
        <x:f>MAX(0,MIN(Q$8+1,'Fleet'!$O20)-MAX(Q$7,'Fleet'!$G20))</x:f>
        <x:v>365</x:v>
      </x:c>
      <x:c r="R23" s="34" t="n">
        <x:f>MAX(0,MIN(R$8+1,'Fleet'!$O20)-MAX(R$7,'Fleet'!$G20))</x:f>
        <x:v>365</x:v>
      </x:c>
      <x:c r="S23" s="34" t="n">
        <x:f>MAX(0,MIN(S$8+1,'Fleet'!$O20)-MAX(S$7,'Fleet'!$G20))</x:f>
        <x:v>366</x:v>
      </x:c>
      <x:c r="T23" s="34" t="n">
        <x:f>MAX(0,MIN(T$8+1,'Fleet'!$O20)-MAX(T$7,'Fleet'!$G20))</x:f>
        <x:v>365</x:v>
      </x:c>
      <x:c r="U23" s="34" t="n">
        <x:f>MAX(0,MIN(U$8+1,'Fleet'!$O20)-MAX(U$7,'Fleet'!$G20))</x:f>
        <x:v>365</x:v>
      </x:c>
      <x:c r="V23" s="34" t="n">
        <x:f>MAX(0,MIN(V$8+1,'Fleet'!$O20)-MAX(V$7,'Fleet'!$G20))</x:f>
        <x:v>365</x:v>
      </x:c>
      <x:c r="W23" s="34" t="n">
        <x:f>MAX(0,MIN(W$8+1,'Fleet'!$O20)-MAX(W$7,'Fleet'!$G20))</x:f>
        <x:v>366</x:v>
      </x:c>
      <x:c r="X23" s="34" t="n">
        <x:f>MAX(0,MIN(X$8+1,'Fleet'!$O20)-MAX(X$7,'Fleet'!$G20))</x:f>
        <x:v>365</x:v>
      </x:c>
      <x:c r="Y23" s="34" t="n">
        <x:f>MAX(0,MIN(Y$8+1,'Fleet'!$O20)-MAX(Y$7,'Fleet'!$G20))</x:f>
        <x:v>365</x:v>
      </x:c>
      <x:c r="Z23" s="34" t="n">
        <x:f>MAX(0,MIN(Z$8+1,'Fleet'!$O20)-MAX(Z$7,'Fleet'!$G20))</x:f>
        <x:v>365</x:v>
      </x:c>
      <x:c r="AA23" s="34" t="n">
        <x:f>MAX(0,MIN(AA$8+1,'Fleet'!$O20)-MAX(AA$7,'Fleet'!$G20))</x:f>
        <x:v>366</x:v>
      </x:c>
      <x:c r="AB23" s="34" t="n">
        <x:f>MAX(0,MIN(AB$8+1,'Fleet'!$O20)-MAX(AB$7,'Fleet'!$G20))</x:f>
        <x:v>365</x:v>
      </x:c>
      <x:c r="AC23" s="34" t="n">
        <x:f>MAX(0,MIN(AC$8+1,'Fleet'!$O20)-MAX(AC$7,'Fleet'!$G20))</x:f>
        <x:v>365</x:v>
      </x:c>
      <x:c r="AD23" s="34" t="n">
        <x:f>MAX(0,MIN(AD$8+1,'Fleet'!$O20)-MAX(AD$7,'Fleet'!$G20))</x:f>
        <x:v>273</x:v>
      </x:c>
      <x:c r="AE23" s="34" t="n">
        <x:f>MAX(0,MIN(AE$8+1,'Fleet'!$O20)-MAX(AE$7,'Fleet'!$G20))</x:f>
        <x:v>0</x:v>
      </x:c>
      <x:c r="AF23" s="34" t="n">
        <x:f>MAX(0,MIN(AF$8+1,'Fleet'!$O20)-MAX(AF$7,'Fleet'!$G20))</x:f>
        <x:v>0</x:v>
      </x:c>
      <x:c r="AG23" s="34" t="n">
        <x:f>MAX(0,MIN(AG$8+1,'Fleet'!$O20)-MAX(AG$7,'Fleet'!$G20))</x:f>
        <x:v>0</x:v>
      </x:c>
      <x:c r="AH23" s="34" t="n">
        <x:f>MAX(0,MIN(AH$8+1,'Fleet'!$O20)-MAX(AH$7,'Fleet'!$G20))</x:f>
        <x:v>0</x:v>
      </x:c>
      <x:c r="AI23" s="34" t="n">
        <x:f>MAX(0,MIN(AI$8+1,'Fleet'!$O20)-MAX(AI$7,'Fleet'!$G20))</x:f>
        <x:v>0</x:v>
      </x:c>
      <x:c r="AJ23" s="34" t="n">
        <x:f>MAX(0,MIN(AJ$8+1,'Fleet'!$O20)-MAX(AJ$7,'Fleet'!$G20))</x:f>
        <x:v>0</x:v>
      </x:c>
      <x:c r="AK23" s="34" t="n">
        <x:f>MAX(0,MIN(AK$8+1,'Fleet'!$O20)-MAX(AK$7,'Fleet'!$G20))</x:f>
        <x:v>0</x:v>
      </x:c>
      <x:c r="AL23" s="34" t="n">
        <x:f>MAX(0,MIN(AL$8+1,'Fleet'!$O20)-MAX(AL$7,'Fleet'!$G20))</x:f>
        <x:v>0</x:v>
      </x:c>
      <x:c r="AM23" s="34" t="n">
        <x:f>MAX(0,MIN(AM$8+1,'Fleet'!$O20)-MAX(AM$7,'Fleet'!$G20))</x:f>
        <x:v>0</x:v>
      </x:c>
      <x:c r="AN23" s="34" t="n">
        <x:f>MAX(0,MIN(AN$8+1,'Fleet'!$O20)-MAX(AN$7,'Fleet'!$G20))</x:f>
        <x:v>0</x:v>
      </x:c>
      <x:c r="AO23" s="34" t="n">
        <x:f>MAX(0,MIN(AO$8+1,'Fleet'!$O20)-MAX(AO$7,'Fleet'!$G20))</x:f>
        <x:v>0</x:v>
      </x:c>
      <x:c r="AP23" s="34" t="n">
        <x:f>MAX(0,MIN(AP$8+1,'Fleet'!$O20)-MAX(AP$7,'Fleet'!$G20))</x:f>
        <x:v>0</x:v>
      </x:c>
      <x:c r="AQ23" s="34" t="n">
        <x:f>MAX(0,MIN(AQ$8+1,'Fleet'!$O20)-MAX(AQ$7,'Fleet'!$G20))</x:f>
        <x:v>0</x:v>
      </x:c>
    </x:row>
    <x:row r="24" ht="21" customHeight="1">
      <x:c r="A24" s="2"/>
      <x:c r="B24" s="2"/>
      <x:c r="C24" s="5" t="str">
        <x:f>'Fleet'!C21</x:f>
        <x:v>Debbie H</x:v>
      </x:c>
      <x:c r="D24" s="5" t="str">
        <x:f>'Fleet'!D21</x:f>
        <x:v>Newcastlemax</x:v>
      </x:c>
      <x:c r="E24" s="34" t="n">
        <x:f>MAX(0,MIN(E$8+1,'Fleet'!$O21)-MAX(E$7,'Fleet'!$G21))</x:f>
        <x:v>83</x:v>
      </x:c>
      <x:c r="F24" s="34" t="n">
        <x:f>MAX(0,MIN(F$8+1,'Fleet'!$O21)-MAX(F$7,'Fleet'!$G21))</x:f>
        <x:v>90</x:v>
      </x:c>
      <x:c r="G24" s="34" t="n">
        <x:f>MAX(0,MIN(G$8+1,'Fleet'!$O21)-MAX(G$7,'Fleet'!$G21))</x:f>
        <x:v>91</x:v>
      </x:c>
      <x:c r="H24" s="34" t="n">
        <x:f>MAX(0,MIN(H$8+1,'Fleet'!$O21)-MAX(H$7,'Fleet'!$G21))</x:f>
        <x:v>92</x:v>
      </x:c>
      <x:c r="I24" s="34" t="n">
        <x:f>MAX(0,MIN(I$8+1,'Fleet'!$O21)-MAX(I$7,'Fleet'!$G21))</x:f>
        <x:v>92</x:v>
      </x:c>
      <x:c r="J24" s="34" t="n">
        <x:f>MAX(0,MIN(J$8+1,'Fleet'!$O21)-MAX(J$7,'Fleet'!$G21))</x:f>
        <x:v>91</x:v>
      </x:c>
      <x:c r="K24" s="34" t="n">
        <x:f>MAX(0,MIN(K$8+1,'Fleet'!$O21)-MAX(K$7,'Fleet'!$G21))</x:f>
        <x:v>91</x:v>
      </x:c>
      <x:c r="L24" s="34" t="n">
        <x:f>MAX(0,MIN(L$8+1,'Fleet'!$O21)-MAX(L$7,'Fleet'!$G21))</x:f>
        <x:v>92</x:v>
      </x:c>
      <x:c r="M24" s="34" t="n">
        <x:f>MAX(0,MIN(M$8+1,'Fleet'!$O21)-MAX(M$7,'Fleet'!$G21))</x:f>
        <x:v>92</x:v>
      </x:c>
      <x:c r="N24" s="34" t="n">
        <x:f>MAX(0,MIN(N$8+1,'Fleet'!$O21)-MAX(N$7,'Fleet'!$G21))</x:f>
        <x:v>90</x:v>
      </x:c>
      <x:c r="O24" s="34" t="n">
        <x:f>MAX(0,MIN(O$8+1,'Fleet'!$O21)-MAX(O$7,'Fleet'!$G21))</x:f>
        <x:v>91</x:v>
      </x:c>
      <x:c r="P24" s="34" t="n">
        <x:f>MAX(0,MIN(P$8+1,'Fleet'!$O21)-MAX(P$7,'Fleet'!$G21))</x:f>
        <x:v>92</x:v>
      </x:c>
      <x:c r="Q24" s="34" t="n">
        <x:f>MAX(0,MIN(Q$8+1,'Fleet'!$O21)-MAX(Q$7,'Fleet'!$G21))</x:f>
        <x:v>365</x:v>
      </x:c>
      <x:c r="R24" s="34" t="n">
        <x:f>MAX(0,MIN(R$8+1,'Fleet'!$O21)-MAX(R$7,'Fleet'!$G21))</x:f>
        <x:v>365</x:v>
      </x:c>
      <x:c r="S24" s="34" t="n">
        <x:f>MAX(0,MIN(S$8+1,'Fleet'!$O21)-MAX(S$7,'Fleet'!$G21))</x:f>
        <x:v>366</x:v>
      </x:c>
      <x:c r="T24" s="34" t="n">
        <x:f>MAX(0,MIN(T$8+1,'Fleet'!$O21)-MAX(T$7,'Fleet'!$G21))</x:f>
        <x:v>365</x:v>
      </x:c>
      <x:c r="U24" s="34" t="n">
        <x:f>MAX(0,MIN(U$8+1,'Fleet'!$O21)-MAX(U$7,'Fleet'!$G21))</x:f>
        <x:v>365</x:v>
      </x:c>
      <x:c r="V24" s="34" t="n">
        <x:f>MAX(0,MIN(V$8+1,'Fleet'!$O21)-MAX(V$7,'Fleet'!$G21))</x:f>
        <x:v>365</x:v>
      </x:c>
      <x:c r="W24" s="34" t="n">
        <x:f>MAX(0,MIN(W$8+1,'Fleet'!$O21)-MAX(W$7,'Fleet'!$G21))</x:f>
        <x:v>366</x:v>
      </x:c>
      <x:c r="X24" s="34" t="n">
        <x:f>MAX(0,MIN(X$8+1,'Fleet'!$O21)-MAX(X$7,'Fleet'!$G21))</x:f>
        <x:v>365</x:v>
      </x:c>
      <x:c r="Y24" s="34" t="n">
        <x:f>MAX(0,MIN(Y$8+1,'Fleet'!$O21)-MAX(Y$7,'Fleet'!$G21))</x:f>
        <x:v>365</x:v>
      </x:c>
      <x:c r="Z24" s="34" t="n">
        <x:f>MAX(0,MIN(Z$8+1,'Fleet'!$O21)-MAX(Z$7,'Fleet'!$G21))</x:f>
        <x:v>365</x:v>
      </x:c>
      <x:c r="AA24" s="34" t="n">
        <x:f>MAX(0,MIN(AA$8+1,'Fleet'!$O21)-MAX(AA$7,'Fleet'!$G21))</x:f>
        <x:v>366</x:v>
      </x:c>
      <x:c r="AB24" s="34" t="n">
        <x:f>MAX(0,MIN(AB$8+1,'Fleet'!$O21)-MAX(AB$7,'Fleet'!$G21))</x:f>
        <x:v>365</x:v>
      </x:c>
      <x:c r="AC24" s="34" t="n">
        <x:f>MAX(0,MIN(AC$8+1,'Fleet'!$O21)-MAX(AC$7,'Fleet'!$G21))</x:f>
        <x:v>365</x:v>
      </x:c>
      <x:c r="AD24" s="34" t="n">
        <x:f>MAX(0,MIN(AD$8+1,'Fleet'!$O21)-MAX(AD$7,'Fleet'!$G21))</x:f>
        <x:v>365</x:v>
      </x:c>
      <x:c r="AE24" s="34" t="n">
        <x:f>MAX(0,MIN(AE$8+1,'Fleet'!$O21)-MAX(AE$7,'Fleet'!$G21))</x:f>
        <x:v>274</x:v>
      </x:c>
      <x:c r="AF24" s="34" t="n">
        <x:f>MAX(0,MIN(AF$8+1,'Fleet'!$O21)-MAX(AF$7,'Fleet'!$G21))</x:f>
        <x:v>0</x:v>
      </x:c>
      <x:c r="AG24" s="34" t="n">
        <x:f>MAX(0,MIN(AG$8+1,'Fleet'!$O21)-MAX(AG$7,'Fleet'!$G21))</x:f>
        <x:v>0</x:v>
      </x:c>
      <x:c r="AH24" s="34" t="n">
        <x:f>MAX(0,MIN(AH$8+1,'Fleet'!$O21)-MAX(AH$7,'Fleet'!$G21))</x:f>
        <x:v>0</x:v>
      </x:c>
      <x:c r="AI24" s="34" t="n">
        <x:f>MAX(0,MIN(AI$8+1,'Fleet'!$O21)-MAX(AI$7,'Fleet'!$G21))</x:f>
        <x:v>0</x:v>
      </x:c>
      <x:c r="AJ24" s="34" t="n">
        <x:f>MAX(0,MIN(AJ$8+1,'Fleet'!$O21)-MAX(AJ$7,'Fleet'!$G21))</x:f>
        <x:v>0</x:v>
      </x:c>
      <x:c r="AK24" s="34" t="n">
        <x:f>MAX(0,MIN(AK$8+1,'Fleet'!$O21)-MAX(AK$7,'Fleet'!$G21))</x:f>
        <x:v>0</x:v>
      </x:c>
      <x:c r="AL24" s="34" t="n">
        <x:f>MAX(0,MIN(AL$8+1,'Fleet'!$O21)-MAX(AL$7,'Fleet'!$G21))</x:f>
        <x:v>0</x:v>
      </x:c>
      <x:c r="AM24" s="34" t="n">
        <x:f>MAX(0,MIN(AM$8+1,'Fleet'!$O21)-MAX(AM$7,'Fleet'!$G21))</x:f>
        <x:v>0</x:v>
      </x:c>
      <x:c r="AN24" s="34" t="n">
        <x:f>MAX(0,MIN(AN$8+1,'Fleet'!$O21)-MAX(AN$7,'Fleet'!$G21))</x:f>
        <x:v>0</x:v>
      </x:c>
      <x:c r="AO24" s="34" t="n">
        <x:f>MAX(0,MIN(AO$8+1,'Fleet'!$O21)-MAX(AO$7,'Fleet'!$G21))</x:f>
        <x:v>0</x:v>
      </x:c>
      <x:c r="AP24" s="34" t="n">
        <x:f>MAX(0,MIN(AP$8+1,'Fleet'!$O21)-MAX(AP$7,'Fleet'!$G21))</x:f>
        <x:v>0</x:v>
      </x:c>
      <x:c r="AQ24" s="34" t="n">
        <x:f>MAX(0,MIN(AQ$8+1,'Fleet'!$O21)-MAX(AQ$7,'Fleet'!$G21))</x:f>
        <x:v>0</x:v>
      </x:c>
    </x:row>
    <x:row r="25" ht="21" customHeight="1">
      <x:c r="A25" s="2"/>
      <x:c r="B25" s="2"/>
      <x:c r="C25" s="5" t="str">
        <x:f>'Fleet'!C22</x:f>
        <x:v>Star Ayesha</x:v>
      </x:c>
      <x:c r="D25" s="5" t="str">
        <x:f>'Fleet'!D22</x:f>
        <x:v>Newcastlemax</x:v>
      </x:c>
      <x:c r="E25" s="34" t="n">
        <x:f>MAX(0,MIN(E$8+1,'Fleet'!$O22)-MAX(E$7,'Fleet'!$G22))</x:f>
        <x:v>83</x:v>
      </x:c>
      <x:c r="F25" s="34" t="n">
        <x:f>MAX(0,MIN(F$8+1,'Fleet'!$O22)-MAX(F$7,'Fleet'!$G22))</x:f>
        <x:v>90</x:v>
      </x:c>
      <x:c r="G25" s="34" t="n">
        <x:f>MAX(0,MIN(G$8+1,'Fleet'!$O22)-MAX(G$7,'Fleet'!$G22))</x:f>
        <x:v>91</x:v>
      </x:c>
      <x:c r="H25" s="34" t="n">
        <x:f>MAX(0,MIN(H$8+1,'Fleet'!$O22)-MAX(H$7,'Fleet'!$G22))</x:f>
        <x:v>92</x:v>
      </x:c>
      <x:c r="I25" s="34" t="n">
        <x:f>MAX(0,MIN(I$8+1,'Fleet'!$O22)-MAX(I$7,'Fleet'!$G22))</x:f>
        <x:v>92</x:v>
      </x:c>
      <x:c r="J25" s="34" t="n">
        <x:f>MAX(0,MIN(J$8+1,'Fleet'!$O22)-MAX(J$7,'Fleet'!$G22))</x:f>
        <x:v>91</x:v>
      </x:c>
      <x:c r="K25" s="34" t="n">
        <x:f>MAX(0,MIN(K$8+1,'Fleet'!$O22)-MAX(K$7,'Fleet'!$G22))</x:f>
        <x:v>91</x:v>
      </x:c>
      <x:c r="L25" s="34" t="n">
        <x:f>MAX(0,MIN(L$8+1,'Fleet'!$O22)-MAX(L$7,'Fleet'!$G22))</x:f>
        <x:v>92</x:v>
      </x:c>
      <x:c r="M25" s="34" t="n">
        <x:f>MAX(0,MIN(M$8+1,'Fleet'!$O22)-MAX(M$7,'Fleet'!$G22))</x:f>
        <x:v>92</x:v>
      </x:c>
      <x:c r="N25" s="34" t="n">
        <x:f>MAX(0,MIN(N$8+1,'Fleet'!$O22)-MAX(N$7,'Fleet'!$G22))</x:f>
        <x:v>90</x:v>
      </x:c>
      <x:c r="O25" s="34" t="n">
        <x:f>MAX(0,MIN(O$8+1,'Fleet'!$O22)-MAX(O$7,'Fleet'!$G22))</x:f>
        <x:v>91</x:v>
      </x:c>
      <x:c r="P25" s="34" t="n">
        <x:f>MAX(0,MIN(P$8+1,'Fleet'!$O22)-MAX(P$7,'Fleet'!$G22))</x:f>
        <x:v>92</x:v>
      </x:c>
      <x:c r="Q25" s="34" t="n">
        <x:f>MAX(0,MIN(Q$8+1,'Fleet'!$O22)-MAX(Q$7,'Fleet'!$G22))</x:f>
        <x:v>365</x:v>
      </x:c>
      <x:c r="R25" s="34" t="n">
        <x:f>MAX(0,MIN(R$8+1,'Fleet'!$O22)-MAX(R$7,'Fleet'!$G22))</x:f>
        <x:v>365</x:v>
      </x:c>
      <x:c r="S25" s="34" t="n">
        <x:f>MAX(0,MIN(S$8+1,'Fleet'!$O22)-MAX(S$7,'Fleet'!$G22))</x:f>
        <x:v>366</x:v>
      </x:c>
      <x:c r="T25" s="34" t="n">
        <x:f>MAX(0,MIN(T$8+1,'Fleet'!$O22)-MAX(T$7,'Fleet'!$G22))</x:f>
        <x:v>365</x:v>
      </x:c>
      <x:c r="U25" s="34" t="n">
        <x:f>MAX(0,MIN(U$8+1,'Fleet'!$O22)-MAX(U$7,'Fleet'!$G22))</x:f>
        <x:v>365</x:v>
      </x:c>
      <x:c r="V25" s="34" t="n">
        <x:f>MAX(0,MIN(V$8+1,'Fleet'!$O22)-MAX(V$7,'Fleet'!$G22))</x:f>
        <x:v>365</x:v>
      </x:c>
      <x:c r="W25" s="34" t="n">
        <x:f>MAX(0,MIN(W$8+1,'Fleet'!$O22)-MAX(W$7,'Fleet'!$G22))</x:f>
        <x:v>366</x:v>
      </x:c>
      <x:c r="X25" s="34" t="n">
        <x:f>MAX(0,MIN(X$8+1,'Fleet'!$O22)-MAX(X$7,'Fleet'!$G22))</x:f>
        <x:v>365</x:v>
      </x:c>
      <x:c r="Y25" s="34" t="n">
        <x:f>MAX(0,MIN(Y$8+1,'Fleet'!$O22)-MAX(Y$7,'Fleet'!$G22))</x:f>
        <x:v>365</x:v>
      </x:c>
      <x:c r="Z25" s="34" t="n">
        <x:f>MAX(0,MIN(Z$8+1,'Fleet'!$O22)-MAX(Z$7,'Fleet'!$G22))</x:f>
        <x:v>365</x:v>
      </x:c>
      <x:c r="AA25" s="34" t="n">
        <x:f>MAX(0,MIN(AA$8+1,'Fleet'!$O22)-MAX(AA$7,'Fleet'!$G22))</x:f>
        <x:v>366</x:v>
      </x:c>
      <x:c r="AB25" s="34" t="n">
        <x:f>MAX(0,MIN(AB$8+1,'Fleet'!$O22)-MAX(AB$7,'Fleet'!$G22))</x:f>
        <x:v>365</x:v>
      </x:c>
      <x:c r="AC25" s="34" t="n">
        <x:f>MAX(0,MIN(AC$8+1,'Fleet'!$O22)-MAX(AC$7,'Fleet'!$G22))</x:f>
        <x:v>365</x:v>
      </x:c>
      <x:c r="AD25" s="34" t="n">
        <x:f>MAX(0,MIN(AD$8+1,'Fleet'!$O22)-MAX(AD$7,'Fleet'!$G22))</x:f>
        <x:v>365</x:v>
      </x:c>
      <x:c r="AE25" s="34" t="n">
        <x:f>MAX(0,MIN(AE$8+1,'Fleet'!$O22)-MAX(AE$7,'Fleet'!$G22))</x:f>
        <x:v>274</x:v>
      </x:c>
      <x:c r="AF25" s="34" t="n">
        <x:f>MAX(0,MIN(AF$8+1,'Fleet'!$O22)-MAX(AF$7,'Fleet'!$G22))</x:f>
        <x:v>0</x:v>
      </x:c>
      <x:c r="AG25" s="34" t="n">
        <x:f>MAX(0,MIN(AG$8+1,'Fleet'!$O22)-MAX(AG$7,'Fleet'!$G22))</x:f>
        <x:v>0</x:v>
      </x:c>
      <x:c r="AH25" s="34" t="n">
        <x:f>MAX(0,MIN(AH$8+1,'Fleet'!$O22)-MAX(AH$7,'Fleet'!$G22))</x:f>
        <x:v>0</x:v>
      </x:c>
      <x:c r="AI25" s="34" t="n">
        <x:f>MAX(0,MIN(AI$8+1,'Fleet'!$O22)-MAX(AI$7,'Fleet'!$G22))</x:f>
        <x:v>0</x:v>
      </x:c>
      <x:c r="AJ25" s="34" t="n">
        <x:f>MAX(0,MIN(AJ$8+1,'Fleet'!$O22)-MAX(AJ$7,'Fleet'!$G22))</x:f>
        <x:v>0</x:v>
      </x:c>
      <x:c r="AK25" s="34" t="n">
        <x:f>MAX(0,MIN(AK$8+1,'Fleet'!$O22)-MAX(AK$7,'Fleet'!$G22))</x:f>
        <x:v>0</x:v>
      </x:c>
      <x:c r="AL25" s="34" t="n">
        <x:f>MAX(0,MIN(AL$8+1,'Fleet'!$O22)-MAX(AL$7,'Fleet'!$G22))</x:f>
        <x:v>0</x:v>
      </x:c>
      <x:c r="AM25" s="34" t="n">
        <x:f>MAX(0,MIN(AM$8+1,'Fleet'!$O22)-MAX(AM$7,'Fleet'!$G22))</x:f>
        <x:v>0</x:v>
      </x:c>
      <x:c r="AN25" s="34" t="n">
        <x:f>MAX(0,MIN(AN$8+1,'Fleet'!$O22)-MAX(AN$7,'Fleet'!$G22))</x:f>
        <x:v>0</x:v>
      </x:c>
      <x:c r="AO25" s="34" t="n">
        <x:f>MAX(0,MIN(AO$8+1,'Fleet'!$O22)-MAX(AO$7,'Fleet'!$G22))</x:f>
        <x:v>0</x:v>
      </x:c>
      <x:c r="AP25" s="34" t="n">
        <x:f>MAX(0,MIN(AP$8+1,'Fleet'!$O22)-MAX(AP$7,'Fleet'!$G22))</x:f>
        <x:v>0</x:v>
      </x:c>
      <x:c r="AQ25" s="34" t="n">
        <x:f>MAX(0,MIN(AQ$8+1,'Fleet'!$O22)-MAX(AQ$7,'Fleet'!$G22))</x:f>
        <x:v>0</x:v>
      </x:c>
    </x:row>
    <x:row r="26" ht="21" customHeight="1">
      <x:c r="A26" s="2"/>
      <x:c r="B26" s="2"/>
      <x:c r="C26" s="5" t="str">
        <x:f>'Fleet'!C23</x:f>
        <x:v>Katie K</x:v>
      </x:c>
      <x:c r="D26" s="5" t="str">
        <x:f>'Fleet'!D23</x:f>
        <x:v>Newcastlemax</x:v>
      </x:c>
      <x:c r="E26" s="34" t="n">
        <x:f>MAX(0,MIN(E$8+1,'Fleet'!$O23)-MAX(E$7,'Fleet'!$G23))</x:f>
        <x:v>83</x:v>
      </x:c>
      <x:c r="F26" s="34" t="n">
        <x:f>MAX(0,MIN(F$8+1,'Fleet'!$O23)-MAX(F$7,'Fleet'!$G23))</x:f>
        <x:v>90</x:v>
      </x:c>
      <x:c r="G26" s="34" t="n">
        <x:f>MAX(0,MIN(G$8+1,'Fleet'!$O23)-MAX(G$7,'Fleet'!$G23))</x:f>
        <x:v>91</x:v>
      </x:c>
      <x:c r="H26" s="34" t="n">
        <x:f>MAX(0,MIN(H$8+1,'Fleet'!$O23)-MAX(H$7,'Fleet'!$G23))</x:f>
        <x:v>92</x:v>
      </x:c>
      <x:c r="I26" s="34" t="n">
        <x:f>MAX(0,MIN(I$8+1,'Fleet'!$O23)-MAX(I$7,'Fleet'!$G23))</x:f>
        <x:v>92</x:v>
      </x:c>
      <x:c r="J26" s="34" t="n">
        <x:f>MAX(0,MIN(J$8+1,'Fleet'!$O23)-MAX(J$7,'Fleet'!$G23))</x:f>
        <x:v>91</x:v>
      </x:c>
      <x:c r="K26" s="34" t="n">
        <x:f>MAX(0,MIN(K$8+1,'Fleet'!$O23)-MAX(K$7,'Fleet'!$G23))</x:f>
        <x:v>91</x:v>
      </x:c>
      <x:c r="L26" s="34" t="n">
        <x:f>MAX(0,MIN(L$8+1,'Fleet'!$O23)-MAX(L$7,'Fleet'!$G23))</x:f>
        <x:v>92</x:v>
      </x:c>
      <x:c r="M26" s="34" t="n">
        <x:f>MAX(0,MIN(M$8+1,'Fleet'!$O23)-MAX(M$7,'Fleet'!$G23))</x:f>
        <x:v>92</x:v>
      </x:c>
      <x:c r="N26" s="34" t="n">
        <x:f>MAX(0,MIN(N$8+1,'Fleet'!$O23)-MAX(N$7,'Fleet'!$G23))</x:f>
        <x:v>90</x:v>
      </x:c>
      <x:c r="O26" s="34" t="n">
        <x:f>MAX(0,MIN(O$8+1,'Fleet'!$O23)-MAX(O$7,'Fleet'!$G23))</x:f>
        <x:v>91</x:v>
      </x:c>
      <x:c r="P26" s="34" t="n">
        <x:f>MAX(0,MIN(P$8+1,'Fleet'!$O23)-MAX(P$7,'Fleet'!$G23))</x:f>
        <x:v>92</x:v>
      </x:c>
      <x:c r="Q26" s="34" t="n">
        <x:f>MAX(0,MIN(Q$8+1,'Fleet'!$O23)-MAX(Q$7,'Fleet'!$G23))</x:f>
        <x:v>365</x:v>
      </x:c>
      <x:c r="R26" s="34" t="n">
        <x:f>MAX(0,MIN(R$8+1,'Fleet'!$O23)-MAX(R$7,'Fleet'!$G23))</x:f>
        <x:v>365</x:v>
      </x:c>
      <x:c r="S26" s="34" t="n">
        <x:f>MAX(0,MIN(S$8+1,'Fleet'!$O23)-MAX(S$7,'Fleet'!$G23))</x:f>
        <x:v>366</x:v>
      </x:c>
      <x:c r="T26" s="34" t="n">
        <x:f>MAX(0,MIN(T$8+1,'Fleet'!$O23)-MAX(T$7,'Fleet'!$G23))</x:f>
        <x:v>365</x:v>
      </x:c>
      <x:c r="U26" s="34" t="n">
        <x:f>MAX(0,MIN(U$8+1,'Fleet'!$O23)-MAX(U$7,'Fleet'!$G23))</x:f>
        <x:v>365</x:v>
      </x:c>
      <x:c r="V26" s="34" t="n">
        <x:f>MAX(0,MIN(V$8+1,'Fleet'!$O23)-MAX(V$7,'Fleet'!$G23))</x:f>
        <x:v>365</x:v>
      </x:c>
      <x:c r="W26" s="34" t="n">
        <x:f>MAX(0,MIN(W$8+1,'Fleet'!$O23)-MAX(W$7,'Fleet'!$G23))</x:f>
        <x:v>366</x:v>
      </x:c>
      <x:c r="X26" s="34" t="n">
        <x:f>MAX(0,MIN(X$8+1,'Fleet'!$O23)-MAX(X$7,'Fleet'!$G23))</x:f>
        <x:v>365</x:v>
      </x:c>
      <x:c r="Y26" s="34" t="n">
        <x:f>MAX(0,MIN(Y$8+1,'Fleet'!$O23)-MAX(Y$7,'Fleet'!$G23))</x:f>
        <x:v>365</x:v>
      </x:c>
      <x:c r="Z26" s="34" t="n">
        <x:f>MAX(0,MIN(Z$8+1,'Fleet'!$O23)-MAX(Z$7,'Fleet'!$G23))</x:f>
        <x:v>365</x:v>
      </x:c>
      <x:c r="AA26" s="34" t="n">
        <x:f>MAX(0,MIN(AA$8+1,'Fleet'!$O23)-MAX(AA$7,'Fleet'!$G23))</x:f>
        <x:v>366</x:v>
      </x:c>
      <x:c r="AB26" s="34" t="n">
        <x:f>MAX(0,MIN(AB$8+1,'Fleet'!$O23)-MAX(AB$7,'Fleet'!$G23))</x:f>
        <x:v>365</x:v>
      </x:c>
      <x:c r="AC26" s="34" t="n">
        <x:f>MAX(0,MIN(AC$8+1,'Fleet'!$O23)-MAX(AC$7,'Fleet'!$G23))</x:f>
        <x:v>365</x:v>
      </x:c>
      <x:c r="AD26" s="34" t="n">
        <x:f>MAX(0,MIN(AD$8+1,'Fleet'!$O23)-MAX(AD$7,'Fleet'!$G23))</x:f>
        <x:v>365</x:v>
      </x:c>
      <x:c r="AE26" s="34" t="n">
        <x:f>MAX(0,MIN(AE$8+1,'Fleet'!$O23)-MAX(AE$7,'Fleet'!$G23))</x:f>
        <x:v>274</x:v>
      </x:c>
      <x:c r="AF26" s="34" t="n">
        <x:f>MAX(0,MIN(AF$8+1,'Fleet'!$O23)-MAX(AF$7,'Fleet'!$G23))</x:f>
        <x:v>0</x:v>
      </x:c>
      <x:c r="AG26" s="34" t="n">
        <x:f>MAX(0,MIN(AG$8+1,'Fleet'!$O23)-MAX(AG$7,'Fleet'!$G23))</x:f>
        <x:v>0</x:v>
      </x:c>
      <x:c r="AH26" s="34" t="n">
        <x:f>MAX(0,MIN(AH$8+1,'Fleet'!$O23)-MAX(AH$7,'Fleet'!$G23))</x:f>
        <x:v>0</x:v>
      </x:c>
      <x:c r="AI26" s="34" t="n">
        <x:f>MAX(0,MIN(AI$8+1,'Fleet'!$O23)-MAX(AI$7,'Fleet'!$G23))</x:f>
        <x:v>0</x:v>
      </x:c>
      <x:c r="AJ26" s="34" t="n">
        <x:f>MAX(0,MIN(AJ$8+1,'Fleet'!$O23)-MAX(AJ$7,'Fleet'!$G23))</x:f>
        <x:v>0</x:v>
      </x:c>
      <x:c r="AK26" s="34" t="n">
        <x:f>MAX(0,MIN(AK$8+1,'Fleet'!$O23)-MAX(AK$7,'Fleet'!$G23))</x:f>
        <x:v>0</x:v>
      </x:c>
      <x:c r="AL26" s="34" t="n">
        <x:f>MAX(0,MIN(AL$8+1,'Fleet'!$O23)-MAX(AL$7,'Fleet'!$G23))</x:f>
        <x:v>0</x:v>
      </x:c>
      <x:c r="AM26" s="34" t="n">
        <x:f>MAX(0,MIN(AM$8+1,'Fleet'!$O23)-MAX(AM$7,'Fleet'!$G23))</x:f>
        <x:v>0</x:v>
      </x:c>
      <x:c r="AN26" s="34" t="n">
        <x:f>MAX(0,MIN(AN$8+1,'Fleet'!$O23)-MAX(AN$7,'Fleet'!$G23))</x:f>
        <x:v>0</x:v>
      </x:c>
      <x:c r="AO26" s="34" t="n">
        <x:f>MAX(0,MIN(AO$8+1,'Fleet'!$O23)-MAX(AO$7,'Fleet'!$G23))</x:f>
        <x:v>0</x:v>
      </x:c>
      <x:c r="AP26" s="34" t="n">
        <x:f>MAX(0,MIN(AP$8+1,'Fleet'!$O23)-MAX(AP$7,'Fleet'!$G23))</x:f>
        <x:v>0</x:v>
      </x:c>
      <x:c r="AQ26" s="34" t="n">
        <x:f>MAX(0,MIN(AQ$8+1,'Fleet'!$O23)-MAX(AQ$7,'Fleet'!$G23))</x:f>
        <x:v>0</x:v>
      </x:c>
    </x:row>
    <x:row r="27" ht="21" customHeight="1">
      <x:c r="A27" s="2"/>
      <x:c r="B27" s="2"/>
      <x:c r="C27" s="5" t="str">
        <x:f>'Fleet'!C24</x:f>
        <x:v>Leviathan</x:v>
      </x:c>
      <x:c r="D27" s="5" t="str">
        <x:f>'Fleet'!D24</x:f>
        <x:v>Capesize</x:v>
      </x:c>
      <x:c r="E27" s="34" t="n">
        <x:f>MAX(0,MIN(E$8+1,'Fleet'!$O24)-MAX(E$7,'Fleet'!$G24))</x:f>
        <x:v>83</x:v>
      </x:c>
      <x:c r="F27" s="34" t="n">
        <x:f>MAX(0,MIN(F$8+1,'Fleet'!$O24)-MAX(F$7,'Fleet'!$G24))</x:f>
        <x:v>90</x:v>
      </x:c>
      <x:c r="G27" s="34" t="n">
        <x:f>MAX(0,MIN(G$8+1,'Fleet'!$O24)-MAX(G$7,'Fleet'!$G24))</x:f>
        <x:v>91</x:v>
      </x:c>
      <x:c r="H27" s="34" t="n">
        <x:f>MAX(0,MIN(H$8+1,'Fleet'!$O24)-MAX(H$7,'Fleet'!$G24))</x:f>
        <x:v>92</x:v>
      </x:c>
      <x:c r="I27" s="34" t="n">
        <x:f>MAX(0,MIN(I$8+1,'Fleet'!$O24)-MAX(I$7,'Fleet'!$G24))</x:f>
        <x:v>92</x:v>
      </x:c>
      <x:c r="J27" s="34" t="n">
        <x:f>MAX(0,MIN(J$8+1,'Fleet'!$O24)-MAX(J$7,'Fleet'!$G24))</x:f>
        <x:v>91</x:v>
      </x:c>
      <x:c r="K27" s="34" t="n">
        <x:f>MAX(0,MIN(K$8+1,'Fleet'!$O24)-MAX(K$7,'Fleet'!$G24))</x:f>
        <x:v>91</x:v>
      </x:c>
      <x:c r="L27" s="34" t="n">
        <x:f>MAX(0,MIN(L$8+1,'Fleet'!$O24)-MAX(L$7,'Fleet'!$G24))</x:f>
        <x:v>92</x:v>
      </x:c>
      <x:c r="M27" s="34" t="n">
        <x:f>MAX(0,MIN(M$8+1,'Fleet'!$O24)-MAX(M$7,'Fleet'!$G24))</x:f>
        <x:v>92</x:v>
      </x:c>
      <x:c r="N27" s="34" t="n">
        <x:f>MAX(0,MIN(N$8+1,'Fleet'!$O24)-MAX(N$7,'Fleet'!$G24))</x:f>
        <x:v>90</x:v>
      </x:c>
      <x:c r="O27" s="34" t="n">
        <x:f>MAX(0,MIN(O$8+1,'Fleet'!$O24)-MAX(O$7,'Fleet'!$G24))</x:f>
        <x:v>91</x:v>
      </x:c>
      <x:c r="P27" s="34" t="n">
        <x:f>MAX(0,MIN(P$8+1,'Fleet'!$O24)-MAX(P$7,'Fleet'!$G24))</x:f>
        <x:v>92</x:v>
      </x:c>
      <x:c r="Q27" s="34" t="n">
        <x:f>MAX(0,MIN(Q$8+1,'Fleet'!$O24)-MAX(Q$7,'Fleet'!$G24))</x:f>
        <x:v>365</x:v>
      </x:c>
      <x:c r="R27" s="34" t="n">
        <x:f>MAX(0,MIN(R$8+1,'Fleet'!$O24)-MAX(R$7,'Fleet'!$G24))</x:f>
        <x:v>365</x:v>
      </x:c>
      <x:c r="S27" s="34" t="n">
        <x:f>MAX(0,MIN(S$8+1,'Fleet'!$O24)-MAX(S$7,'Fleet'!$G24))</x:f>
        <x:v>366</x:v>
      </x:c>
      <x:c r="T27" s="34" t="n">
        <x:f>MAX(0,MIN(T$8+1,'Fleet'!$O24)-MAX(T$7,'Fleet'!$G24))</x:f>
        <x:v>365</x:v>
      </x:c>
      <x:c r="U27" s="34" t="n">
        <x:f>MAX(0,MIN(U$8+1,'Fleet'!$O24)-MAX(U$7,'Fleet'!$G24))</x:f>
        <x:v>365</x:v>
      </x:c>
      <x:c r="V27" s="34" t="n">
        <x:f>MAX(0,MIN(V$8+1,'Fleet'!$O24)-MAX(V$7,'Fleet'!$G24))</x:f>
        <x:v>365</x:v>
      </x:c>
      <x:c r="W27" s="34" t="n">
        <x:f>MAX(0,MIN(W$8+1,'Fleet'!$O24)-MAX(W$7,'Fleet'!$G24))</x:f>
        <x:v>366</x:v>
      </x:c>
      <x:c r="X27" s="34" t="n">
        <x:f>MAX(0,MIN(X$8+1,'Fleet'!$O24)-MAX(X$7,'Fleet'!$G24))</x:f>
        <x:v>365</x:v>
      </x:c>
      <x:c r="Y27" s="34" t="n">
        <x:f>MAX(0,MIN(Y$8+1,'Fleet'!$O24)-MAX(Y$7,'Fleet'!$G24))</x:f>
        <x:v>365</x:v>
      </x:c>
      <x:c r="Z27" s="34" t="n">
        <x:f>MAX(0,MIN(Z$8+1,'Fleet'!$O24)-MAX(Z$7,'Fleet'!$G24))</x:f>
        <x:v>273</x:v>
      </x:c>
      <x:c r="AA27" s="34" t="n">
        <x:f>MAX(0,MIN(AA$8+1,'Fleet'!$O24)-MAX(AA$7,'Fleet'!$G24))</x:f>
        <x:v>0</x:v>
      </x:c>
      <x:c r="AB27" s="34" t="n">
        <x:f>MAX(0,MIN(AB$8+1,'Fleet'!$O24)-MAX(AB$7,'Fleet'!$G24))</x:f>
        <x:v>0</x:v>
      </x:c>
      <x:c r="AC27" s="34" t="n">
        <x:f>MAX(0,MIN(AC$8+1,'Fleet'!$O24)-MAX(AC$7,'Fleet'!$G24))</x:f>
        <x:v>0</x:v>
      </x:c>
      <x:c r="AD27" s="34" t="n">
        <x:f>MAX(0,MIN(AD$8+1,'Fleet'!$O24)-MAX(AD$7,'Fleet'!$G24))</x:f>
        <x:v>0</x:v>
      </x:c>
      <x:c r="AE27" s="34" t="n">
        <x:f>MAX(0,MIN(AE$8+1,'Fleet'!$O24)-MAX(AE$7,'Fleet'!$G24))</x:f>
        <x:v>0</x:v>
      </x:c>
      <x:c r="AF27" s="34" t="n">
        <x:f>MAX(0,MIN(AF$8+1,'Fleet'!$O24)-MAX(AF$7,'Fleet'!$G24))</x:f>
        <x:v>0</x:v>
      </x:c>
      <x:c r="AG27" s="34" t="n">
        <x:f>MAX(0,MIN(AG$8+1,'Fleet'!$O24)-MAX(AG$7,'Fleet'!$G24))</x:f>
        <x:v>0</x:v>
      </x:c>
      <x:c r="AH27" s="34" t="n">
        <x:f>MAX(0,MIN(AH$8+1,'Fleet'!$O24)-MAX(AH$7,'Fleet'!$G24))</x:f>
        <x:v>0</x:v>
      </x:c>
      <x:c r="AI27" s="34" t="n">
        <x:f>MAX(0,MIN(AI$8+1,'Fleet'!$O24)-MAX(AI$7,'Fleet'!$G24))</x:f>
        <x:v>0</x:v>
      </x:c>
      <x:c r="AJ27" s="34" t="n">
        <x:f>MAX(0,MIN(AJ$8+1,'Fleet'!$O24)-MAX(AJ$7,'Fleet'!$G24))</x:f>
        <x:v>0</x:v>
      </x:c>
      <x:c r="AK27" s="34" t="n">
        <x:f>MAX(0,MIN(AK$8+1,'Fleet'!$O24)-MAX(AK$7,'Fleet'!$G24))</x:f>
        <x:v>0</x:v>
      </x:c>
      <x:c r="AL27" s="34" t="n">
        <x:f>MAX(0,MIN(AL$8+1,'Fleet'!$O24)-MAX(AL$7,'Fleet'!$G24))</x:f>
        <x:v>0</x:v>
      </x:c>
      <x:c r="AM27" s="34" t="n">
        <x:f>MAX(0,MIN(AM$8+1,'Fleet'!$O24)-MAX(AM$7,'Fleet'!$G24))</x:f>
        <x:v>0</x:v>
      </x:c>
      <x:c r="AN27" s="34" t="n">
        <x:f>MAX(0,MIN(AN$8+1,'Fleet'!$O24)-MAX(AN$7,'Fleet'!$G24))</x:f>
        <x:v>0</x:v>
      </x:c>
      <x:c r="AO27" s="34" t="n">
        <x:f>MAX(0,MIN(AO$8+1,'Fleet'!$O24)-MAX(AO$7,'Fleet'!$G24))</x:f>
        <x:v>0</x:v>
      </x:c>
      <x:c r="AP27" s="34" t="n">
        <x:f>MAX(0,MIN(AP$8+1,'Fleet'!$O24)-MAX(AP$7,'Fleet'!$G24))</x:f>
        <x:v>0</x:v>
      </x:c>
      <x:c r="AQ27" s="34" t="n">
        <x:f>MAX(0,MIN(AQ$8+1,'Fleet'!$O24)-MAX(AQ$7,'Fleet'!$G24))</x:f>
        <x:v>0</x:v>
      </x:c>
    </x:row>
    <x:row r="28" ht="21" customHeight="1">
      <x:c r="A28" s="2"/>
      <x:c r="B28" s="2"/>
      <x:c r="C28" s="5" t="str">
        <x:f>'Fleet'!C25</x:f>
        <x:v>Peloreus</x:v>
      </x:c>
      <x:c r="D28" s="5" t="str">
        <x:f>'Fleet'!D25</x:f>
        <x:v>Capesize</x:v>
      </x:c>
      <x:c r="E28" s="34" t="n">
        <x:f>MAX(0,MIN(E$8+1,'Fleet'!$O25)-MAX(E$7,'Fleet'!$G25))</x:f>
        <x:v>83</x:v>
      </x:c>
      <x:c r="F28" s="34" t="n">
        <x:f>MAX(0,MIN(F$8+1,'Fleet'!$O25)-MAX(F$7,'Fleet'!$G25))</x:f>
        <x:v>90</x:v>
      </x:c>
      <x:c r="G28" s="34" t="n">
        <x:f>MAX(0,MIN(G$8+1,'Fleet'!$O25)-MAX(G$7,'Fleet'!$G25))</x:f>
        <x:v>91</x:v>
      </x:c>
      <x:c r="H28" s="34" t="n">
        <x:f>MAX(0,MIN(H$8+1,'Fleet'!$O25)-MAX(H$7,'Fleet'!$G25))</x:f>
        <x:v>92</x:v>
      </x:c>
      <x:c r="I28" s="34" t="n">
        <x:f>MAX(0,MIN(I$8+1,'Fleet'!$O25)-MAX(I$7,'Fleet'!$G25))</x:f>
        <x:v>92</x:v>
      </x:c>
      <x:c r="J28" s="34" t="n">
        <x:f>MAX(0,MIN(J$8+1,'Fleet'!$O25)-MAX(J$7,'Fleet'!$G25))</x:f>
        <x:v>91</x:v>
      </x:c>
      <x:c r="K28" s="34" t="n">
        <x:f>MAX(0,MIN(K$8+1,'Fleet'!$O25)-MAX(K$7,'Fleet'!$G25))</x:f>
        <x:v>91</x:v>
      </x:c>
      <x:c r="L28" s="34" t="n">
        <x:f>MAX(0,MIN(L$8+1,'Fleet'!$O25)-MAX(L$7,'Fleet'!$G25))</x:f>
        <x:v>92</x:v>
      </x:c>
      <x:c r="M28" s="34" t="n">
        <x:f>MAX(0,MIN(M$8+1,'Fleet'!$O25)-MAX(M$7,'Fleet'!$G25))</x:f>
        <x:v>92</x:v>
      </x:c>
      <x:c r="N28" s="34" t="n">
        <x:f>MAX(0,MIN(N$8+1,'Fleet'!$O25)-MAX(N$7,'Fleet'!$G25))</x:f>
        <x:v>90</x:v>
      </x:c>
      <x:c r="O28" s="34" t="n">
        <x:f>MAX(0,MIN(O$8+1,'Fleet'!$O25)-MAX(O$7,'Fleet'!$G25))</x:f>
        <x:v>91</x:v>
      </x:c>
      <x:c r="P28" s="34" t="n">
        <x:f>MAX(0,MIN(P$8+1,'Fleet'!$O25)-MAX(P$7,'Fleet'!$G25))</x:f>
        <x:v>92</x:v>
      </x:c>
      <x:c r="Q28" s="34" t="n">
        <x:f>MAX(0,MIN(Q$8+1,'Fleet'!$O25)-MAX(Q$7,'Fleet'!$G25))</x:f>
        <x:v>365</x:v>
      </x:c>
      <x:c r="R28" s="34" t="n">
        <x:f>MAX(0,MIN(R$8+1,'Fleet'!$O25)-MAX(R$7,'Fleet'!$G25))</x:f>
        <x:v>365</x:v>
      </x:c>
      <x:c r="S28" s="34" t="n">
        <x:f>MAX(0,MIN(S$8+1,'Fleet'!$O25)-MAX(S$7,'Fleet'!$G25))</x:f>
        <x:v>366</x:v>
      </x:c>
      <x:c r="T28" s="34" t="n">
        <x:f>MAX(0,MIN(T$8+1,'Fleet'!$O25)-MAX(T$7,'Fleet'!$G25))</x:f>
        <x:v>365</x:v>
      </x:c>
      <x:c r="U28" s="34" t="n">
        <x:f>MAX(0,MIN(U$8+1,'Fleet'!$O25)-MAX(U$7,'Fleet'!$G25))</x:f>
        <x:v>365</x:v>
      </x:c>
      <x:c r="V28" s="34" t="n">
        <x:f>MAX(0,MIN(V$8+1,'Fleet'!$O25)-MAX(V$7,'Fleet'!$G25))</x:f>
        <x:v>365</x:v>
      </x:c>
      <x:c r="W28" s="34" t="n">
        <x:f>MAX(0,MIN(W$8+1,'Fleet'!$O25)-MAX(W$7,'Fleet'!$G25))</x:f>
        <x:v>366</x:v>
      </x:c>
      <x:c r="X28" s="34" t="n">
        <x:f>MAX(0,MIN(X$8+1,'Fleet'!$O25)-MAX(X$7,'Fleet'!$G25))</x:f>
        <x:v>365</x:v>
      </x:c>
      <x:c r="Y28" s="34" t="n">
        <x:f>MAX(0,MIN(Y$8+1,'Fleet'!$O25)-MAX(Y$7,'Fleet'!$G25))</x:f>
        <x:v>365</x:v>
      </x:c>
      <x:c r="Z28" s="34" t="n">
        <x:f>MAX(0,MIN(Z$8+1,'Fleet'!$O25)-MAX(Z$7,'Fleet'!$G25))</x:f>
        <x:v>273</x:v>
      </x:c>
      <x:c r="AA28" s="34" t="n">
        <x:f>MAX(0,MIN(AA$8+1,'Fleet'!$O25)-MAX(AA$7,'Fleet'!$G25))</x:f>
        <x:v>0</x:v>
      </x:c>
      <x:c r="AB28" s="34" t="n">
        <x:f>MAX(0,MIN(AB$8+1,'Fleet'!$O25)-MAX(AB$7,'Fleet'!$G25))</x:f>
        <x:v>0</x:v>
      </x:c>
      <x:c r="AC28" s="34" t="n">
        <x:f>MAX(0,MIN(AC$8+1,'Fleet'!$O25)-MAX(AC$7,'Fleet'!$G25))</x:f>
        <x:v>0</x:v>
      </x:c>
      <x:c r="AD28" s="34" t="n">
        <x:f>MAX(0,MIN(AD$8+1,'Fleet'!$O25)-MAX(AD$7,'Fleet'!$G25))</x:f>
        <x:v>0</x:v>
      </x:c>
      <x:c r="AE28" s="34" t="n">
        <x:f>MAX(0,MIN(AE$8+1,'Fleet'!$O25)-MAX(AE$7,'Fleet'!$G25))</x:f>
        <x:v>0</x:v>
      </x:c>
      <x:c r="AF28" s="34" t="n">
        <x:f>MAX(0,MIN(AF$8+1,'Fleet'!$O25)-MAX(AF$7,'Fleet'!$G25))</x:f>
        <x:v>0</x:v>
      </x:c>
      <x:c r="AG28" s="34" t="n">
        <x:f>MAX(0,MIN(AG$8+1,'Fleet'!$O25)-MAX(AG$7,'Fleet'!$G25))</x:f>
        <x:v>0</x:v>
      </x:c>
      <x:c r="AH28" s="34" t="n">
        <x:f>MAX(0,MIN(AH$8+1,'Fleet'!$O25)-MAX(AH$7,'Fleet'!$G25))</x:f>
        <x:v>0</x:v>
      </x:c>
      <x:c r="AI28" s="34" t="n">
        <x:f>MAX(0,MIN(AI$8+1,'Fleet'!$O25)-MAX(AI$7,'Fleet'!$G25))</x:f>
        <x:v>0</x:v>
      </x:c>
      <x:c r="AJ28" s="34" t="n">
        <x:f>MAX(0,MIN(AJ$8+1,'Fleet'!$O25)-MAX(AJ$7,'Fleet'!$G25))</x:f>
        <x:v>0</x:v>
      </x:c>
      <x:c r="AK28" s="34" t="n">
        <x:f>MAX(0,MIN(AK$8+1,'Fleet'!$O25)-MAX(AK$7,'Fleet'!$G25))</x:f>
        <x:v>0</x:v>
      </x:c>
      <x:c r="AL28" s="34" t="n">
        <x:f>MAX(0,MIN(AL$8+1,'Fleet'!$O25)-MAX(AL$7,'Fleet'!$G25))</x:f>
        <x:v>0</x:v>
      </x:c>
      <x:c r="AM28" s="34" t="n">
        <x:f>MAX(0,MIN(AM$8+1,'Fleet'!$O25)-MAX(AM$7,'Fleet'!$G25))</x:f>
        <x:v>0</x:v>
      </x:c>
      <x:c r="AN28" s="34" t="n">
        <x:f>MAX(0,MIN(AN$8+1,'Fleet'!$O25)-MAX(AN$7,'Fleet'!$G25))</x:f>
        <x:v>0</x:v>
      </x:c>
      <x:c r="AO28" s="34" t="n">
        <x:f>MAX(0,MIN(AO$8+1,'Fleet'!$O25)-MAX(AO$7,'Fleet'!$G25))</x:f>
        <x:v>0</x:v>
      </x:c>
      <x:c r="AP28" s="34" t="n">
        <x:f>MAX(0,MIN(AP$8+1,'Fleet'!$O25)-MAX(AP$7,'Fleet'!$G25))</x:f>
        <x:v>0</x:v>
      </x:c>
      <x:c r="AQ28" s="34" t="n">
        <x:f>MAX(0,MIN(AQ$8+1,'Fleet'!$O25)-MAX(AQ$7,'Fleet'!$G25))</x:f>
        <x:v>0</x:v>
      </x:c>
    </x:row>
    <x:row r="29" ht="21" customHeight="1">
      <x:c r="A29" s="2"/>
      <x:c r="B29" s="2"/>
      <x:c r="C29" s="5" t="str">
        <x:f>'Fleet'!C26</x:f>
        <x:v>Star Claudine</x:v>
      </x:c>
      <x:c r="D29" s="5" t="str">
        <x:f>'Fleet'!D26</x:f>
        <x:v>Capesize</x:v>
      </x:c>
      <x:c r="E29" s="34" t="n">
        <x:f>MAX(0,MIN(E$8+1,'Fleet'!$O26)-MAX(E$7,'Fleet'!$G26))</x:f>
        <x:v>83</x:v>
      </x:c>
      <x:c r="F29" s="34" t="n">
        <x:f>MAX(0,MIN(F$8+1,'Fleet'!$O26)-MAX(F$7,'Fleet'!$G26))</x:f>
        <x:v>90</x:v>
      </x:c>
      <x:c r="G29" s="34" t="n">
        <x:f>MAX(0,MIN(G$8+1,'Fleet'!$O26)-MAX(G$7,'Fleet'!$G26))</x:f>
        <x:v>91</x:v>
      </x:c>
      <x:c r="H29" s="34" t="n">
        <x:f>MAX(0,MIN(H$8+1,'Fleet'!$O26)-MAX(H$7,'Fleet'!$G26))</x:f>
        <x:v>92</x:v>
      </x:c>
      <x:c r="I29" s="34" t="n">
        <x:f>MAX(0,MIN(I$8+1,'Fleet'!$O26)-MAX(I$7,'Fleet'!$G26))</x:f>
        <x:v>92</x:v>
      </x:c>
      <x:c r="J29" s="34" t="n">
        <x:f>MAX(0,MIN(J$8+1,'Fleet'!$O26)-MAX(J$7,'Fleet'!$G26))</x:f>
        <x:v>91</x:v>
      </x:c>
      <x:c r="K29" s="34" t="n">
        <x:f>MAX(0,MIN(K$8+1,'Fleet'!$O26)-MAX(K$7,'Fleet'!$G26))</x:f>
        <x:v>91</x:v>
      </x:c>
      <x:c r="L29" s="34" t="n">
        <x:f>MAX(0,MIN(L$8+1,'Fleet'!$O26)-MAX(L$7,'Fleet'!$G26))</x:f>
        <x:v>92</x:v>
      </x:c>
      <x:c r="M29" s="34" t="n">
        <x:f>MAX(0,MIN(M$8+1,'Fleet'!$O26)-MAX(M$7,'Fleet'!$G26))</x:f>
        <x:v>92</x:v>
      </x:c>
      <x:c r="N29" s="34" t="n">
        <x:f>MAX(0,MIN(N$8+1,'Fleet'!$O26)-MAX(N$7,'Fleet'!$G26))</x:f>
        <x:v>90</x:v>
      </x:c>
      <x:c r="O29" s="34" t="n">
        <x:f>MAX(0,MIN(O$8+1,'Fleet'!$O26)-MAX(O$7,'Fleet'!$G26))</x:f>
        <x:v>91</x:v>
      </x:c>
      <x:c r="P29" s="34" t="n">
        <x:f>MAX(0,MIN(P$8+1,'Fleet'!$O26)-MAX(P$7,'Fleet'!$G26))</x:f>
        <x:v>92</x:v>
      </x:c>
      <x:c r="Q29" s="34" t="n">
        <x:f>MAX(0,MIN(Q$8+1,'Fleet'!$O26)-MAX(Q$7,'Fleet'!$G26))</x:f>
        <x:v>365</x:v>
      </x:c>
      <x:c r="R29" s="34" t="n">
        <x:f>MAX(0,MIN(R$8+1,'Fleet'!$O26)-MAX(R$7,'Fleet'!$G26))</x:f>
        <x:v>365</x:v>
      </x:c>
      <x:c r="S29" s="34" t="n">
        <x:f>MAX(0,MIN(S$8+1,'Fleet'!$O26)-MAX(S$7,'Fleet'!$G26))</x:f>
        <x:v>366</x:v>
      </x:c>
      <x:c r="T29" s="34" t="n">
        <x:f>MAX(0,MIN(T$8+1,'Fleet'!$O26)-MAX(T$7,'Fleet'!$G26))</x:f>
        <x:v>365</x:v>
      </x:c>
      <x:c r="U29" s="34" t="n">
        <x:f>MAX(0,MIN(U$8+1,'Fleet'!$O26)-MAX(U$7,'Fleet'!$G26))</x:f>
        <x:v>365</x:v>
      </x:c>
      <x:c r="V29" s="34" t="n">
        <x:f>MAX(0,MIN(V$8+1,'Fleet'!$O26)-MAX(V$7,'Fleet'!$G26))</x:f>
        <x:v>365</x:v>
      </x:c>
      <x:c r="W29" s="34" t="n">
        <x:f>MAX(0,MIN(W$8+1,'Fleet'!$O26)-MAX(W$7,'Fleet'!$G26))</x:f>
        <x:v>274</x:v>
      </x:c>
      <x:c r="X29" s="34" t="n">
        <x:f>MAX(0,MIN(X$8+1,'Fleet'!$O26)-MAX(X$7,'Fleet'!$G26))</x:f>
        <x:v>0</x:v>
      </x:c>
      <x:c r="Y29" s="34" t="n">
        <x:f>MAX(0,MIN(Y$8+1,'Fleet'!$O26)-MAX(Y$7,'Fleet'!$G26))</x:f>
        <x:v>0</x:v>
      </x:c>
      <x:c r="Z29" s="34" t="n">
        <x:f>MAX(0,MIN(Z$8+1,'Fleet'!$O26)-MAX(Z$7,'Fleet'!$G26))</x:f>
        <x:v>0</x:v>
      </x:c>
      <x:c r="AA29" s="34" t="n">
        <x:f>MAX(0,MIN(AA$8+1,'Fleet'!$O26)-MAX(AA$7,'Fleet'!$G26))</x:f>
        <x:v>0</x:v>
      </x:c>
      <x:c r="AB29" s="34" t="n">
        <x:f>MAX(0,MIN(AB$8+1,'Fleet'!$O26)-MAX(AB$7,'Fleet'!$G26))</x:f>
        <x:v>0</x:v>
      </x:c>
      <x:c r="AC29" s="34" t="n">
        <x:f>MAX(0,MIN(AC$8+1,'Fleet'!$O26)-MAX(AC$7,'Fleet'!$G26))</x:f>
        <x:v>0</x:v>
      </x:c>
      <x:c r="AD29" s="34" t="n">
        <x:f>MAX(0,MIN(AD$8+1,'Fleet'!$O26)-MAX(AD$7,'Fleet'!$G26))</x:f>
        <x:v>0</x:v>
      </x:c>
      <x:c r="AE29" s="34" t="n">
        <x:f>MAX(0,MIN(AE$8+1,'Fleet'!$O26)-MAX(AE$7,'Fleet'!$G26))</x:f>
        <x:v>0</x:v>
      </x:c>
      <x:c r="AF29" s="34" t="n">
        <x:f>MAX(0,MIN(AF$8+1,'Fleet'!$O26)-MAX(AF$7,'Fleet'!$G26))</x:f>
        <x:v>0</x:v>
      </x:c>
      <x:c r="AG29" s="34" t="n">
        <x:f>MAX(0,MIN(AG$8+1,'Fleet'!$O26)-MAX(AG$7,'Fleet'!$G26))</x:f>
        <x:v>0</x:v>
      </x:c>
      <x:c r="AH29" s="34" t="n">
        <x:f>MAX(0,MIN(AH$8+1,'Fleet'!$O26)-MAX(AH$7,'Fleet'!$G26))</x:f>
        <x:v>0</x:v>
      </x:c>
      <x:c r="AI29" s="34" t="n">
        <x:f>MAX(0,MIN(AI$8+1,'Fleet'!$O26)-MAX(AI$7,'Fleet'!$G26))</x:f>
        <x:v>0</x:v>
      </x:c>
      <x:c r="AJ29" s="34" t="n">
        <x:f>MAX(0,MIN(AJ$8+1,'Fleet'!$O26)-MAX(AJ$7,'Fleet'!$G26))</x:f>
        <x:v>0</x:v>
      </x:c>
      <x:c r="AK29" s="34" t="n">
        <x:f>MAX(0,MIN(AK$8+1,'Fleet'!$O26)-MAX(AK$7,'Fleet'!$G26))</x:f>
        <x:v>0</x:v>
      </x:c>
      <x:c r="AL29" s="34" t="n">
        <x:f>MAX(0,MIN(AL$8+1,'Fleet'!$O26)-MAX(AL$7,'Fleet'!$G26))</x:f>
        <x:v>0</x:v>
      </x:c>
      <x:c r="AM29" s="34" t="n">
        <x:f>MAX(0,MIN(AM$8+1,'Fleet'!$O26)-MAX(AM$7,'Fleet'!$G26))</x:f>
        <x:v>0</x:v>
      </x:c>
      <x:c r="AN29" s="34" t="n">
        <x:f>MAX(0,MIN(AN$8+1,'Fleet'!$O26)-MAX(AN$7,'Fleet'!$G26))</x:f>
        <x:v>0</x:v>
      </x:c>
      <x:c r="AO29" s="34" t="n">
        <x:f>MAX(0,MIN(AO$8+1,'Fleet'!$O26)-MAX(AO$7,'Fleet'!$G26))</x:f>
        <x:v>0</x:v>
      </x:c>
      <x:c r="AP29" s="34" t="n">
        <x:f>MAX(0,MIN(AP$8+1,'Fleet'!$O26)-MAX(AP$7,'Fleet'!$G26))</x:f>
        <x:v>0</x:v>
      </x:c>
      <x:c r="AQ29" s="34" t="n">
        <x:f>MAX(0,MIN(AQ$8+1,'Fleet'!$O26)-MAX(AQ$7,'Fleet'!$G26))</x:f>
        <x:v>0</x:v>
      </x:c>
    </x:row>
    <x:row r="30" ht="21" customHeight="1">
      <x:c r="A30" s="2"/>
      <x:c r="B30" s="2"/>
      <x:c r="C30" s="5" t="str">
        <x:f>'Fleet'!C27</x:f>
        <x:v>Star Ophelia</x:v>
      </x:c>
      <x:c r="D30" s="5" t="str">
        <x:f>'Fleet'!D27</x:f>
        <x:v>Capesize</x:v>
      </x:c>
      <x:c r="E30" s="34" t="n">
        <x:f>MAX(0,MIN(E$8+1,'Fleet'!$O27)-MAX(E$7,'Fleet'!$G27))</x:f>
        <x:v>83</x:v>
      </x:c>
      <x:c r="F30" s="34" t="n">
        <x:f>MAX(0,MIN(F$8+1,'Fleet'!$O27)-MAX(F$7,'Fleet'!$G27))</x:f>
        <x:v>90</x:v>
      </x:c>
      <x:c r="G30" s="34" t="n">
        <x:f>MAX(0,MIN(G$8+1,'Fleet'!$O27)-MAX(G$7,'Fleet'!$G27))</x:f>
        <x:v>91</x:v>
      </x:c>
      <x:c r="H30" s="34" t="n">
        <x:f>MAX(0,MIN(H$8+1,'Fleet'!$O27)-MAX(H$7,'Fleet'!$G27))</x:f>
        <x:v>92</x:v>
      </x:c>
      <x:c r="I30" s="34" t="n">
        <x:f>MAX(0,MIN(I$8+1,'Fleet'!$O27)-MAX(I$7,'Fleet'!$G27))</x:f>
        <x:v>92</x:v>
      </x:c>
      <x:c r="J30" s="34" t="n">
        <x:f>MAX(0,MIN(J$8+1,'Fleet'!$O27)-MAX(J$7,'Fleet'!$G27))</x:f>
        <x:v>91</x:v>
      </x:c>
      <x:c r="K30" s="34" t="n">
        <x:f>MAX(0,MIN(K$8+1,'Fleet'!$O27)-MAX(K$7,'Fleet'!$G27))</x:f>
        <x:v>91</x:v>
      </x:c>
      <x:c r="L30" s="34" t="n">
        <x:f>MAX(0,MIN(L$8+1,'Fleet'!$O27)-MAX(L$7,'Fleet'!$G27))</x:f>
        <x:v>92</x:v>
      </x:c>
      <x:c r="M30" s="34" t="n">
        <x:f>MAX(0,MIN(M$8+1,'Fleet'!$O27)-MAX(M$7,'Fleet'!$G27))</x:f>
        <x:v>92</x:v>
      </x:c>
      <x:c r="N30" s="34" t="n">
        <x:f>MAX(0,MIN(N$8+1,'Fleet'!$O27)-MAX(N$7,'Fleet'!$G27))</x:f>
        <x:v>90</x:v>
      </x:c>
      <x:c r="O30" s="34" t="n">
        <x:f>MAX(0,MIN(O$8+1,'Fleet'!$O27)-MAX(O$7,'Fleet'!$G27))</x:f>
        <x:v>91</x:v>
      </x:c>
      <x:c r="P30" s="34" t="n">
        <x:f>MAX(0,MIN(P$8+1,'Fleet'!$O27)-MAX(P$7,'Fleet'!$G27))</x:f>
        <x:v>92</x:v>
      </x:c>
      <x:c r="Q30" s="34" t="n">
        <x:f>MAX(0,MIN(Q$8+1,'Fleet'!$O27)-MAX(Q$7,'Fleet'!$G27))</x:f>
        <x:v>365</x:v>
      </x:c>
      <x:c r="R30" s="34" t="n">
        <x:f>MAX(0,MIN(R$8+1,'Fleet'!$O27)-MAX(R$7,'Fleet'!$G27))</x:f>
        <x:v>365</x:v>
      </x:c>
      <x:c r="S30" s="34" t="n">
        <x:f>MAX(0,MIN(S$8+1,'Fleet'!$O27)-MAX(S$7,'Fleet'!$G27))</x:f>
        <x:v>366</x:v>
      </x:c>
      <x:c r="T30" s="34" t="n">
        <x:f>MAX(0,MIN(T$8+1,'Fleet'!$O27)-MAX(T$7,'Fleet'!$G27))</x:f>
        <x:v>365</x:v>
      </x:c>
      <x:c r="U30" s="34" t="n">
        <x:f>MAX(0,MIN(U$8+1,'Fleet'!$O27)-MAX(U$7,'Fleet'!$G27))</x:f>
        <x:v>365</x:v>
      </x:c>
      <x:c r="V30" s="34" t="n">
        <x:f>MAX(0,MIN(V$8+1,'Fleet'!$O27)-MAX(V$7,'Fleet'!$G27))</x:f>
        <x:v>273</x:v>
      </x:c>
      <x:c r="W30" s="34" t="n">
        <x:f>MAX(0,MIN(W$8+1,'Fleet'!$O27)-MAX(W$7,'Fleet'!$G27))</x:f>
        <x:v>0</x:v>
      </x:c>
      <x:c r="X30" s="34" t="n">
        <x:f>MAX(0,MIN(X$8+1,'Fleet'!$O27)-MAX(X$7,'Fleet'!$G27))</x:f>
        <x:v>0</x:v>
      </x:c>
      <x:c r="Y30" s="34" t="n">
        <x:f>MAX(0,MIN(Y$8+1,'Fleet'!$O27)-MAX(Y$7,'Fleet'!$G27))</x:f>
        <x:v>0</x:v>
      </x:c>
      <x:c r="Z30" s="34" t="n">
        <x:f>MAX(0,MIN(Z$8+1,'Fleet'!$O27)-MAX(Z$7,'Fleet'!$G27))</x:f>
        <x:v>0</x:v>
      </x:c>
      <x:c r="AA30" s="34" t="n">
        <x:f>MAX(0,MIN(AA$8+1,'Fleet'!$O27)-MAX(AA$7,'Fleet'!$G27))</x:f>
        <x:v>0</x:v>
      </x:c>
      <x:c r="AB30" s="34" t="n">
        <x:f>MAX(0,MIN(AB$8+1,'Fleet'!$O27)-MAX(AB$7,'Fleet'!$G27))</x:f>
        <x:v>0</x:v>
      </x:c>
      <x:c r="AC30" s="34" t="n">
        <x:f>MAX(0,MIN(AC$8+1,'Fleet'!$O27)-MAX(AC$7,'Fleet'!$G27))</x:f>
        <x:v>0</x:v>
      </x:c>
      <x:c r="AD30" s="34" t="n">
        <x:f>MAX(0,MIN(AD$8+1,'Fleet'!$O27)-MAX(AD$7,'Fleet'!$G27))</x:f>
        <x:v>0</x:v>
      </x:c>
      <x:c r="AE30" s="34" t="n">
        <x:f>MAX(0,MIN(AE$8+1,'Fleet'!$O27)-MAX(AE$7,'Fleet'!$G27))</x:f>
        <x:v>0</x:v>
      </x:c>
      <x:c r="AF30" s="34" t="n">
        <x:f>MAX(0,MIN(AF$8+1,'Fleet'!$O27)-MAX(AF$7,'Fleet'!$G27))</x:f>
        <x:v>0</x:v>
      </x:c>
      <x:c r="AG30" s="34" t="n">
        <x:f>MAX(0,MIN(AG$8+1,'Fleet'!$O27)-MAX(AG$7,'Fleet'!$G27))</x:f>
        <x:v>0</x:v>
      </x:c>
      <x:c r="AH30" s="34" t="n">
        <x:f>MAX(0,MIN(AH$8+1,'Fleet'!$O27)-MAX(AH$7,'Fleet'!$G27))</x:f>
        <x:v>0</x:v>
      </x:c>
      <x:c r="AI30" s="34" t="n">
        <x:f>MAX(0,MIN(AI$8+1,'Fleet'!$O27)-MAX(AI$7,'Fleet'!$G27))</x:f>
        <x:v>0</x:v>
      </x:c>
      <x:c r="AJ30" s="34" t="n">
        <x:f>MAX(0,MIN(AJ$8+1,'Fleet'!$O27)-MAX(AJ$7,'Fleet'!$G27))</x:f>
        <x:v>0</x:v>
      </x:c>
      <x:c r="AK30" s="34" t="n">
        <x:f>MAX(0,MIN(AK$8+1,'Fleet'!$O27)-MAX(AK$7,'Fleet'!$G27))</x:f>
        <x:v>0</x:v>
      </x:c>
      <x:c r="AL30" s="34" t="n">
        <x:f>MAX(0,MIN(AL$8+1,'Fleet'!$O27)-MAX(AL$7,'Fleet'!$G27))</x:f>
        <x:v>0</x:v>
      </x:c>
      <x:c r="AM30" s="34" t="n">
        <x:f>MAX(0,MIN(AM$8+1,'Fleet'!$O27)-MAX(AM$7,'Fleet'!$G27))</x:f>
        <x:v>0</x:v>
      </x:c>
      <x:c r="AN30" s="34" t="n">
        <x:f>MAX(0,MIN(AN$8+1,'Fleet'!$O27)-MAX(AN$7,'Fleet'!$G27))</x:f>
        <x:v>0</x:v>
      </x:c>
      <x:c r="AO30" s="34" t="n">
        <x:f>MAX(0,MIN(AO$8+1,'Fleet'!$O27)-MAX(AO$7,'Fleet'!$G27))</x:f>
        <x:v>0</x:v>
      </x:c>
      <x:c r="AP30" s="34" t="n">
        <x:f>MAX(0,MIN(AP$8+1,'Fleet'!$O27)-MAX(AP$7,'Fleet'!$G27))</x:f>
        <x:v>0</x:v>
      </x:c>
      <x:c r="AQ30" s="34" t="n">
        <x:f>MAX(0,MIN(AQ$8+1,'Fleet'!$O27)-MAX(AQ$7,'Fleet'!$G27))</x:f>
        <x:v>0</x:v>
      </x:c>
    </x:row>
    <x:row r="31" ht="21" customHeight="1">
      <x:c r="A31" s="2"/>
      <x:c r="B31" s="2"/>
      <x:c r="C31" s="5" t="str">
        <x:f>'Fleet'!C28</x:f>
        <x:v>Star Pauline</x:v>
      </x:c>
      <x:c r="D31" s="5" t="str">
        <x:f>'Fleet'!D28</x:f>
        <x:v>Capesize</x:v>
      </x:c>
      <x:c r="E31" s="34" t="n">
        <x:f>MAX(0,MIN(E$8+1,'Fleet'!$O28)-MAX(E$7,'Fleet'!$G28))</x:f>
        <x:v>83</x:v>
      </x:c>
      <x:c r="F31" s="34" t="n">
        <x:f>MAX(0,MIN(F$8+1,'Fleet'!$O28)-MAX(F$7,'Fleet'!$G28))</x:f>
        <x:v>90</x:v>
      </x:c>
      <x:c r="G31" s="34" t="n">
        <x:f>MAX(0,MIN(G$8+1,'Fleet'!$O28)-MAX(G$7,'Fleet'!$G28))</x:f>
        <x:v>91</x:v>
      </x:c>
      <x:c r="H31" s="34" t="n">
        <x:f>MAX(0,MIN(H$8+1,'Fleet'!$O28)-MAX(H$7,'Fleet'!$G28))</x:f>
        <x:v>92</x:v>
      </x:c>
      <x:c r="I31" s="34" t="n">
        <x:f>MAX(0,MIN(I$8+1,'Fleet'!$O28)-MAX(I$7,'Fleet'!$G28))</x:f>
        <x:v>92</x:v>
      </x:c>
      <x:c r="J31" s="34" t="n">
        <x:f>MAX(0,MIN(J$8+1,'Fleet'!$O28)-MAX(J$7,'Fleet'!$G28))</x:f>
        <x:v>91</x:v>
      </x:c>
      <x:c r="K31" s="34" t="n">
        <x:f>MAX(0,MIN(K$8+1,'Fleet'!$O28)-MAX(K$7,'Fleet'!$G28))</x:f>
        <x:v>91</x:v>
      </x:c>
      <x:c r="L31" s="34" t="n">
        <x:f>MAX(0,MIN(L$8+1,'Fleet'!$O28)-MAX(L$7,'Fleet'!$G28))</x:f>
        <x:v>92</x:v>
      </x:c>
      <x:c r="M31" s="34" t="n">
        <x:f>MAX(0,MIN(M$8+1,'Fleet'!$O28)-MAX(M$7,'Fleet'!$G28))</x:f>
        <x:v>92</x:v>
      </x:c>
      <x:c r="N31" s="34" t="n">
        <x:f>MAX(0,MIN(N$8+1,'Fleet'!$O28)-MAX(N$7,'Fleet'!$G28))</x:f>
        <x:v>90</x:v>
      </x:c>
      <x:c r="O31" s="34" t="n">
        <x:f>MAX(0,MIN(O$8+1,'Fleet'!$O28)-MAX(O$7,'Fleet'!$G28))</x:f>
        <x:v>91</x:v>
      </x:c>
      <x:c r="P31" s="34" t="n">
        <x:f>MAX(0,MIN(P$8+1,'Fleet'!$O28)-MAX(P$7,'Fleet'!$G28))</x:f>
        <x:v>92</x:v>
      </x:c>
      <x:c r="Q31" s="34" t="n">
        <x:f>MAX(0,MIN(Q$8+1,'Fleet'!$O28)-MAX(Q$7,'Fleet'!$G28))</x:f>
        <x:v>365</x:v>
      </x:c>
      <x:c r="R31" s="34" t="n">
        <x:f>MAX(0,MIN(R$8+1,'Fleet'!$O28)-MAX(R$7,'Fleet'!$G28))</x:f>
        <x:v>365</x:v>
      </x:c>
      <x:c r="S31" s="34" t="n">
        <x:f>MAX(0,MIN(S$8+1,'Fleet'!$O28)-MAX(S$7,'Fleet'!$G28))</x:f>
        <x:v>366</x:v>
      </x:c>
      <x:c r="T31" s="34" t="n">
        <x:f>MAX(0,MIN(T$8+1,'Fleet'!$O28)-MAX(T$7,'Fleet'!$G28))</x:f>
        <x:v>273</x:v>
      </x:c>
      <x:c r="U31" s="34" t="n">
        <x:f>MAX(0,MIN(U$8+1,'Fleet'!$O28)-MAX(U$7,'Fleet'!$G28))</x:f>
        <x:v>0</x:v>
      </x:c>
      <x:c r="V31" s="34" t="n">
        <x:f>MAX(0,MIN(V$8+1,'Fleet'!$O28)-MAX(V$7,'Fleet'!$G28))</x:f>
        <x:v>0</x:v>
      </x:c>
      <x:c r="W31" s="34" t="n">
        <x:f>MAX(0,MIN(W$8+1,'Fleet'!$O28)-MAX(W$7,'Fleet'!$G28))</x:f>
        <x:v>0</x:v>
      </x:c>
      <x:c r="X31" s="34" t="n">
        <x:f>MAX(0,MIN(X$8+1,'Fleet'!$O28)-MAX(X$7,'Fleet'!$G28))</x:f>
        <x:v>0</x:v>
      </x:c>
      <x:c r="Y31" s="34" t="n">
        <x:f>MAX(0,MIN(Y$8+1,'Fleet'!$O28)-MAX(Y$7,'Fleet'!$G28))</x:f>
        <x:v>0</x:v>
      </x:c>
      <x:c r="Z31" s="34" t="n">
        <x:f>MAX(0,MIN(Z$8+1,'Fleet'!$O28)-MAX(Z$7,'Fleet'!$G28))</x:f>
        <x:v>0</x:v>
      </x:c>
      <x:c r="AA31" s="34" t="n">
        <x:f>MAX(0,MIN(AA$8+1,'Fleet'!$O28)-MAX(AA$7,'Fleet'!$G28))</x:f>
        <x:v>0</x:v>
      </x:c>
      <x:c r="AB31" s="34" t="n">
        <x:f>MAX(0,MIN(AB$8+1,'Fleet'!$O28)-MAX(AB$7,'Fleet'!$G28))</x:f>
        <x:v>0</x:v>
      </x:c>
      <x:c r="AC31" s="34" t="n">
        <x:f>MAX(0,MIN(AC$8+1,'Fleet'!$O28)-MAX(AC$7,'Fleet'!$G28))</x:f>
        <x:v>0</x:v>
      </x:c>
      <x:c r="AD31" s="34" t="n">
        <x:f>MAX(0,MIN(AD$8+1,'Fleet'!$O28)-MAX(AD$7,'Fleet'!$G28))</x:f>
        <x:v>0</x:v>
      </x:c>
      <x:c r="AE31" s="34" t="n">
        <x:f>MAX(0,MIN(AE$8+1,'Fleet'!$O28)-MAX(AE$7,'Fleet'!$G28))</x:f>
        <x:v>0</x:v>
      </x:c>
      <x:c r="AF31" s="34" t="n">
        <x:f>MAX(0,MIN(AF$8+1,'Fleet'!$O28)-MAX(AF$7,'Fleet'!$G28))</x:f>
        <x:v>0</x:v>
      </x:c>
      <x:c r="AG31" s="34" t="n">
        <x:f>MAX(0,MIN(AG$8+1,'Fleet'!$O28)-MAX(AG$7,'Fleet'!$G28))</x:f>
        <x:v>0</x:v>
      </x:c>
      <x:c r="AH31" s="34" t="n">
        <x:f>MAX(0,MIN(AH$8+1,'Fleet'!$O28)-MAX(AH$7,'Fleet'!$G28))</x:f>
        <x:v>0</x:v>
      </x:c>
      <x:c r="AI31" s="34" t="n">
        <x:f>MAX(0,MIN(AI$8+1,'Fleet'!$O28)-MAX(AI$7,'Fleet'!$G28))</x:f>
        <x:v>0</x:v>
      </x:c>
      <x:c r="AJ31" s="34" t="n">
        <x:f>MAX(0,MIN(AJ$8+1,'Fleet'!$O28)-MAX(AJ$7,'Fleet'!$G28))</x:f>
        <x:v>0</x:v>
      </x:c>
      <x:c r="AK31" s="34" t="n">
        <x:f>MAX(0,MIN(AK$8+1,'Fleet'!$O28)-MAX(AK$7,'Fleet'!$G28))</x:f>
        <x:v>0</x:v>
      </x:c>
      <x:c r="AL31" s="34" t="n">
        <x:f>MAX(0,MIN(AL$8+1,'Fleet'!$O28)-MAX(AL$7,'Fleet'!$G28))</x:f>
        <x:v>0</x:v>
      </x:c>
      <x:c r="AM31" s="34" t="n">
        <x:f>MAX(0,MIN(AM$8+1,'Fleet'!$O28)-MAX(AM$7,'Fleet'!$G28))</x:f>
        <x:v>0</x:v>
      </x:c>
      <x:c r="AN31" s="34" t="n">
        <x:f>MAX(0,MIN(AN$8+1,'Fleet'!$O28)-MAX(AN$7,'Fleet'!$G28))</x:f>
        <x:v>0</x:v>
      </x:c>
      <x:c r="AO31" s="34" t="n">
        <x:f>MAX(0,MIN(AO$8+1,'Fleet'!$O28)-MAX(AO$7,'Fleet'!$G28))</x:f>
        <x:v>0</x:v>
      </x:c>
      <x:c r="AP31" s="34" t="n">
        <x:f>MAX(0,MIN(AP$8+1,'Fleet'!$O28)-MAX(AP$7,'Fleet'!$G28))</x:f>
        <x:v>0</x:v>
      </x:c>
      <x:c r="AQ31" s="34" t="n">
        <x:f>MAX(0,MIN(AQ$8+1,'Fleet'!$O28)-MAX(AQ$7,'Fleet'!$G28))</x:f>
        <x:v>0</x:v>
      </x:c>
    </x:row>
    <x:row r="32" ht="21" customHeight="1">
      <x:c r="A32" s="2"/>
      <x:c r="B32" s="2"/>
      <x:c r="C32" s="5" t="str">
        <x:f>'Fleet'!C29</x:f>
        <x:v>Star Martha</x:v>
      </x:c>
      <x:c r="D32" s="5" t="str">
        <x:f>'Fleet'!D29</x:f>
        <x:v>Capesize</x:v>
      </x:c>
      <x:c r="E32" s="34" t="n">
        <x:f>MAX(0,MIN(E$8+1,'Fleet'!$O29)-MAX(E$7,'Fleet'!$G29))</x:f>
        <x:v>83</x:v>
      </x:c>
      <x:c r="F32" s="34" t="n">
        <x:f>MAX(0,MIN(F$8+1,'Fleet'!$O29)-MAX(F$7,'Fleet'!$G29))</x:f>
        <x:v>90</x:v>
      </x:c>
      <x:c r="G32" s="34" t="n">
        <x:f>MAX(0,MIN(G$8+1,'Fleet'!$O29)-MAX(G$7,'Fleet'!$G29))</x:f>
        <x:v>91</x:v>
      </x:c>
      <x:c r="H32" s="34" t="n">
        <x:f>MAX(0,MIN(H$8+1,'Fleet'!$O29)-MAX(H$7,'Fleet'!$G29))</x:f>
        <x:v>92</x:v>
      </x:c>
      <x:c r="I32" s="34" t="n">
        <x:f>MAX(0,MIN(I$8+1,'Fleet'!$O29)-MAX(I$7,'Fleet'!$G29))</x:f>
        <x:v>92</x:v>
      </x:c>
      <x:c r="J32" s="34" t="n">
        <x:f>MAX(0,MIN(J$8+1,'Fleet'!$O29)-MAX(J$7,'Fleet'!$G29))</x:f>
        <x:v>91</x:v>
      </x:c>
      <x:c r="K32" s="34" t="n">
        <x:f>MAX(0,MIN(K$8+1,'Fleet'!$O29)-MAX(K$7,'Fleet'!$G29))</x:f>
        <x:v>91</x:v>
      </x:c>
      <x:c r="L32" s="34" t="n">
        <x:f>MAX(0,MIN(L$8+1,'Fleet'!$O29)-MAX(L$7,'Fleet'!$G29))</x:f>
        <x:v>92</x:v>
      </x:c>
      <x:c r="M32" s="34" t="n">
        <x:f>MAX(0,MIN(M$8+1,'Fleet'!$O29)-MAX(M$7,'Fleet'!$G29))</x:f>
        <x:v>92</x:v>
      </x:c>
      <x:c r="N32" s="34" t="n">
        <x:f>MAX(0,MIN(N$8+1,'Fleet'!$O29)-MAX(N$7,'Fleet'!$G29))</x:f>
        <x:v>90</x:v>
      </x:c>
      <x:c r="O32" s="34" t="n">
        <x:f>MAX(0,MIN(O$8+1,'Fleet'!$O29)-MAX(O$7,'Fleet'!$G29))</x:f>
        <x:v>91</x:v>
      </x:c>
      <x:c r="P32" s="34" t="n">
        <x:f>MAX(0,MIN(P$8+1,'Fleet'!$O29)-MAX(P$7,'Fleet'!$G29))</x:f>
        <x:v>92</x:v>
      </x:c>
      <x:c r="Q32" s="34" t="n">
        <x:f>MAX(0,MIN(Q$8+1,'Fleet'!$O29)-MAX(Q$7,'Fleet'!$G29))</x:f>
        <x:v>365</x:v>
      </x:c>
      <x:c r="R32" s="34" t="n">
        <x:f>MAX(0,MIN(R$8+1,'Fleet'!$O29)-MAX(R$7,'Fleet'!$G29))</x:f>
        <x:v>365</x:v>
      </x:c>
      <x:c r="S32" s="34" t="n">
        <x:f>MAX(0,MIN(S$8+1,'Fleet'!$O29)-MAX(S$7,'Fleet'!$G29))</x:f>
        <x:v>366</x:v>
      </x:c>
      <x:c r="T32" s="34" t="n">
        <x:f>MAX(0,MIN(T$8+1,'Fleet'!$O29)-MAX(T$7,'Fleet'!$G29))</x:f>
        <x:v>365</x:v>
      </x:c>
      <x:c r="U32" s="34" t="n">
        <x:f>MAX(0,MIN(U$8+1,'Fleet'!$O29)-MAX(U$7,'Fleet'!$G29))</x:f>
        <x:v>365</x:v>
      </x:c>
      <x:c r="V32" s="34" t="n">
        <x:f>MAX(0,MIN(V$8+1,'Fleet'!$O29)-MAX(V$7,'Fleet'!$G29))</x:f>
        <x:v>273</x:v>
      </x:c>
      <x:c r="W32" s="34" t="n">
        <x:f>MAX(0,MIN(W$8+1,'Fleet'!$O29)-MAX(W$7,'Fleet'!$G29))</x:f>
        <x:v>0</x:v>
      </x:c>
      <x:c r="X32" s="34" t="n">
        <x:f>MAX(0,MIN(X$8+1,'Fleet'!$O29)-MAX(X$7,'Fleet'!$G29))</x:f>
        <x:v>0</x:v>
      </x:c>
      <x:c r="Y32" s="34" t="n">
        <x:f>MAX(0,MIN(Y$8+1,'Fleet'!$O29)-MAX(Y$7,'Fleet'!$G29))</x:f>
        <x:v>0</x:v>
      </x:c>
      <x:c r="Z32" s="34" t="n">
        <x:f>MAX(0,MIN(Z$8+1,'Fleet'!$O29)-MAX(Z$7,'Fleet'!$G29))</x:f>
        <x:v>0</x:v>
      </x:c>
      <x:c r="AA32" s="34" t="n">
        <x:f>MAX(0,MIN(AA$8+1,'Fleet'!$O29)-MAX(AA$7,'Fleet'!$G29))</x:f>
        <x:v>0</x:v>
      </x:c>
      <x:c r="AB32" s="34" t="n">
        <x:f>MAX(0,MIN(AB$8+1,'Fleet'!$O29)-MAX(AB$7,'Fleet'!$G29))</x:f>
        <x:v>0</x:v>
      </x:c>
      <x:c r="AC32" s="34" t="n">
        <x:f>MAX(0,MIN(AC$8+1,'Fleet'!$O29)-MAX(AC$7,'Fleet'!$G29))</x:f>
        <x:v>0</x:v>
      </x:c>
      <x:c r="AD32" s="34" t="n">
        <x:f>MAX(0,MIN(AD$8+1,'Fleet'!$O29)-MAX(AD$7,'Fleet'!$G29))</x:f>
        <x:v>0</x:v>
      </x:c>
      <x:c r="AE32" s="34" t="n">
        <x:f>MAX(0,MIN(AE$8+1,'Fleet'!$O29)-MAX(AE$7,'Fleet'!$G29))</x:f>
        <x:v>0</x:v>
      </x:c>
      <x:c r="AF32" s="34" t="n">
        <x:f>MAX(0,MIN(AF$8+1,'Fleet'!$O29)-MAX(AF$7,'Fleet'!$G29))</x:f>
        <x:v>0</x:v>
      </x:c>
      <x:c r="AG32" s="34" t="n">
        <x:f>MAX(0,MIN(AG$8+1,'Fleet'!$O29)-MAX(AG$7,'Fleet'!$G29))</x:f>
        <x:v>0</x:v>
      </x:c>
      <x:c r="AH32" s="34" t="n">
        <x:f>MAX(0,MIN(AH$8+1,'Fleet'!$O29)-MAX(AH$7,'Fleet'!$G29))</x:f>
        <x:v>0</x:v>
      </x:c>
      <x:c r="AI32" s="34" t="n">
        <x:f>MAX(0,MIN(AI$8+1,'Fleet'!$O29)-MAX(AI$7,'Fleet'!$G29))</x:f>
        <x:v>0</x:v>
      </x:c>
      <x:c r="AJ32" s="34" t="n">
        <x:f>MAX(0,MIN(AJ$8+1,'Fleet'!$O29)-MAX(AJ$7,'Fleet'!$G29))</x:f>
        <x:v>0</x:v>
      </x:c>
      <x:c r="AK32" s="34" t="n">
        <x:f>MAX(0,MIN(AK$8+1,'Fleet'!$O29)-MAX(AK$7,'Fleet'!$G29))</x:f>
        <x:v>0</x:v>
      </x:c>
      <x:c r="AL32" s="34" t="n">
        <x:f>MAX(0,MIN(AL$8+1,'Fleet'!$O29)-MAX(AL$7,'Fleet'!$G29))</x:f>
        <x:v>0</x:v>
      </x:c>
      <x:c r="AM32" s="34" t="n">
        <x:f>MAX(0,MIN(AM$8+1,'Fleet'!$O29)-MAX(AM$7,'Fleet'!$G29))</x:f>
        <x:v>0</x:v>
      </x:c>
      <x:c r="AN32" s="34" t="n">
        <x:f>MAX(0,MIN(AN$8+1,'Fleet'!$O29)-MAX(AN$7,'Fleet'!$G29))</x:f>
        <x:v>0</x:v>
      </x:c>
      <x:c r="AO32" s="34" t="n">
        <x:f>MAX(0,MIN(AO$8+1,'Fleet'!$O29)-MAX(AO$7,'Fleet'!$G29))</x:f>
        <x:v>0</x:v>
      </x:c>
      <x:c r="AP32" s="34" t="n">
        <x:f>MAX(0,MIN(AP$8+1,'Fleet'!$O29)-MAX(AP$7,'Fleet'!$G29))</x:f>
        <x:v>0</x:v>
      </x:c>
      <x:c r="AQ32" s="34" t="n">
        <x:f>MAX(0,MIN(AQ$8+1,'Fleet'!$O29)-MAX(AQ$7,'Fleet'!$G29))</x:f>
        <x:v>0</x:v>
      </x:c>
    </x:row>
    <x:row r="33" ht="21" customHeight="1">
      <x:c r="A33" s="2"/>
      <x:c r="B33" s="2"/>
      <x:c r="C33" s="5" t="str">
        <x:f>'Fleet'!C30</x:f>
        <x:v>Star Lyra</x:v>
      </x:c>
      <x:c r="D33" s="5" t="str">
        <x:f>'Fleet'!D30</x:f>
        <x:v>Capesize</x:v>
      </x:c>
      <x:c r="E33" s="34" t="n">
        <x:f>MAX(0,MIN(E$8+1,'Fleet'!$O30)-MAX(E$7,'Fleet'!$G30))</x:f>
        <x:v>83</x:v>
      </x:c>
      <x:c r="F33" s="34" t="n">
        <x:f>MAX(0,MIN(F$8+1,'Fleet'!$O30)-MAX(F$7,'Fleet'!$G30))</x:f>
        <x:v>90</x:v>
      </x:c>
      <x:c r="G33" s="34" t="n">
        <x:f>MAX(0,MIN(G$8+1,'Fleet'!$O30)-MAX(G$7,'Fleet'!$G30))</x:f>
        <x:v>91</x:v>
      </x:c>
      <x:c r="H33" s="34" t="n">
        <x:f>MAX(0,MIN(H$8+1,'Fleet'!$O30)-MAX(H$7,'Fleet'!$G30))</x:f>
        <x:v>92</x:v>
      </x:c>
      <x:c r="I33" s="34" t="n">
        <x:f>MAX(0,MIN(I$8+1,'Fleet'!$O30)-MAX(I$7,'Fleet'!$G30))</x:f>
        <x:v>92</x:v>
      </x:c>
      <x:c r="J33" s="34" t="n">
        <x:f>MAX(0,MIN(J$8+1,'Fleet'!$O30)-MAX(J$7,'Fleet'!$G30))</x:f>
        <x:v>91</x:v>
      </x:c>
      <x:c r="K33" s="34" t="n">
        <x:f>MAX(0,MIN(K$8+1,'Fleet'!$O30)-MAX(K$7,'Fleet'!$G30))</x:f>
        <x:v>91</x:v>
      </x:c>
      <x:c r="L33" s="34" t="n">
        <x:f>MAX(0,MIN(L$8+1,'Fleet'!$O30)-MAX(L$7,'Fleet'!$G30))</x:f>
        <x:v>92</x:v>
      </x:c>
      <x:c r="M33" s="34" t="n">
        <x:f>MAX(0,MIN(M$8+1,'Fleet'!$O30)-MAX(M$7,'Fleet'!$G30))</x:f>
        <x:v>92</x:v>
      </x:c>
      <x:c r="N33" s="34" t="n">
        <x:f>MAX(0,MIN(N$8+1,'Fleet'!$O30)-MAX(N$7,'Fleet'!$G30))</x:f>
        <x:v>90</x:v>
      </x:c>
      <x:c r="O33" s="34" t="n">
        <x:f>MAX(0,MIN(O$8+1,'Fleet'!$O30)-MAX(O$7,'Fleet'!$G30))</x:f>
        <x:v>91</x:v>
      </x:c>
      <x:c r="P33" s="34" t="n">
        <x:f>MAX(0,MIN(P$8+1,'Fleet'!$O30)-MAX(P$7,'Fleet'!$G30))</x:f>
        <x:v>92</x:v>
      </x:c>
      <x:c r="Q33" s="34" t="n">
        <x:f>MAX(0,MIN(Q$8+1,'Fleet'!$O30)-MAX(Q$7,'Fleet'!$G30))</x:f>
        <x:v>365</x:v>
      </x:c>
      <x:c r="R33" s="34" t="n">
        <x:f>MAX(0,MIN(R$8+1,'Fleet'!$O30)-MAX(R$7,'Fleet'!$G30))</x:f>
        <x:v>365</x:v>
      </x:c>
      <x:c r="S33" s="34" t="n">
        <x:f>MAX(0,MIN(S$8+1,'Fleet'!$O30)-MAX(S$7,'Fleet'!$G30))</x:f>
        <x:v>366</x:v>
      </x:c>
      <x:c r="T33" s="34" t="n">
        <x:f>MAX(0,MIN(T$8+1,'Fleet'!$O30)-MAX(T$7,'Fleet'!$G30))</x:f>
        <x:v>365</x:v>
      </x:c>
      <x:c r="U33" s="34" t="n">
        <x:f>MAX(0,MIN(U$8+1,'Fleet'!$O30)-MAX(U$7,'Fleet'!$G30))</x:f>
        <x:v>273</x:v>
      </x:c>
      <x:c r="V33" s="34" t="n">
        <x:f>MAX(0,MIN(V$8+1,'Fleet'!$O30)-MAX(V$7,'Fleet'!$G30))</x:f>
        <x:v>0</x:v>
      </x:c>
      <x:c r="W33" s="34" t="n">
        <x:f>MAX(0,MIN(W$8+1,'Fleet'!$O30)-MAX(W$7,'Fleet'!$G30))</x:f>
        <x:v>0</x:v>
      </x:c>
      <x:c r="X33" s="34" t="n">
        <x:f>MAX(0,MIN(X$8+1,'Fleet'!$O30)-MAX(X$7,'Fleet'!$G30))</x:f>
        <x:v>0</x:v>
      </x:c>
      <x:c r="Y33" s="34" t="n">
        <x:f>MAX(0,MIN(Y$8+1,'Fleet'!$O30)-MAX(Y$7,'Fleet'!$G30))</x:f>
        <x:v>0</x:v>
      </x:c>
      <x:c r="Z33" s="34" t="n">
        <x:f>MAX(0,MIN(Z$8+1,'Fleet'!$O30)-MAX(Z$7,'Fleet'!$G30))</x:f>
        <x:v>0</x:v>
      </x:c>
      <x:c r="AA33" s="34" t="n">
        <x:f>MAX(0,MIN(AA$8+1,'Fleet'!$O30)-MAX(AA$7,'Fleet'!$G30))</x:f>
        <x:v>0</x:v>
      </x:c>
      <x:c r="AB33" s="34" t="n">
        <x:f>MAX(0,MIN(AB$8+1,'Fleet'!$O30)-MAX(AB$7,'Fleet'!$G30))</x:f>
        <x:v>0</x:v>
      </x:c>
      <x:c r="AC33" s="34" t="n">
        <x:f>MAX(0,MIN(AC$8+1,'Fleet'!$O30)-MAX(AC$7,'Fleet'!$G30))</x:f>
        <x:v>0</x:v>
      </x:c>
      <x:c r="AD33" s="34" t="n">
        <x:f>MAX(0,MIN(AD$8+1,'Fleet'!$O30)-MAX(AD$7,'Fleet'!$G30))</x:f>
        <x:v>0</x:v>
      </x:c>
      <x:c r="AE33" s="34" t="n">
        <x:f>MAX(0,MIN(AE$8+1,'Fleet'!$O30)-MAX(AE$7,'Fleet'!$G30))</x:f>
        <x:v>0</x:v>
      </x:c>
      <x:c r="AF33" s="34" t="n">
        <x:f>MAX(0,MIN(AF$8+1,'Fleet'!$O30)-MAX(AF$7,'Fleet'!$G30))</x:f>
        <x:v>0</x:v>
      </x:c>
      <x:c r="AG33" s="34" t="n">
        <x:f>MAX(0,MIN(AG$8+1,'Fleet'!$O30)-MAX(AG$7,'Fleet'!$G30))</x:f>
        <x:v>0</x:v>
      </x:c>
      <x:c r="AH33" s="34" t="n">
        <x:f>MAX(0,MIN(AH$8+1,'Fleet'!$O30)-MAX(AH$7,'Fleet'!$G30))</x:f>
        <x:v>0</x:v>
      </x:c>
      <x:c r="AI33" s="34" t="n">
        <x:f>MAX(0,MIN(AI$8+1,'Fleet'!$O30)-MAX(AI$7,'Fleet'!$G30))</x:f>
        <x:v>0</x:v>
      </x:c>
      <x:c r="AJ33" s="34" t="n">
        <x:f>MAX(0,MIN(AJ$8+1,'Fleet'!$O30)-MAX(AJ$7,'Fleet'!$G30))</x:f>
        <x:v>0</x:v>
      </x:c>
      <x:c r="AK33" s="34" t="n">
        <x:f>MAX(0,MIN(AK$8+1,'Fleet'!$O30)-MAX(AK$7,'Fleet'!$G30))</x:f>
        <x:v>0</x:v>
      </x:c>
      <x:c r="AL33" s="34" t="n">
        <x:f>MAX(0,MIN(AL$8+1,'Fleet'!$O30)-MAX(AL$7,'Fleet'!$G30))</x:f>
        <x:v>0</x:v>
      </x:c>
      <x:c r="AM33" s="34" t="n">
        <x:f>MAX(0,MIN(AM$8+1,'Fleet'!$O30)-MAX(AM$7,'Fleet'!$G30))</x:f>
        <x:v>0</x:v>
      </x:c>
      <x:c r="AN33" s="34" t="n">
        <x:f>MAX(0,MIN(AN$8+1,'Fleet'!$O30)-MAX(AN$7,'Fleet'!$G30))</x:f>
        <x:v>0</x:v>
      </x:c>
      <x:c r="AO33" s="34" t="n">
        <x:f>MAX(0,MIN(AO$8+1,'Fleet'!$O30)-MAX(AO$7,'Fleet'!$G30))</x:f>
        <x:v>0</x:v>
      </x:c>
      <x:c r="AP33" s="34" t="n">
        <x:f>MAX(0,MIN(AP$8+1,'Fleet'!$O30)-MAX(AP$7,'Fleet'!$G30))</x:f>
        <x:v>0</x:v>
      </x:c>
      <x:c r="AQ33" s="34" t="n">
        <x:f>MAX(0,MIN(AQ$8+1,'Fleet'!$O30)-MAX(AQ$7,'Fleet'!$G30))</x:f>
        <x:v>0</x:v>
      </x:c>
    </x:row>
    <x:row r="34" ht="21" customHeight="1">
      <x:c r="A34" s="2"/>
      <x:c r="B34" s="2"/>
      <x:c r="C34" s="5" t="str">
        <x:f>'Fleet'!C31</x:f>
        <x:v>Star Borneo</x:v>
      </x:c>
      <x:c r="D34" s="5" t="str">
        <x:f>'Fleet'!D31</x:f>
        <x:v>Capesize</x:v>
      </x:c>
      <x:c r="E34" s="34" t="n">
        <x:f>MAX(0,MIN(E$8+1,'Fleet'!$O31)-MAX(E$7,'Fleet'!$G31))</x:f>
        <x:v>83</x:v>
      </x:c>
      <x:c r="F34" s="34" t="n">
        <x:f>MAX(0,MIN(F$8+1,'Fleet'!$O31)-MAX(F$7,'Fleet'!$G31))</x:f>
        <x:v>90</x:v>
      </x:c>
      <x:c r="G34" s="34" t="n">
        <x:f>MAX(0,MIN(G$8+1,'Fleet'!$O31)-MAX(G$7,'Fleet'!$G31))</x:f>
        <x:v>91</x:v>
      </x:c>
      <x:c r="H34" s="34" t="n">
        <x:f>MAX(0,MIN(H$8+1,'Fleet'!$O31)-MAX(H$7,'Fleet'!$G31))</x:f>
        <x:v>92</x:v>
      </x:c>
      <x:c r="I34" s="34" t="n">
        <x:f>MAX(0,MIN(I$8+1,'Fleet'!$O31)-MAX(I$7,'Fleet'!$G31))</x:f>
        <x:v>92</x:v>
      </x:c>
      <x:c r="J34" s="34" t="n">
        <x:f>MAX(0,MIN(J$8+1,'Fleet'!$O31)-MAX(J$7,'Fleet'!$G31))</x:f>
        <x:v>91</x:v>
      </x:c>
      <x:c r="K34" s="34" t="n">
        <x:f>MAX(0,MIN(K$8+1,'Fleet'!$O31)-MAX(K$7,'Fleet'!$G31))</x:f>
        <x:v>91</x:v>
      </x:c>
      <x:c r="L34" s="34" t="n">
        <x:f>MAX(0,MIN(L$8+1,'Fleet'!$O31)-MAX(L$7,'Fleet'!$G31))</x:f>
        <x:v>92</x:v>
      </x:c>
      <x:c r="M34" s="34" t="n">
        <x:f>MAX(0,MIN(M$8+1,'Fleet'!$O31)-MAX(M$7,'Fleet'!$G31))</x:f>
        <x:v>92</x:v>
      </x:c>
      <x:c r="N34" s="34" t="n">
        <x:f>MAX(0,MIN(N$8+1,'Fleet'!$O31)-MAX(N$7,'Fleet'!$G31))</x:f>
        <x:v>90</x:v>
      </x:c>
      <x:c r="O34" s="34" t="n">
        <x:f>MAX(0,MIN(O$8+1,'Fleet'!$O31)-MAX(O$7,'Fleet'!$G31))</x:f>
        <x:v>91</x:v>
      </x:c>
      <x:c r="P34" s="34" t="n">
        <x:f>MAX(0,MIN(P$8+1,'Fleet'!$O31)-MAX(P$7,'Fleet'!$G31))</x:f>
        <x:v>92</x:v>
      </x:c>
      <x:c r="Q34" s="34" t="n">
        <x:f>MAX(0,MIN(Q$8+1,'Fleet'!$O31)-MAX(Q$7,'Fleet'!$G31))</x:f>
        <x:v>365</x:v>
      </x:c>
      <x:c r="R34" s="34" t="n">
        <x:f>MAX(0,MIN(R$8+1,'Fleet'!$O31)-MAX(R$7,'Fleet'!$G31))</x:f>
        <x:v>365</x:v>
      </x:c>
      <x:c r="S34" s="34" t="n">
        <x:f>MAX(0,MIN(S$8+1,'Fleet'!$O31)-MAX(S$7,'Fleet'!$G31))</x:f>
        <x:v>366</x:v>
      </x:c>
      <x:c r="T34" s="34" t="n">
        <x:f>MAX(0,MIN(T$8+1,'Fleet'!$O31)-MAX(T$7,'Fleet'!$G31))</x:f>
        <x:v>365</x:v>
      </x:c>
      <x:c r="U34" s="34" t="n">
        <x:f>MAX(0,MIN(U$8+1,'Fleet'!$O31)-MAX(U$7,'Fleet'!$G31))</x:f>
        <x:v>365</x:v>
      </x:c>
      <x:c r="V34" s="34" t="n">
        <x:f>MAX(0,MIN(V$8+1,'Fleet'!$O31)-MAX(V$7,'Fleet'!$G31))</x:f>
        <x:v>273</x:v>
      </x:c>
      <x:c r="W34" s="34" t="n">
        <x:f>MAX(0,MIN(W$8+1,'Fleet'!$O31)-MAX(W$7,'Fleet'!$G31))</x:f>
        <x:v>0</x:v>
      </x:c>
      <x:c r="X34" s="34" t="n">
        <x:f>MAX(0,MIN(X$8+1,'Fleet'!$O31)-MAX(X$7,'Fleet'!$G31))</x:f>
        <x:v>0</x:v>
      </x:c>
      <x:c r="Y34" s="34" t="n">
        <x:f>MAX(0,MIN(Y$8+1,'Fleet'!$O31)-MAX(Y$7,'Fleet'!$G31))</x:f>
        <x:v>0</x:v>
      </x:c>
      <x:c r="Z34" s="34" t="n">
        <x:f>MAX(0,MIN(Z$8+1,'Fleet'!$O31)-MAX(Z$7,'Fleet'!$G31))</x:f>
        <x:v>0</x:v>
      </x:c>
      <x:c r="AA34" s="34" t="n">
        <x:f>MAX(0,MIN(AA$8+1,'Fleet'!$O31)-MAX(AA$7,'Fleet'!$G31))</x:f>
        <x:v>0</x:v>
      </x:c>
      <x:c r="AB34" s="34" t="n">
        <x:f>MAX(0,MIN(AB$8+1,'Fleet'!$O31)-MAX(AB$7,'Fleet'!$G31))</x:f>
        <x:v>0</x:v>
      </x:c>
      <x:c r="AC34" s="34" t="n">
        <x:f>MAX(0,MIN(AC$8+1,'Fleet'!$O31)-MAX(AC$7,'Fleet'!$G31))</x:f>
        <x:v>0</x:v>
      </x:c>
      <x:c r="AD34" s="34" t="n">
        <x:f>MAX(0,MIN(AD$8+1,'Fleet'!$O31)-MAX(AD$7,'Fleet'!$G31))</x:f>
        <x:v>0</x:v>
      </x:c>
      <x:c r="AE34" s="34" t="n">
        <x:f>MAX(0,MIN(AE$8+1,'Fleet'!$O31)-MAX(AE$7,'Fleet'!$G31))</x:f>
        <x:v>0</x:v>
      </x:c>
      <x:c r="AF34" s="34" t="n">
        <x:f>MAX(0,MIN(AF$8+1,'Fleet'!$O31)-MAX(AF$7,'Fleet'!$G31))</x:f>
        <x:v>0</x:v>
      </x:c>
      <x:c r="AG34" s="34" t="n">
        <x:f>MAX(0,MIN(AG$8+1,'Fleet'!$O31)-MAX(AG$7,'Fleet'!$G31))</x:f>
        <x:v>0</x:v>
      </x:c>
      <x:c r="AH34" s="34" t="n">
        <x:f>MAX(0,MIN(AH$8+1,'Fleet'!$O31)-MAX(AH$7,'Fleet'!$G31))</x:f>
        <x:v>0</x:v>
      </x:c>
      <x:c r="AI34" s="34" t="n">
        <x:f>MAX(0,MIN(AI$8+1,'Fleet'!$O31)-MAX(AI$7,'Fleet'!$G31))</x:f>
        <x:v>0</x:v>
      </x:c>
      <x:c r="AJ34" s="34" t="n">
        <x:f>MAX(0,MIN(AJ$8+1,'Fleet'!$O31)-MAX(AJ$7,'Fleet'!$G31))</x:f>
        <x:v>0</x:v>
      </x:c>
      <x:c r="AK34" s="34" t="n">
        <x:f>MAX(0,MIN(AK$8+1,'Fleet'!$O31)-MAX(AK$7,'Fleet'!$G31))</x:f>
        <x:v>0</x:v>
      </x:c>
      <x:c r="AL34" s="34" t="n">
        <x:f>MAX(0,MIN(AL$8+1,'Fleet'!$O31)-MAX(AL$7,'Fleet'!$G31))</x:f>
        <x:v>0</x:v>
      </x:c>
      <x:c r="AM34" s="34" t="n">
        <x:f>MAX(0,MIN(AM$8+1,'Fleet'!$O31)-MAX(AM$7,'Fleet'!$G31))</x:f>
        <x:v>0</x:v>
      </x:c>
      <x:c r="AN34" s="34" t="n">
        <x:f>MAX(0,MIN(AN$8+1,'Fleet'!$O31)-MAX(AN$7,'Fleet'!$G31))</x:f>
        <x:v>0</x:v>
      </x:c>
      <x:c r="AO34" s="34" t="n">
        <x:f>MAX(0,MIN(AO$8+1,'Fleet'!$O31)-MAX(AO$7,'Fleet'!$G31))</x:f>
        <x:v>0</x:v>
      </x:c>
      <x:c r="AP34" s="34" t="n">
        <x:f>MAX(0,MIN(AP$8+1,'Fleet'!$O31)-MAX(AP$7,'Fleet'!$G31))</x:f>
        <x:v>0</x:v>
      </x:c>
      <x:c r="AQ34" s="34" t="n">
        <x:f>MAX(0,MIN(AQ$8+1,'Fleet'!$O31)-MAX(AQ$7,'Fleet'!$G31))</x:f>
        <x:v>0</x:v>
      </x:c>
    </x:row>
    <x:row r="35" ht="21" customHeight="1">
      <x:c r="A35" s="2"/>
      <x:c r="B35" s="2"/>
      <x:c r="C35" s="5" t="str">
        <x:f>'Fleet'!C32</x:f>
        <x:v>Star Bueno</x:v>
      </x:c>
      <x:c r="D35" s="5" t="str">
        <x:f>'Fleet'!D32</x:f>
        <x:v>Capesize</x:v>
      </x:c>
      <x:c r="E35" s="34" t="n">
        <x:f>MAX(0,MIN(E$8+1,'Fleet'!$O32)-MAX(E$7,'Fleet'!$G32))</x:f>
        <x:v>83</x:v>
      </x:c>
      <x:c r="F35" s="34" t="n">
        <x:f>MAX(0,MIN(F$8+1,'Fleet'!$O32)-MAX(F$7,'Fleet'!$G32))</x:f>
        <x:v>90</x:v>
      </x:c>
      <x:c r="G35" s="34" t="n">
        <x:f>MAX(0,MIN(G$8+1,'Fleet'!$O32)-MAX(G$7,'Fleet'!$G32))</x:f>
        <x:v>91</x:v>
      </x:c>
      <x:c r="H35" s="34" t="n">
        <x:f>MAX(0,MIN(H$8+1,'Fleet'!$O32)-MAX(H$7,'Fleet'!$G32))</x:f>
        <x:v>92</x:v>
      </x:c>
      <x:c r="I35" s="34" t="n">
        <x:f>MAX(0,MIN(I$8+1,'Fleet'!$O32)-MAX(I$7,'Fleet'!$G32))</x:f>
        <x:v>92</x:v>
      </x:c>
      <x:c r="J35" s="34" t="n">
        <x:f>MAX(0,MIN(J$8+1,'Fleet'!$O32)-MAX(J$7,'Fleet'!$G32))</x:f>
        <x:v>91</x:v>
      </x:c>
      <x:c r="K35" s="34" t="n">
        <x:f>MAX(0,MIN(K$8+1,'Fleet'!$O32)-MAX(K$7,'Fleet'!$G32))</x:f>
        <x:v>91</x:v>
      </x:c>
      <x:c r="L35" s="34" t="n">
        <x:f>MAX(0,MIN(L$8+1,'Fleet'!$O32)-MAX(L$7,'Fleet'!$G32))</x:f>
        <x:v>92</x:v>
      </x:c>
      <x:c r="M35" s="34" t="n">
        <x:f>MAX(0,MIN(M$8+1,'Fleet'!$O32)-MAX(M$7,'Fleet'!$G32))</x:f>
        <x:v>92</x:v>
      </x:c>
      <x:c r="N35" s="34" t="n">
        <x:f>MAX(0,MIN(N$8+1,'Fleet'!$O32)-MAX(N$7,'Fleet'!$G32))</x:f>
        <x:v>90</x:v>
      </x:c>
      <x:c r="O35" s="34" t="n">
        <x:f>MAX(0,MIN(O$8+1,'Fleet'!$O32)-MAX(O$7,'Fleet'!$G32))</x:f>
        <x:v>91</x:v>
      </x:c>
      <x:c r="P35" s="34" t="n">
        <x:f>MAX(0,MIN(P$8+1,'Fleet'!$O32)-MAX(P$7,'Fleet'!$G32))</x:f>
        <x:v>92</x:v>
      </x:c>
      <x:c r="Q35" s="34" t="n">
        <x:f>MAX(0,MIN(Q$8+1,'Fleet'!$O32)-MAX(Q$7,'Fleet'!$G32))</x:f>
        <x:v>365</x:v>
      </x:c>
      <x:c r="R35" s="34" t="n">
        <x:f>MAX(0,MIN(R$8+1,'Fleet'!$O32)-MAX(R$7,'Fleet'!$G32))</x:f>
        <x:v>365</x:v>
      </x:c>
      <x:c r="S35" s="34" t="n">
        <x:f>MAX(0,MIN(S$8+1,'Fleet'!$O32)-MAX(S$7,'Fleet'!$G32))</x:f>
        <x:v>366</x:v>
      </x:c>
      <x:c r="T35" s="34" t="n">
        <x:f>MAX(0,MIN(T$8+1,'Fleet'!$O32)-MAX(T$7,'Fleet'!$G32))</x:f>
        <x:v>365</x:v>
      </x:c>
      <x:c r="U35" s="34" t="n">
        <x:f>MAX(0,MIN(U$8+1,'Fleet'!$O32)-MAX(U$7,'Fleet'!$G32))</x:f>
        <x:v>365</x:v>
      </x:c>
      <x:c r="V35" s="34" t="n">
        <x:f>MAX(0,MIN(V$8+1,'Fleet'!$O32)-MAX(V$7,'Fleet'!$G32))</x:f>
        <x:v>273</x:v>
      </x:c>
      <x:c r="W35" s="34" t="n">
        <x:f>MAX(0,MIN(W$8+1,'Fleet'!$O32)-MAX(W$7,'Fleet'!$G32))</x:f>
        <x:v>0</x:v>
      </x:c>
      <x:c r="X35" s="34" t="n">
        <x:f>MAX(0,MIN(X$8+1,'Fleet'!$O32)-MAX(X$7,'Fleet'!$G32))</x:f>
        <x:v>0</x:v>
      </x:c>
      <x:c r="Y35" s="34" t="n">
        <x:f>MAX(0,MIN(Y$8+1,'Fleet'!$O32)-MAX(Y$7,'Fleet'!$G32))</x:f>
        <x:v>0</x:v>
      </x:c>
      <x:c r="Z35" s="34" t="n">
        <x:f>MAX(0,MIN(Z$8+1,'Fleet'!$O32)-MAX(Z$7,'Fleet'!$G32))</x:f>
        <x:v>0</x:v>
      </x:c>
      <x:c r="AA35" s="34" t="n">
        <x:f>MAX(0,MIN(AA$8+1,'Fleet'!$O32)-MAX(AA$7,'Fleet'!$G32))</x:f>
        <x:v>0</x:v>
      </x:c>
      <x:c r="AB35" s="34" t="n">
        <x:f>MAX(0,MIN(AB$8+1,'Fleet'!$O32)-MAX(AB$7,'Fleet'!$G32))</x:f>
        <x:v>0</x:v>
      </x:c>
      <x:c r="AC35" s="34" t="n">
        <x:f>MAX(0,MIN(AC$8+1,'Fleet'!$O32)-MAX(AC$7,'Fleet'!$G32))</x:f>
        <x:v>0</x:v>
      </x:c>
      <x:c r="AD35" s="34" t="n">
        <x:f>MAX(0,MIN(AD$8+1,'Fleet'!$O32)-MAX(AD$7,'Fleet'!$G32))</x:f>
        <x:v>0</x:v>
      </x:c>
      <x:c r="AE35" s="34" t="n">
        <x:f>MAX(0,MIN(AE$8+1,'Fleet'!$O32)-MAX(AE$7,'Fleet'!$G32))</x:f>
        <x:v>0</x:v>
      </x:c>
      <x:c r="AF35" s="34" t="n">
        <x:f>MAX(0,MIN(AF$8+1,'Fleet'!$O32)-MAX(AF$7,'Fleet'!$G32))</x:f>
        <x:v>0</x:v>
      </x:c>
      <x:c r="AG35" s="34" t="n">
        <x:f>MAX(0,MIN(AG$8+1,'Fleet'!$O32)-MAX(AG$7,'Fleet'!$G32))</x:f>
        <x:v>0</x:v>
      </x:c>
      <x:c r="AH35" s="34" t="n">
        <x:f>MAX(0,MIN(AH$8+1,'Fleet'!$O32)-MAX(AH$7,'Fleet'!$G32))</x:f>
        <x:v>0</x:v>
      </x:c>
      <x:c r="AI35" s="34" t="n">
        <x:f>MAX(0,MIN(AI$8+1,'Fleet'!$O32)-MAX(AI$7,'Fleet'!$G32))</x:f>
        <x:v>0</x:v>
      </x:c>
      <x:c r="AJ35" s="34" t="n">
        <x:f>MAX(0,MIN(AJ$8+1,'Fleet'!$O32)-MAX(AJ$7,'Fleet'!$G32))</x:f>
        <x:v>0</x:v>
      </x:c>
      <x:c r="AK35" s="34" t="n">
        <x:f>MAX(0,MIN(AK$8+1,'Fleet'!$O32)-MAX(AK$7,'Fleet'!$G32))</x:f>
        <x:v>0</x:v>
      </x:c>
      <x:c r="AL35" s="34" t="n">
        <x:f>MAX(0,MIN(AL$8+1,'Fleet'!$O32)-MAX(AL$7,'Fleet'!$G32))</x:f>
        <x:v>0</x:v>
      </x:c>
      <x:c r="AM35" s="34" t="n">
        <x:f>MAX(0,MIN(AM$8+1,'Fleet'!$O32)-MAX(AM$7,'Fleet'!$G32))</x:f>
        <x:v>0</x:v>
      </x:c>
      <x:c r="AN35" s="34" t="n">
        <x:f>MAX(0,MIN(AN$8+1,'Fleet'!$O32)-MAX(AN$7,'Fleet'!$G32))</x:f>
        <x:v>0</x:v>
      </x:c>
      <x:c r="AO35" s="34" t="n">
        <x:f>MAX(0,MIN(AO$8+1,'Fleet'!$O32)-MAX(AO$7,'Fleet'!$G32))</x:f>
        <x:v>0</x:v>
      </x:c>
      <x:c r="AP35" s="34" t="n">
        <x:f>MAX(0,MIN(AP$8+1,'Fleet'!$O32)-MAX(AP$7,'Fleet'!$G32))</x:f>
        <x:v>0</x:v>
      </x:c>
      <x:c r="AQ35" s="34" t="n">
        <x:f>MAX(0,MIN(AQ$8+1,'Fleet'!$O32)-MAX(AQ$7,'Fleet'!$G32))</x:f>
        <x:v>0</x:v>
      </x:c>
    </x:row>
    <x:row r="36" ht="21" customHeight="1">
      <x:c r="A36" s="2"/>
      <x:c r="B36" s="2"/>
      <x:c r="C36" s="5" t="str">
        <x:f>'Fleet'!C33</x:f>
        <x:v>Star Marilena</x:v>
      </x:c>
      <x:c r="D36" s="5" t="str">
        <x:f>'Fleet'!D33</x:f>
        <x:v>Capesize</x:v>
      </x:c>
      <x:c r="E36" s="34" t="n">
        <x:f>MAX(0,MIN(E$8+1,'Fleet'!$O33)-MAX(E$7,'Fleet'!$G33))</x:f>
        <x:v>83</x:v>
      </x:c>
      <x:c r="F36" s="34" t="n">
        <x:f>MAX(0,MIN(F$8+1,'Fleet'!$O33)-MAX(F$7,'Fleet'!$G33))</x:f>
        <x:v>90</x:v>
      </x:c>
      <x:c r="G36" s="34" t="n">
        <x:f>MAX(0,MIN(G$8+1,'Fleet'!$O33)-MAX(G$7,'Fleet'!$G33))</x:f>
        <x:v>91</x:v>
      </x:c>
      <x:c r="H36" s="34" t="n">
        <x:f>MAX(0,MIN(H$8+1,'Fleet'!$O33)-MAX(H$7,'Fleet'!$G33))</x:f>
        <x:v>92</x:v>
      </x:c>
      <x:c r="I36" s="34" t="n">
        <x:f>MAX(0,MIN(I$8+1,'Fleet'!$O33)-MAX(I$7,'Fleet'!$G33))</x:f>
        <x:v>92</x:v>
      </x:c>
      <x:c r="J36" s="34" t="n">
        <x:f>MAX(0,MIN(J$8+1,'Fleet'!$O33)-MAX(J$7,'Fleet'!$G33))</x:f>
        <x:v>91</x:v>
      </x:c>
      <x:c r="K36" s="34" t="n">
        <x:f>MAX(0,MIN(K$8+1,'Fleet'!$O33)-MAX(K$7,'Fleet'!$G33))</x:f>
        <x:v>91</x:v>
      </x:c>
      <x:c r="L36" s="34" t="n">
        <x:f>MAX(0,MIN(L$8+1,'Fleet'!$O33)-MAX(L$7,'Fleet'!$G33))</x:f>
        <x:v>92</x:v>
      </x:c>
      <x:c r="M36" s="34" t="n">
        <x:f>MAX(0,MIN(M$8+1,'Fleet'!$O33)-MAX(M$7,'Fleet'!$G33))</x:f>
        <x:v>92</x:v>
      </x:c>
      <x:c r="N36" s="34" t="n">
        <x:f>MAX(0,MIN(N$8+1,'Fleet'!$O33)-MAX(N$7,'Fleet'!$G33))</x:f>
        <x:v>90</x:v>
      </x:c>
      <x:c r="O36" s="34" t="n">
        <x:f>MAX(0,MIN(O$8+1,'Fleet'!$O33)-MAX(O$7,'Fleet'!$G33))</x:f>
        <x:v>91</x:v>
      </x:c>
      <x:c r="P36" s="34" t="n">
        <x:f>MAX(0,MIN(P$8+1,'Fleet'!$O33)-MAX(P$7,'Fleet'!$G33))</x:f>
        <x:v>92</x:v>
      </x:c>
      <x:c r="Q36" s="34" t="n">
        <x:f>MAX(0,MIN(Q$8+1,'Fleet'!$O33)-MAX(Q$7,'Fleet'!$G33))</x:f>
        <x:v>365</x:v>
      </x:c>
      <x:c r="R36" s="34" t="n">
        <x:f>MAX(0,MIN(R$8+1,'Fleet'!$O33)-MAX(R$7,'Fleet'!$G33))</x:f>
        <x:v>365</x:v>
      </x:c>
      <x:c r="S36" s="34" t="n">
        <x:f>MAX(0,MIN(S$8+1,'Fleet'!$O33)-MAX(S$7,'Fleet'!$G33))</x:f>
        <x:v>366</x:v>
      </x:c>
      <x:c r="T36" s="34" t="n">
        <x:f>MAX(0,MIN(T$8+1,'Fleet'!$O33)-MAX(T$7,'Fleet'!$G33))</x:f>
        <x:v>365</x:v>
      </x:c>
      <x:c r="U36" s="34" t="n">
        <x:f>MAX(0,MIN(U$8+1,'Fleet'!$O33)-MAX(U$7,'Fleet'!$G33))</x:f>
        <x:v>365</x:v>
      </x:c>
      <x:c r="V36" s="34" t="n">
        <x:f>MAX(0,MIN(V$8+1,'Fleet'!$O33)-MAX(V$7,'Fleet'!$G33))</x:f>
        <x:v>273</x:v>
      </x:c>
      <x:c r="W36" s="34" t="n">
        <x:f>MAX(0,MIN(W$8+1,'Fleet'!$O33)-MAX(W$7,'Fleet'!$G33))</x:f>
        <x:v>0</x:v>
      </x:c>
      <x:c r="X36" s="34" t="n">
        <x:f>MAX(0,MIN(X$8+1,'Fleet'!$O33)-MAX(X$7,'Fleet'!$G33))</x:f>
        <x:v>0</x:v>
      </x:c>
      <x:c r="Y36" s="34" t="n">
        <x:f>MAX(0,MIN(Y$8+1,'Fleet'!$O33)-MAX(Y$7,'Fleet'!$G33))</x:f>
        <x:v>0</x:v>
      </x:c>
      <x:c r="Z36" s="34" t="n">
        <x:f>MAX(0,MIN(Z$8+1,'Fleet'!$O33)-MAX(Z$7,'Fleet'!$G33))</x:f>
        <x:v>0</x:v>
      </x:c>
      <x:c r="AA36" s="34" t="n">
        <x:f>MAX(0,MIN(AA$8+1,'Fleet'!$O33)-MAX(AA$7,'Fleet'!$G33))</x:f>
        <x:v>0</x:v>
      </x:c>
      <x:c r="AB36" s="34" t="n">
        <x:f>MAX(0,MIN(AB$8+1,'Fleet'!$O33)-MAX(AB$7,'Fleet'!$G33))</x:f>
        <x:v>0</x:v>
      </x:c>
      <x:c r="AC36" s="34" t="n">
        <x:f>MAX(0,MIN(AC$8+1,'Fleet'!$O33)-MAX(AC$7,'Fleet'!$G33))</x:f>
        <x:v>0</x:v>
      </x:c>
      <x:c r="AD36" s="34" t="n">
        <x:f>MAX(0,MIN(AD$8+1,'Fleet'!$O33)-MAX(AD$7,'Fleet'!$G33))</x:f>
        <x:v>0</x:v>
      </x:c>
      <x:c r="AE36" s="34" t="n">
        <x:f>MAX(0,MIN(AE$8+1,'Fleet'!$O33)-MAX(AE$7,'Fleet'!$G33))</x:f>
        <x:v>0</x:v>
      </x:c>
      <x:c r="AF36" s="34" t="n">
        <x:f>MAX(0,MIN(AF$8+1,'Fleet'!$O33)-MAX(AF$7,'Fleet'!$G33))</x:f>
        <x:v>0</x:v>
      </x:c>
      <x:c r="AG36" s="34" t="n">
        <x:f>MAX(0,MIN(AG$8+1,'Fleet'!$O33)-MAX(AG$7,'Fleet'!$G33))</x:f>
        <x:v>0</x:v>
      </x:c>
      <x:c r="AH36" s="34" t="n">
        <x:f>MAX(0,MIN(AH$8+1,'Fleet'!$O33)-MAX(AH$7,'Fleet'!$G33))</x:f>
        <x:v>0</x:v>
      </x:c>
      <x:c r="AI36" s="34" t="n">
        <x:f>MAX(0,MIN(AI$8+1,'Fleet'!$O33)-MAX(AI$7,'Fleet'!$G33))</x:f>
        <x:v>0</x:v>
      </x:c>
      <x:c r="AJ36" s="34" t="n">
        <x:f>MAX(0,MIN(AJ$8+1,'Fleet'!$O33)-MAX(AJ$7,'Fleet'!$G33))</x:f>
        <x:v>0</x:v>
      </x:c>
      <x:c r="AK36" s="34" t="n">
        <x:f>MAX(0,MIN(AK$8+1,'Fleet'!$O33)-MAX(AK$7,'Fleet'!$G33))</x:f>
        <x:v>0</x:v>
      </x:c>
      <x:c r="AL36" s="34" t="n">
        <x:f>MAX(0,MIN(AL$8+1,'Fleet'!$O33)-MAX(AL$7,'Fleet'!$G33))</x:f>
        <x:v>0</x:v>
      </x:c>
      <x:c r="AM36" s="34" t="n">
        <x:f>MAX(0,MIN(AM$8+1,'Fleet'!$O33)-MAX(AM$7,'Fleet'!$G33))</x:f>
        <x:v>0</x:v>
      </x:c>
      <x:c r="AN36" s="34" t="n">
        <x:f>MAX(0,MIN(AN$8+1,'Fleet'!$O33)-MAX(AN$7,'Fleet'!$G33))</x:f>
        <x:v>0</x:v>
      </x:c>
      <x:c r="AO36" s="34" t="n">
        <x:f>MAX(0,MIN(AO$8+1,'Fleet'!$O33)-MAX(AO$7,'Fleet'!$G33))</x:f>
        <x:v>0</x:v>
      </x:c>
      <x:c r="AP36" s="34" t="n">
        <x:f>MAX(0,MIN(AP$8+1,'Fleet'!$O33)-MAX(AP$7,'Fleet'!$G33))</x:f>
        <x:v>0</x:v>
      </x:c>
      <x:c r="AQ36" s="34" t="n">
        <x:f>MAX(0,MIN(AQ$8+1,'Fleet'!$O33)-MAX(AQ$7,'Fleet'!$G33))</x:f>
        <x:v>0</x:v>
      </x:c>
    </x:row>
    <x:row r="37" ht="21" customHeight="1">
      <x:c r="A37" s="2"/>
      <x:c r="B37" s="2"/>
      <x:c r="C37" s="5" t="str">
        <x:f>'Fleet'!C34</x:f>
        <x:v>Star Janni</x:v>
      </x:c>
      <x:c r="D37" s="5" t="str">
        <x:f>'Fleet'!D34</x:f>
        <x:v>Capesize</x:v>
      </x:c>
      <x:c r="E37" s="34" t="n">
        <x:f>MAX(0,MIN(E$8+1,'Fleet'!$O34)-MAX(E$7,'Fleet'!$G34))</x:f>
        <x:v>83</x:v>
      </x:c>
      <x:c r="F37" s="34" t="n">
        <x:f>MAX(0,MIN(F$8+1,'Fleet'!$O34)-MAX(F$7,'Fleet'!$G34))</x:f>
        <x:v>90</x:v>
      </x:c>
      <x:c r="G37" s="34" t="n">
        <x:f>MAX(0,MIN(G$8+1,'Fleet'!$O34)-MAX(G$7,'Fleet'!$G34))</x:f>
        <x:v>91</x:v>
      </x:c>
      <x:c r="H37" s="34" t="n">
        <x:f>MAX(0,MIN(H$8+1,'Fleet'!$O34)-MAX(H$7,'Fleet'!$G34))</x:f>
        <x:v>92</x:v>
      </x:c>
      <x:c r="I37" s="34" t="n">
        <x:f>MAX(0,MIN(I$8+1,'Fleet'!$O34)-MAX(I$7,'Fleet'!$G34))</x:f>
        <x:v>92</x:v>
      </x:c>
      <x:c r="J37" s="34" t="n">
        <x:f>MAX(0,MIN(J$8+1,'Fleet'!$O34)-MAX(J$7,'Fleet'!$G34))</x:f>
        <x:v>91</x:v>
      </x:c>
      <x:c r="K37" s="34" t="n">
        <x:f>MAX(0,MIN(K$8+1,'Fleet'!$O34)-MAX(K$7,'Fleet'!$G34))</x:f>
        <x:v>91</x:v>
      </x:c>
      <x:c r="L37" s="34" t="n">
        <x:f>MAX(0,MIN(L$8+1,'Fleet'!$O34)-MAX(L$7,'Fleet'!$G34))</x:f>
        <x:v>92</x:v>
      </x:c>
      <x:c r="M37" s="34" t="n">
        <x:f>MAX(0,MIN(M$8+1,'Fleet'!$O34)-MAX(M$7,'Fleet'!$G34))</x:f>
        <x:v>92</x:v>
      </x:c>
      <x:c r="N37" s="34" t="n">
        <x:f>MAX(0,MIN(N$8+1,'Fleet'!$O34)-MAX(N$7,'Fleet'!$G34))</x:f>
        <x:v>90</x:v>
      </x:c>
      <x:c r="O37" s="34" t="n">
        <x:f>MAX(0,MIN(O$8+1,'Fleet'!$O34)-MAX(O$7,'Fleet'!$G34))</x:f>
        <x:v>91</x:v>
      </x:c>
      <x:c r="P37" s="34" t="n">
        <x:f>MAX(0,MIN(P$8+1,'Fleet'!$O34)-MAX(P$7,'Fleet'!$G34))</x:f>
        <x:v>92</x:v>
      </x:c>
      <x:c r="Q37" s="34" t="n">
        <x:f>MAX(0,MIN(Q$8+1,'Fleet'!$O34)-MAX(Q$7,'Fleet'!$G34))</x:f>
        <x:v>365</x:v>
      </x:c>
      <x:c r="R37" s="34" t="n">
        <x:f>MAX(0,MIN(R$8+1,'Fleet'!$O34)-MAX(R$7,'Fleet'!$G34))</x:f>
        <x:v>365</x:v>
      </x:c>
      <x:c r="S37" s="34" t="n">
        <x:f>MAX(0,MIN(S$8+1,'Fleet'!$O34)-MAX(S$7,'Fleet'!$G34))</x:f>
        <x:v>366</x:v>
      </x:c>
      <x:c r="T37" s="34" t="n">
        <x:f>MAX(0,MIN(T$8+1,'Fleet'!$O34)-MAX(T$7,'Fleet'!$G34))</x:f>
        <x:v>365</x:v>
      </x:c>
      <x:c r="U37" s="34" t="n">
        <x:f>MAX(0,MIN(U$8+1,'Fleet'!$O34)-MAX(U$7,'Fleet'!$G34))</x:f>
        <x:v>365</x:v>
      </x:c>
      <x:c r="V37" s="34" t="n">
        <x:f>MAX(0,MIN(V$8+1,'Fleet'!$O34)-MAX(V$7,'Fleet'!$G34))</x:f>
        <x:v>273</x:v>
      </x:c>
      <x:c r="W37" s="34" t="n">
        <x:f>MAX(0,MIN(W$8+1,'Fleet'!$O34)-MAX(W$7,'Fleet'!$G34))</x:f>
        <x:v>0</x:v>
      </x:c>
      <x:c r="X37" s="34" t="n">
        <x:f>MAX(0,MIN(X$8+1,'Fleet'!$O34)-MAX(X$7,'Fleet'!$G34))</x:f>
        <x:v>0</x:v>
      </x:c>
      <x:c r="Y37" s="34" t="n">
        <x:f>MAX(0,MIN(Y$8+1,'Fleet'!$O34)-MAX(Y$7,'Fleet'!$G34))</x:f>
        <x:v>0</x:v>
      </x:c>
      <x:c r="Z37" s="34" t="n">
        <x:f>MAX(0,MIN(Z$8+1,'Fleet'!$O34)-MAX(Z$7,'Fleet'!$G34))</x:f>
        <x:v>0</x:v>
      </x:c>
      <x:c r="AA37" s="34" t="n">
        <x:f>MAX(0,MIN(AA$8+1,'Fleet'!$O34)-MAX(AA$7,'Fleet'!$G34))</x:f>
        <x:v>0</x:v>
      </x:c>
      <x:c r="AB37" s="34" t="n">
        <x:f>MAX(0,MIN(AB$8+1,'Fleet'!$O34)-MAX(AB$7,'Fleet'!$G34))</x:f>
        <x:v>0</x:v>
      </x:c>
      <x:c r="AC37" s="34" t="n">
        <x:f>MAX(0,MIN(AC$8+1,'Fleet'!$O34)-MAX(AC$7,'Fleet'!$G34))</x:f>
        <x:v>0</x:v>
      </x:c>
      <x:c r="AD37" s="34" t="n">
        <x:f>MAX(0,MIN(AD$8+1,'Fleet'!$O34)-MAX(AD$7,'Fleet'!$G34))</x:f>
        <x:v>0</x:v>
      </x:c>
      <x:c r="AE37" s="34" t="n">
        <x:f>MAX(0,MIN(AE$8+1,'Fleet'!$O34)-MAX(AE$7,'Fleet'!$G34))</x:f>
        <x:v>0</x:v>
      </x:c>
      <x:c r="AF37" s="34" t="n">
        <x:f>MAX(0,MIN(AF$8+1,'Fleet'!$O34)-MAX(AF$7,'Fleet'!$G34))</x:f>
        <x:v>0</x:v>
      </x:c>
      <x:c r="AG37" s="34" t="n">
        <x:f>MAX(0,MIN(AG$8+1,'Fleet'!$O34)-MAX(AG$7,'Fleet'!$G34))</x:f>
        <x:v>0</x:v>
      </x:c>
      <x:c r="AH37" s="34" t="n">
        <x:f>MAX(0,MIN(AH$8+1,'Fleet'!$O34)-MAX(AH$7,'Fleet'!$G34))</x:f>
        <x:v>0</x:v>
      </x:c>
      <x:c r="AI37" s="34" t="n">
        <x:f>MAX(0,MIN(AI$8+1,'Fleet'!$O34)-MAX(AI$7,'Fleet'!$G34))</x:f>
        <x:v>0</x:v>
      </x:c>
      <x:c r="AJ37" s="34" t="n">
        <x:f>MAX(0,MIN(AJ$8+1,'Fleet'!$O34)-MAX(AJ$7,'Fleet'!$G34))</x:f>
        <x:v>0</x:v>
      </x:c>
      <x:c r="AK37" s="34" t="n">
        <x:f>MAX(0,MIN(AK$8+1,'Fleet'!$O34)-MAX(AK$7,'Fleet'!$G34))</x:f>
        <x:v>0</x:v>
      </x:c>
      <x:c r="AL37" s="34" t="n">
        <x:f>MAX(0,MIN(AL$8+1,'Fleet'!$O34)-MAX(AL$7,'Fleet'!$G34))</x:f>
        <x:v>0</x:v>
      </x:c>
      <x:c r="AM37" s="34" t="n">
        <x:f>MAX(0,MIN(AM$8+1,'Fleet'!$O34)-MAX(AM$7,'Fleet'!$G34))</x:f>
        <x:v>0</x:v>
      </x:c>
      <x:c r="AN37" s="34" t="n">
        <x:f>MAX(0,MIN(AN$8+1,'Fleet'!$O34)-MAX(AN$7,'Fleet'!$G34))</x:f>
        <x:v>0</x:v>
      </x:c>
      <x:c r="AO37" s="34" t="n">
        <x:f>MAX(0,MIN(AO$8+1,'Fleet'!$O34)-MAX(AO$7,'Fleet'!$G34))</x:f>
        <x:v>0</x:v>
      </x:c>
      <x:c r="AP37" s="34" t="n">
        <x:f>MAX(0,MIN(AP$8+1,'Fleet'!$O34)-MAX(AP$7,'Fleet'!$G34))</x:f>
        <x:v>0</x:v>
      </x:c>
      <x:c r="AQ37" s="34" t="n">
        <x:f>MAX(0,MIN(AQ$8+1,'Fleet'!$O34)-MAX(AQ$7,'Fleet'!$G34))</x:f>
        <x:v>0</x:v>
      </x:c>
    </x:row>
    <x:row r="38" ht="21" customHeight="1">
      <x:c r="A38" s="2"/>
      <x:c r="B38" s="2"/>
      <x:c r="C38" s="5" t="str">
        <x:f>'Fleet'!C35</x:f>
        <x:v>Star Marianne</x:v>
      </x:c>
      <x:c r="D38" s="5" t="str">
        <x:f>'Fleet'!D35</x:f>
        <x:v>Capesize</x:v>
      </x:c>
      <x:c r="E38" s="34" t="n">
        <x:f>MAX(0,MIN(E$8+1,'Fleet'!$O35)-MAX(E$7,'Fleet'!$G35))</x:f>
        <x:v>83</x:v>
      </x:c>
      <x:c r="F38" s="34" t="n">
        <x:f>MAX(0,MIN(F$8+1,'Fleet'!$O35)-MAX(F$7,'Fleet'!$G35))</x:f>
        <x:v>90</x:v>
      </x:c>
      <x:c r="G38" s="34" t="n">
        <x:f>MAX(0,MIN(G$8+1,'Fleet'!$O35)-MAX(G$7,'Fleet'!$G35))</x:f>
        <x:v>91</x:v>
      </x:c>
      <x:c r="H38" s="34" t="n">
        <x:f>MAX(0,MIN(H$8+1,'Fleet'!$O35)-MAX(H$7,'Fleet'!$G35))</x:f>
        <x:v>92</x:v>
      </x:c>
      <x:c r="I38" s="34" t="n">
        <x:f>MAX(0,MIN(I$8+1,'Fleet'!$O35)-MAX(I$7,'Fleet'!$G35))</x:f>
        <x:v>92</x:v>
      </x:c>
      <x:c r="J38" s="34" t="n">
        <x:f>MAX(0,MIN(J$8+1,'Fleet'!$O35)-MAX(J$7,'Fleet'!$G35))</x:f>
        <x:v>91</x:v>
      </x:c>
      <x:c r="K38" s="34" t="n">
        <x:f>MAX(0,MIN(K$8+1,'Fleet'!$O35)-MAX(K$7,'Fleet'!$G35))</x:f>
        <x:v>91</x:v>
      </x:c>
      <x:c r="L38" s="34" t="n">
        <x:f>MAX(0,MIN(L$8+1,'Fleet'!$O35)-MAX(L$7,'Fleet'!$G35))</x:f>
        <x:v>92</x:v>
      </x:c>
      <x:c r="M38" s="34" t="n">
        <x:f>MAX(0,MIN(M$8+1,'Fleet'!$O35)-MAX(M$7,'Fleet'!$G35))</x:f>
        <x:v>92</x:v>
      </x:c>
      <x:c r="N38" s="34" t="n">
        <x:f>MAX(0,MIN(N$8+1,'Fleet'!$O35)-MAX(N$7,'Fleet'!$G35))</x:f>
        <x:v>90</x:v>
      </x:c>
      <x:c r="O38" s="34" t="n">
        <x:f>MAX(0,MIN(O$8+1,'Fleet'!$O35)-MAX(O$7,'Fleet'!$G35))</x:f>
        <x:v>91</x:v>
      </x:c>
      <x:c r="P38" s="34" t="n">
        <x:f>MAX(0,MIN(P$8+1,'Fleet'!$O35)-MAX(P$7,'Fleet'!$G35))</x:f>
        <x:v>92</x:v>
      </x:c>
      <x:c r="Q38" s="34" t="n">
        <x:f>MAX(0,MIN(Q$8+1,'Fleet'!$O35)-MAX(Q$7,'Fleet'!$G35))</x:f>
        <x:v>365</x:v>
      </x:c>
      <x:c r="R38" s="34" t="n">
        <x:f>MAX(0,MIN(R$8+1,'Fleet'!$O35)-MAX(R$7,'Fleet'!$G35))</x:f>
        <x:v>365</x:v>
      </x:c>
      <x:c r="S38" s="34" t="n">
        <x:f>MAX(0,MIN(S$8+1,'Fleet'!$O35)-MAX(S$7,'Fleet'!$G35))</x:f>
        <x:v>366</x:v>
      </x:c>
      <x:c r="T38" s="34" t="n">
        <x:f>MAX(0,MIN(T$8+1,'Fleet'!$O35)-MAX(T$7,'Fleet'!$G35))</x:f>
        <x:v>365</x:v>
      </x:c>
      <x:c r="U38" s="34" t="n">
        <x:f>MAX(0,MIN(U$8+1,'Fleet'!$O35)-MAX(U$7,'Fleet'!$G35))</x:f>
        <x:v>365</x:v>
      </x:c>
      <x:c r="V38" s="34" t="n">
        <x:f>MAX(0,MIN(V$8+1,'Fleet'!$O35)-MAX(V$7,'Fleet'!$G35))</x:f>
        <x:v>273</x:v>
      </x:c>
      <x:c r="W38" s="34" t="n">
        <x:f>MAX(0,MIN(W$8+1,'Fleet'!$O35)-MAX(W$7,'Fleet'!$G35))</x:f>
        <x:v>0</x:v>
      </x:c>
      <x:c r="X38" s="34" t="n">
        <x:f>MAX(0,MIN(X$8+1,'Fleet'!$O35)-MAX(X$7,'Fleet'!$G35))</x:f>
        <x:v>0</x:v>
      </x:c>
      <x:c r="Y38" s="34" t="n">
        <x:f>MAX(0,MIN(Y$8+1,'Fleet'!$O35)-MAX(Y$7,'Fleet'!$G35))</x:f>
        <x:v>0</x:v>
      </x:c>
      <x:c r="Z38" s="34" t="n">
        <x:f>MAX(0,MIN(Z$8+1,'Fleet'!$O35)-MAX(Z$7,'Fleet'!$G35))</x:f>
        <x:v>0</x:v>
      </x:c>
      <x:c r="AA38" s="34" t="n">
        <x:f>MAX(0,MIN(AA$8+1,'Fleet'!$O35)-MAX(AA$7,'Fleet'!$G35))</x:f>
        <x:v>0</x:v>
      </x:c>
      <x:c r="AB38" s="34" t="n">
        <x:f>MAX(0,MIN(AB$8+1,'Fleet'!$O35)-MAX(AB$7,'Fleet'!$G35))</x:f>
        <x:v>0</x:v>
      </x:c>
      <x:c r="AC38" s="34" t="n">
        <x:f>MAX(0,MIN(AC$8+1,'Fleet'!$O35)-MAX(AC$7,'Fleet'!$G35))</x:f>
        <x:v>0</x:v>
      </x:c>
      <x:c r="AD38" s="34" t="n">
        <x:f>MAX(0,MIN(AD$8+1,'Fleet'!$O35)-MAX(AD$7,'Fleet'!$G35))</x:f>
        <x:v>0</x:v>
      </x:c>
      <x:c r="AE38" s="34" t="n">
        <x:f>MAX(0,MIN(AE$8+1,'Fleet'!$O35)-MAX(AE$7,'Fleet'!$G35))</x:f>
        <x:v>0</x:v>
      </x:c>
      <x:c r="AF38" s="34" t="n">
        <x:f>MAX(0,MIN(AF$8+1,'Fleet'!$O35)-MAX(AF$7,'Fleet'!$G35))</x:f>
        <x:v>0</x:v>
      </x:c>
      <x:c r="AG38" s="34" t="n">
        <x:f>MAX(0,MIN(AG$8+1,'Fleet'!$O35)-MAX(AG$7,'Fleet'!$G35))</x:f>
        <x:v>0</x:v>
      </x:c>
      <x:c r="AH38" s="34" t="n">
        <x:f>MAX(0,MIN(AH$8+1,'Fleet'!$O35)-MAX(AH$7,'Fleet'!$G35))</x:f>
        <x:v>0</x:v>
      </x:c>
      <x:c r="AI38" s="34" t="n">
        <x:f>MAX(0,MIN(AI$8+1,'Fleet'!$O35)-MAX(AI$7,'Fleet'!$G35))</x:f>
        <x:v>0</x:v>
      </x:c>
      <x:c r="AJ38" s="34" t="n">
        <x:f>MAX(0,MIN(AJ$8+1,'Fleet'!$O35)-MAX(AJ$7,'Fleet'!$G35))</x:f>
        <x:v>0</x:v>
      </x:c>
      <x:c r="AK38" s="34" t="n">
        <x:f>MAX(0,MIN(AK$8+1,'Fleet'!$O35)-MAX(AK$7,'Fleet'!$G35))</x:f>
        <x:v>0</x:v>
      </x:c>
      <x:c r="AL38" s="34" t="n">
        <x:f>MAX(0,MIN(AL$8+1,'Fleet'!$O35)-MAX(AL$7,'Fleet'!$G35))</x:f>
        <x:v>0</x:v>
      </x:c>
      <x:c r="AM38" s="34" t="n">
        <x:f>MAX(0,MIN(AM$8+1,'Fleet'!$O35)-MAX(AM$7,'Fleet'!$G35))</x:f>
        <x:v>0</x:v>
      </x:c>
      <x:c r="AN38" s="34" t="n">
        <x:f>MAX(0,MIN(AN$8+1,'Fleet'!$O35)-MAX(AN$7,'Fleet'!$G35))</x:f>
        <x:v>0</x:v>
      </x:c>
      <x:c r="AO38" s="34" t="n">
        <x:f>MAX(0,MIN(AO$8+1,'Fleet'!$O35)-MAX(AO$7,'Fleet'!$G35))</x:f>
        <x:v>0</x:v>
      </x:c>
      <x:c r="AP38" s="34" t="n">
        <x:f>MAX(0,MIN(AP$8+1,'Fleet'!$O35)-MAX(AP$7,'Fleet'!$G35))</x:f>
        <x:v>0</x:v>
      </x:c>
      <x:c r="AQ38" s="34" t="n">
        <x:f>MAX(0,MIN(AQ$8+1,'Fleet'!$O35)-MAX(AQ$7,'Fleet'!$G35))</x:f>
        <x:v>0</x:v>
      </x:c>
    </x:row>
    <x:row r="39" ht="21" customHeight="1">
      <x:c r="A39" s="2"/>
      <x:c r="B39" s="2"/>
      <x:c r="C39" s="5" t="str">
        <x:f>'Fleet'!C36</x:f>
        <x:v>Star Angie</x:v>
      </x:c>
      <x:c r="D39" s="5" t="str">
        <x:f>'Fleet'!D36</x:f>
        <x:v>Capesize</x:v>
      </x:c>
      <x:c r="E39" s="34" t="n">
        <x:f>MAX(0,MIN(E$8+1,'Fleet'!$O36)-MAX(E$7,'Fleet'!$G36))</x:f>
        <x:v>83</x:v>
      </x:c>
      <x:c r="F39" s="34" t="n">
        <x:f>MAX(0,MIN(F$8+1,'Fleet'!$O36)-MAX(F$7,'Fleet'!$G36))</x:f>
        <x:v>90</x:v>
      </x:c>
      <x:c r="G39" s="34" t="n">
        <x:f>MAX(0,MIN(G$8+1,'Fleet'!$O36)-MAX(G$7,'Fleet'!$G36))</x:f>
        <x:v>91</x:v>
      </x:c>
      <x:c r="H39" s="34" t="n">
        <x:f>MAX(0,MIN(H$8+1,'Fleet'!$O36)-MAX(H$7,'Fleet'!$G36))</x:f>
        <x:v>92</x:v>
      </x:c>
      <x:c r="I39" s="34" t="n">
        <x:f>MAX(0,MIN(I$8+1,'Fleet'!$O36)-MAX(I$7,'Fleet'!$G36))</x:f>
        <x:v>92</x:v>
      </x:c>
      <x:c r="J39" s="34" t="n">
        <x:f>MAX(0,MIN(J$8+1,'Fleet'!$O36)-MAX(J$7,'Fleet'!$G36))</x:f>
        <x:v>91</x:v>
      </x:c>
      <x:c r="K39" s="34" t="n">
        <x:f>MAX(0,MIN(K$8+1,'Fleet'!$O36)-MAX(K$7,'Fleet'!$G36))</x:f>
        <x:v>91</x:v>
      </x:c>
      <x:c r="L39" s="34" t="n">
        <x:f>MAX(0,MIN(L$8+1,'Fleet'!$O36)-MAX(L$7,'Fleet'!$G36))</x:f>
        <x:v>92</x:v>
      </x:c>
      <x:c r="M39" s="34" t="n">
        <x:f>MAX(0,MIN(M$8+1,'Fleet'!$O36)-MAX(M$7,'Fleet'!$G36))</x:f>
        <x:v>92</x:v>
      </x:c>
      <x:c r="N39" s="34" t="n">
        <x:f>MAX(0,MIN(N$8+1,'Fleet'!$O36)-MAX(N$7,'Fleet'!$G36))</x:f>
        <x:v>90</x:v>
      </x:c>
      <x:c r="O39" s="34" t="n">
        <x:f>MAX(0,MIN(O$8+1,'Fleet'!$O36)-MAX(O$7,'Fleet'!$G36))</x:f>
        <x:v>91</x:v>
      </x:c>
      <x:c r="P39" s="34" t="n">
        <x:f>MAX(0,MIN(P$8+1,'Fleet'!$O36)-MAX(P$7,'Fleet'!$G36))</x:f>
        <x:v>92</x:v>
      </x:c>
      <x:c r="Q39" s="34" t="n">
        <x:f>MAX(0,MIN(Q$8+1,'Fleet'!$O36)-MAX(Q$7,'Fleet'!$G36))</x:f>
        <x:v>365</x:v>
      </x:c>
      <x:c r="R39" s="34" t="n">
        <x:f>MAX(0,MIN(R$8+1,'Fleet'!$O36)-MAX(R$7,'Fleet'!$G36))</x:f>
        <x:v>365</x:v>
      </x:c>
      <x:c r="S39" s="34" t="n">
        <x:f>MAX(0,MIN(S$8+1,'Fleet'!$O36)-MAX(S$7,'Fleet'!$G36))</x:f>
        <x:v>274</x:v>
      </x:c>
      <x:c r="T39" s="34" t="n">
        <x:f>MAX(0,MIN(T$8+1,'Fleet'!$O36)-MAX(T$7,'Fleet'!$G36))</x:f>
        <x:v>0</x:v>
      </x:c>
      <x:c r="U39" s="34" t="n">
        <x:f>MAX(0,MIN(U$8+1,'Fleet'!$O36)-MAX(U$7,'Fleet'!$G36))</x:f>
        <x:v>0</x:v>
      </x:c>
      <x:c r="V39" s="34" t="n">
        <x:f>MAX(0,MIN(V$8+1,'Fleet'!$O36)-MAX(V$7,'Fleet'!$G36))</x:f>
        <x:v>0</x:v>
      </x:c>
      <x:c r="W39" s="34" t="n">
        <x:f>MAX(0,MIN(W$8+1,'Fleet'!$O36)-MAX(W$7,'Fleet'!$G36))</x:f>
        <x:v>0</x:v>
      </x:c>
      <x:c r="X39" s="34" t="n">
        <x:f>MAX(0,MIN(X$8+1,'Fleet'!$O36)-MAX(X$7,'Fleet'!$G36))</x:f>
        <x:v>0</x:v>
      </x:c>
      <x:c r="Y39" s="34" t="n">
        <x:f>MAX(0,MIN(Y$8+1,'Fleet'!$O36)-MAX(Y$7,'Fleet'!$G36))</x:f>
        <x:v>0</x:v>
      </x:c>
      <x:c r="Z39" s="34" t="n">
        <x:f>MAX(0,MIN(Z$8+1,'Fleet'!$O36)-MAX(Z$7,'Fleet'!$G36))</x:f>
        <x:v>0</x:v>
      </x:c>
      <x:c r="AA39" s="34" t="n">
        <x:f>MAX(0,MIN(AA$8+1,'Fleet'!$O36)-MAX(AA$7,'Fleet'!$G36))</x:f>
        <x:v>0</x:v>
      </x:c>
      <x:c r="AB39" s="34" t="n">
        <x:f>MAX(0,MIN(AB$8+1,'Fleet'!$O36)-MAX(AB$7,'Fleet'!$G36))</x:f>
        <x:v>0</x:v>
      </x:c>
      <x:c r="AC39" s="34" t="n">
        <x:f>MAX(0,MIN(AC$8+1,'Fleet'!$O36)-MAX(AC$7,'Fleet'!$G36))</x:f>
        <x:v>0</x:v>
      </x:c>
      <x:c r="AD39" s="34" t="n">
        <x:f>MAX(0,MIN(AD$8+1,'Fleet'!$O36)-MAX(AD$7,'Fleet'!$G36))</x:f>
        <x:v>0</x:v>
      </x:c>
      <x:c r="AE39" s="34" t="n">
        <x:f>MAX(0,MIN(AE$8+1,'Fleet'!$O36)-MAX(AE$7,'Fleet'!$G36))</x:f>
        <x:v>0</x:v>
      </x:c>
      <x:c r="AF39" s="34" t="n">
        <x:f>MAX(0,MIN(AF$8+1,'Fleet'!$O36)-MAX(AF$7,'Fleet'!$G36))</x:f>
        <x:v>0</x:v>
      </x:c>
      <x:c r="AG39" s="34" t="n">
        <x:f>MAX(0,MIN(AG$8+1,'Fleet'!$O36)-MAX(AG$7,'Fleet'!$G36))</x:f>
        <x:v>0</x:v>
      </x:c>
      <x:c r="AH39" s="34" t="n">
        <x:f>MAX(0,MIN(AH$8+1,'Fleet'!$O36)-MAX(AH$7,'Fleet'!$G36))</x:f>
        <x:v>0</x:v>
      </x:c>
      <x:c r="AI39" s="34" t="n">
        <x:f>MAX(0,MIN(AI$8+1,'Fleet'!$O36)-MAX(AI$7,'Fleet'!$G36))</x:f>
        <x:v>0</x:v>
      </x:c>
      <x:c r="AJ39" s="34" t="n">
        <x:f>MAX(0,MIN(AJ$8+1,'Fleet'!$O36)-MAX(AJ$7,'Fleet'!$G36))</x:f>
        <x:v>0</x:v>
      </x:c>
      <x:c r="AK39" s="34" t="n">
        <x:f>MAX(0,MIN(AK$8+1,'Fleet'!$O36)-MAX(AK$7,'Fleet'!$G36))</x:f>
        <x:v>0</x:v>
      </x:c>
      <x:c r="AL39" s="34" t="n">
        <x:f>MAX(0,MIN(AL$8+1,'Fleet'!$O36)-MAX(AL$7,'Fleet'!$G36))</x:f>
        <x:v>0</x:v>
      </x:c>
      <x:c r="AM39" s="34" t="n">
        <x:f>MAX(0,MIN(AM$8+1,'Fleet'!$O36)-MAX(AM$7,'Fleet'!$G36))</x:f>
        <x:v>0</x:v>
      </x:c>
      <x:c r="AN39" s="34" t="n">
        <x:f>MAX(0,MIN(AN$8+1,'Fleet'!$O36)-MAX(AN$7,'Fleet'!$G36))</x:f>
        <x:v>0</x:v>
      </x:c>
      <x:c r="AO39" s="34" t="n">
        <x:f>MAX(0,MIN(AO$8+1,'Fleet'!$O36)-MAX(AO$7,'Fleet'!$G36))</x:f>
        <x:v>0</x:v>
      </x:c>
      <x:c r="AP39" s="34" t="n">
        <x:f>MAX(0,MIN(AP$8+1,'Fleet'!$O36)-MAX(AP$7,'Fleet'!$G36))</x:f>
        <x:v>0</x:v>
      </x:c>
      <x:c r="AQ39" s="34" t="n">
        <x:f>MAX(0,MIN(AQ$8+1,'Fleet'!$O36)-MAX(AQ$7,'Fleet'!$G36))</x:f>
        <x:v>0</x:v>
      </x:c>
    </x:row>
    <x:row r="40" ht="21" customHeight="1">
      <x:c r="A40" s="2"/>
      <x:c r="B40" s="2"/>
      <x:c r="C40" s="5" t="str">
        <x:f>'Fleet'!C37</x:f>
        <x:v>Kymopolia</x:v>
      </x:c>
      <x:c r="D40" s="5" t="str">
        <x:f>'Fleet'!D37</x:f>
        <x:v>Capesize</x:v>
      </x:c>
      <x:c r="E40" s="34" t="n">
        <x:f>MAX(0,MIN(E$8+1,'Fleet'!$O37)-MAX(E$7,'Fleet'!$G37))</x:f>
        <x:v>83</x:v>
      </x:c>
      <x:c r="F40" s="34" t="n">
        <x:f>MAX(0,MIN(F$8+1,'Fleet'!$O37)-MAX(F$7,'Fleet'!$G37))</x:f>
        <x:v>90</x:v>
      </x:c>
      <x:c r="G40" s="34" t="n">
        <x:f>MAX(0,MIN(G$8+1,'Fleet'!$O37)-MAX(G$7,'Fleet'!$G37))</x:f>
        <x:v>91</x:v>
      </x:c>
      <x:c r="H40" s="34" t="n">
        <x:f>MAX(0,MIN(H$8+1,'Fleet'!$O37)-MAX(H$7,'Fleet'!$G37))</x:f>
        <x:v>92</x:v>
      </x:c>
      <x:c r="I40" s="34" t="n">
        <x:f>MAX(0,MIN(I$8+1,'Fleet'!$O37)-MAX(I$7,'Fleet'!$G37))</x:f>
        <x:v>92</x:v>
      </x:c>
      <x:c r="J40" s="34" t="n">
        <x:f>MAX(0,MIN(J$8+1,'Fleet'!$O37)-MAX(J$7,'Fleet'!$G37))</x:f>
        <x:v>91</x:v>
      </x:c>
      <x:c r="K40" s="34" t="n">
        <x:f>MAX(0,MIN(K$8+1,'Fleet'!$O37)-MAX(K$7,'Fleet'!$G37))</x:f>
        <x:v>91</x:v>
      </x:c>
      <x:c r="L40" s="34" t="n">
        <x:f>MAX(0,MIN(L$8+1,'Fleet'!$O37)-MAX(L$7,'Fleet'!$G37))</x:f>
        <x:v>92</x:v>
      </x:c>
      <x:c r="M40" s="34" t="n">
        <x:f>MAX(0,MIN(M$8+1,'Fleet'!$O37)-MAX(M$7,'Fleet'!$G37))</x:f>
        <x:v>92</x:v>
      </x:c>
      <x:c r="N40" s="34" t="n">
        <x:f>MAX(0,MIN(N$8+1,'Fleet'!$O37)-MAX(N$7,'Fleet'!$G37))</x:f>
        <x:v>90</x:v>
      </x:c>
      <x:c r="O40" s="34" t="n">
        <x:f>MAX(0,MIN(O$8+1,'Fleet'!$O37)-MAX(O$7,'Fleet'!$G37))</x:f>
        <x:v>91</x:v>
      </x:c>
      <x:c r="P40" s="34" t="n">
        <x:f>MAX(0,MIN(P$8+1,'Fleet'!$O37)-MAX(P$7,'Fleet'!$G37))</x:f>
        <x:v>92</x:v>
      </x:c>
      <x:c r="Q40" s="34" t="n">
        <x:f>MAX(0,MIN(Q$8+1,'Fleet'!$O37)-MAX(Q$7,'Fleet'!$G37))</x:f>
        <x:v>365</x:v>
      </x:c>
      <x:c r="R40" s="34" t="n">
        <x:f>MAX(0,MIN(R$8+1,'Fleet'!$O37)-MAX(R$7,'Fleet'!$G37))</x:f>
        <x:v>273</x:v>
      </x:c>
      <x:c r="S40" s="34" t="n">
        <x:f>MAX(0,MIN(S$8+1,'Fleet'!$O37)-MAX(S$7,'Fleet'!$G37))</x:f>
        <x:v>0</x:v>
      </x:c>
      <x:c r="T40" s="34" t="n">
        <x:f>MAX(0,MIN(T$8+1,'Fleet'!$O37)-MAX(T$7,'Fleet'!$G37))</x:f>
        <x:v>0</x:v>
      </x:c>
      <x:c r="U40" s="34" t="n">
        <x:f>MAX(0,MIN(U$8+1,'Fleet'!$O37)-MAX(U$7,'Fleet'!$G37))</x:f>
        <x:v>0</x:v>
      </x:c>
      <x:c r="V40" s="34" t="n">
        <x:f>MAX(0,MIN(V$8+1,'Fleet'!$O37)-MAX(V$7,'Fleet'!$G37))</x:f>
        <x:v>0</x:v>
      </x:c>
      <x:c r="W40" s="34" t="n">
        <x:f>MAX(0,MIN(W$8+1,'Fleet'!$O37)-MAX(W$7,'Fleet'!$G37))</x:f>
        <x:v>0</x:v>
      </x:c>
      <x:c r="X40" s="34" t="n">
        <x:f>MAX(0,MIN(X$8+1,'Fleet'!$O37)-MAX(X$7,'Fleet'!$G37))</x:f>
        <x:v>0</x:v>
      </x:c>
      <x:c r="Y40" s="34" t="n">
        <x:f>MAX(0,MIN(Y$8+1,'Fleet'!$O37)-MAX(Y$7,'Fleet'!$G37))</x:f>
        <x:v>0</x:v>
      </x:c>
      <x:c r="Z40" s="34" t="n">
        <x:f>MAX(0,MIN(Z$8+1,'Fleet'!$O37)-MAX(Z$7,'Fleet'!$G37))</x:f>
        <x:v>0</x:v>
      </x:c>
      <x:c r="AA40" s="34" t="n">
        <x:f>MAX(0,MIN(AA$8+1,'Fleet'!$O37)-MAX(AA$7,'Fleet'!$G37))</x:f>
        <x:v>0</x:v>
      </x:c>
      <x:c r="AB40" s="34" t="n">
        <x:f>MAX(0,MIN(AB$8+1,'Fleet'!$O37)-MAX(AB$7,'Fleet'!$G37))</x:f>
        <x:v>0</x:v>
      </x:c>
      <x:c r="AC40" s="34" t="n">
        <x:f>MAX(0,MIN(AC$8+1,'Fleet'!$O37)-MAX(AC$7,'Fleet'!$G37))</x:f>
        <x:v>0</x:v>
      </x:c>
      <x:c r="AD40" s="34" t="n">
        <x:f>MAX(0,MIN(AD$8+1,'Fleet'!$O37)-MAX(AD$7,'Fleet'!$G37))</x:f>
        <x:v>0</x:v>
      </x:c>
      <x:c r="AE40" s="34" t="n">
        <x:f>MAX(0,MIN(AE$8+1,'Fleet'!$O37)-MAX(AE$7,'Fleet'!$G37))</x:f>
        <x:v>0</x:v>
      </x:c>
      <x:c r="AF40" s="34" t="n">
        <x:f>MAX(0,MIN(AF$8+1,'Fleet'!$O37)-MAX(AF$7,'Fleet'!$G37))</x:f>
        <x:v>0</x:v>
      </x:c>
      <x:c r="AG40" s="34" t="n">
        <x:f>MAX(0,MIN(AG$8+1,'Fleet'!$O37)-MAX(AG$7,'Fleet'!$G37))</x:f>
        <x:v>0</x:v>
      </x:c>
      <x:c r="AH40" s="34" t="n">
        <x:f>MAX(0,MIN(AH$8+1,'Fleet'!$O37)-MAX(AH$7,'Fleet'!$G37))</x:f>
        <x:v>0</x:v>
      </x:c>
      <x:c r="AI40" s="34" t="n">
        <x:f>MAX(0,MIN(AI$8+1,'Fleet'!$O37)-MAX(AI$7,'Fleet'!$G37))</x:f>
        <x:v>0</x:v>
      </x:c>
      <x:c r="AJ40" s="34" t="n">
        <x:f>MAX(0,MIN(AJ$8+1,'Fleet'!$O37)-MAX(AJ$7,'Fleet'!$G37))</x:f>
        <x:v>0</x:v>
      </x:c>
      <x:c r="AK40" s="34" t="n">
        <x:f>MAX(0,MIN(AK$8+1,'Fleet'!$O37)-MAX(AK$7,'Fleet'!$G37))</x:f>
        <x:v>0</x:v>
      </x:c>
      <x:c r="AL40" s="34" t="n">
        <x:f>MAX(0,MIN(AL$8+1,'Fleet'!$O37)-MAX(AL$7,'Fleet'!$G37))</x:f>
        <x:v>0</x:v>
      </x:c>
      <x:c r="AM40" s="34" t="n">
        <x:f>MAX(0,MIN(AM$8+1,'Fleet'!$O37)-MAX(AM$7,'Fleet'!$G37))</x:f>
        <x:v>0</x:v>
      </x:c>
      <x:c r="AN40" s="34" t="n">
        <x:f>MAX(0,MIN(AN$8+1,'Fleet'!$O37)-MAX(AN$7,'Fleet'!$G37))</x:f>
        <x:v>0</x:v>
      </x:c>
      <x:c r="AO40" s="34" t="n">
        <x:f>MAX(0,MIN(AO$8+1,'Fleet'!$O37)-MAX(AO$7,'Fleet'!$G37))</x:f>
        <x:v>0</x:v>
      </x:c>
      <x:c r="AP40" s="34" t="n">
        <x:f>MAX(0,MIN(AP$8+1,'Fleet'!$O37)-MAX(AP$7,'Fleet'!$G37))</x:f>
        <x:v>0</x:v>
      </x:c>
      <x:c r="AQ40" s="34" t="n">
        <x:f>MAX(0,MIN(AQ$8+1,'Fleet'!$O37)-MAX(AQ$7,'Fleet'!$G37))</x:f>
        <x:v>0</x:v>
      </x:c>
    </x:row>
    <x:row r="41" ht="21" customHeight="1">
      <x:c r="A41" s="2"/>
      <x:c r="B41" s="2"/>
      <x:c r="C41" s="5" t="str">
        <x:f>'Fleet'!C38</x:f>
        <x:v>Amami</x:v>
      </x:c>
      <x:c r="D41" s="5" t="str">
        <x:f>'Fleet'!D38</x:f>
        <x:v>Post Panamax</x:v>
      </x:c>
      <x:c r="E41" s="34" t="n">
        <x:f>MAX(0,MIN(E$8+1,'Fleet'!$O38)-MAX(E$7,'Fleet'!$G38))</x:f>
        <x:v>83</x:v>
      </x:c>
      <x:c r="F41" s="34" t="n">
        <x:f>MAX(0,MIN(F$8+1,'Fleet'!$O38)-MAX(F$7,'Fleet'!$G38))</x:f>
        <x:v>90</x:v>
      </x:c>
      <x:c r="G41" s="34" t="n">
        <x:f>MAX(0,MIN(G$8+1,'Fleet'!$O38)-MAX(G$7,'Fleet'!$G38))</x:f>
        <x:v>91</x:v>
      </x:c>
      <x:c r="H41" s="34" t="n">
        <x:f>MAX(0,MIN(H$8+1,'Fleet'!$O38)-MAX(H$7,'Fleet'!$G38))</x:f>
        <x:v>92</x:v>
      </x:c>
      <x:c r="I41" s="34" t="n">
        <x:f>MAX(0,MIN(I$8+1,'Fleet'!$O38)-MAX(I$7,'Fleet'!$G38))</x:f>
        <x:v>92</x:v>
      </x:c>
      <x:c r="J41" s="34" t="n">
        <x:f>MAX(0,MIN(J$8+1,'Fleet'!$O38)-MAX(J$7,'Fleet'!$G38))</x:f>
        <x:v>91</x:v>
      </x:c>
      <x:c r="K41" s="34" t="n">
        <x:f>MAX(0,MIN(K$8+1,'Fleet'!$O38)-MAX(K$7,'Fleet'!$G38))</x:f>
        <x:v>91</x:v>
      </x:c>
      <x:c r="L41" s="34" t="n">
        <x:f>MAX(0,MIN(L$8+1,'Fleet'!$O38)-MAX(L$7,'Fleet'!$G38))</x:f>
        <x:v>92</x:v>
      </x:c>
      <x:c r="M41" s="34" t="n">
        <x:f>MAX(0,MIN(M$8+1,'Fleet'!$O38)-MAX(M$7,'Fleet'!$G38))</x:f>
        <x:v>92</x:v>
      </x:c>
      <x:c r="N41" s="34" t="n">
        <x:f>MAX(0,MIN(N$8+1,'Fleet'!$O38)-MAX(N$7,'Fleet'!$G38))</x:f>
        <x:v>90</x:v>
      </x:c>
      <x:c r="O41" s="34" t="n">
        <x:f>MAX(0,MIN(O$8+1,'Fleet'!$O38)-MAX(O$7,'Fleet'!$G38))</x:f>
        <x:v>91</x:v>
      </x:c>
      <x:c r="P41" s="34" t="n">
        <x:f>MAX(0,MIN(P$8+1,'Fleet'!$O38)-MAX(P$7,'Fleet'!$G38))</x:f>
        <x:v>92</x:v>
      </x:c>
      <x:c r="Q41" s="34" t="n">
        <x:f>MAX(0,MIN(Q$8+1,'Fleet'!$O38)-MAX(Q$7,'Fleet'!$G38))</x:f>
        <x:v>365</x:v>
      </x:c>
      <x:c r="R41" s="34" t="n">
        <x:f>MAX(0,MIN(R$8+1,'Fleet'!$O38)-MAX(R$7,'Fleet'!$G38))</x:f>
        <x:v>365</x:v>
      </x:c>
      <x:c r="S41" s="34" t="n">
        <x:f>MAX(0,MIN(S$8+1,'Fleet'!$O38)-MAX(S$7,'Fleet'!$G38))</x:f>
        <x:v>366</x:v>
      </x:c>
      <x:c r="T41" s="34" t="n">
        <x:f>MAX(0,MIN(T$8+1,'Fleet'!$O38)-MAX(T$7,'Fleet'!$G38))</x:f>
        <x:v>365</x:v>
      </x:c>
      <x:c r="U41" s="34" t="n">
        <x:f>MAX(0,MIN(U$8+1,'Fleet'!$O38)-MAX(U$7,'Fleet'!$G38))</x:f>
        <x:v>365</x:v>
      </x:c>
      <x:c r="V41" s="34" t="n">
        <x:f>MAX(0,MIN(V$8+1,'Fleet'!$O38)-MAX(V$7,'Fleet'!$G38))</x:f>
        <x:v>365</x:v>
      </x:c>
      <x:c r="W41" s="34" t="n">
        <x:f>MAX(0,MIN(W$8+1,'Fleet'!$O38)-MAX(W$7,'Fleet'!$G38))</x:f>
        <x:v>274</x:v>
      </x:c>
      <x:c r="X41" s="34" t="n">
        <x:f>MAX(0,MIN(X$8+1,'Fleet'!$O38)-MAX(X$7,'Fleet'!$G38))</x:f>
        <x:v>0</x:v>
      </x:c>
      <x:c r="Y41" s="34" t="n">
        <x:f>MAX(0,MIN(Y$8+1,'Fleet'!$O38)-MAX(Y$7,'Fleet'!$G38))</x:f>
        <x:v>0</x:v>
      </x:c>
      <x:c r="Z41" s="34" t="n">
        <x:f>MAX(0,MIN(Z$8+1,'Fleet'!$O38)-MAX(Z$7,'Fleet'!$G38))</x:f>
        <x:v>0</x:v>
      </x:c>
      <x:c r="AA41" s="34" t="n">
        <x:f>MAX(0,MIN(AA$8+1,'Fleet'!$O38)-MAX(AA$7,'Fleet'!$G38))</x:f>
        <x:v>0</x:v>
      </x:c>
      <x:c r="AB41" s="34" t="n">
        <x:f>MAX(0,MIN(AB$8+1,'Fleet'!$O38)-MAX(AB$7,'Fleet'!$G38))</x:f>
        <x:v>0</x:v>
      </x:c>
      <x:c r="AC41" s="34" t="n">
        <x:f>MAX(0,MIN(AC$8+1,'Fleet'!$O38)-MAX(AC$7,'Fleet'!$G38))</x:f>
        <x:v>0</x:v>
      </x:c>
      <x:c r="AD41" s="34" t="n">
        <x:f>MAX(0,MIN(AD$8+1,'Fleet'!$O38)-MAX(AD$7,'Fleet'!$G38))</x:f>
        <x:v>0</x:v>
      </x:c>
      <x:c r="AE41" s="34" t="n">
        <x:f>MAX(0,MIN(AE$8+1,'Fleet'!$O38)-MAX(AE$7,'Fleet'!$G38))</x:f>
        <x:v>0</x:v>
      </x:c>
      <x:c r="AF41" s="34" t="n">
        <x:f>MAX(0,MIN(AF$8+1,'Fleet'!$O38)-MAX(AF$7,'Fleet'!$G38))</x:f>
        <x:v>0</x:v>
      </x:c>
      <x:c r="AG41" s="34" t="n">
        <x:f>MAX(0,MIN(AG$8+1,'Fleet'!$O38)-MAX(AG$7,'Fleet'!$G38))</x:f>
        <x:v>0</x:v>
      </x:c>
      <x:c r="AH41" s="34" t="n">
        <x:f>MAX(0,MIN(AH$8+1,'Fleet'!$O38)-MAX(AH$7,'Fleet'!$G38))</x:f>
        <x:v>0</x:v>
      </x:c>
      <x:c r="AI41" s="34" t="n">
        <x:f>MAX(0,MIN(AI$8+1,'Fleet'!$O38)-MAX(AI$7,'Fleet'!$G38))</x:f>
        <x:v>0</x:v>
      </x:c>
      <x:c r="AJ41" s="34" t="n">
        <x:f>MAX(0,MIN(AJ$8+1,'Fleet'!$O38)-MAX(AJ$7,'Fleet'!$G38))</x:f>
        <x:v>0</x:v>
      </x:c>
      <x:c r="AK41" s="34" t="n">
        <x:f>MAX(0,MIN(AK$8+1,'Fleet'!$O38)-MAX(AK$7,'Fleet'!$G38))</x:f>
        <x:v>0</x:v>
      </x:c>
      <x:c r="AL41" s="34" t="n">
        <x:f>MAX(0,MIN(AL$8+1,'Fleet'!$O38)-MAX(AL$7,'Fleet'!$G38))</x:f>
        <x:v>0</x:v>
      </x:c>
      <x:c r="AM41" s="34" t="n">
        <x:f>MAX(0,MIN(AM$8+1,'Fleet'!$O38)-MAX(AM$7,'Fleet'!$G38))</x:f>
        <x:v>0</x:v>
      </x:c>
      <x:c r="AN41" s="34" t="n">
        <x:f>MAX(0,MIN(AN$8+1,'Fleet'!$O38)-MAX(AN$7,'Fleet'!$G38))</x:f>
        <x:v>0</x:v>
      </x:c>
      <x:c r="AO41" s="34" t="n">
        <x:f>MAX(0,MIN(AO$8+1,'Fleet'!$O38)-MAX(AO$7,'Fleet'!$G38))</x:f>
        <x:v>0</x:v>
      </x:c>
      <x:c r="AP41" s="34" t="n">
        <x:f>MAX(0,MIN(AP$8+1,'Fleet'!$O38)-MAX(AP$7,'Fleet'!$G38))</x:f>
        <x:v>0</x:v>
      </x:c>
      <x:c r="AQ41" s="34" t="n">
        <x:f>MAX(0,MIN(AQ$8+1,'Fleet'!$O38)-MAX(AQ$7,'Fleet'!$G38))</x:f>
        <x:v>0</x:v>
      </x:c>
    </x:row>
    <x:row r="42" ht="21" customHeight="1">
      <x:c r="A42" s="2"/>
      <x:c r="B42" s="2"/>
      <x:c r="C42" s="5" t="str">
        <x:f>'Fleet'!C39</x:f>
        <x:v>Madredeus</x:v>
      </x:c>
      <x:c r="D42" s="5" t="str">
        <x:f>'Fleet'!D39</x:f>
        <x:v>Post Panamax</x:v>
      </x:c>
      <x:c r="E42" s="34" t="n">
        <x:f>MAX(0,MIN(E$8+1,'Fleet'!$O39)-MAX(E$7,'Fleet'!$G39))</x:f>
        <x:v>83</x:v>
      </x:c>
      <x:c r="F42" s="34" t="n">
        <x:f>MAX(0,MIN(F$8+1,'Fleet'!$O39)-MAX(F$7,'Fleet'!$G39))</x:f>
        <x:v>90</x:v>
      </x:c>
      <x:c r="G42" s="34" t="n">
        <x:f>MAX(0,MIN(G$8+1,'Fleet'!$O39)-MAX(G$7,'Fleet'!$G39))</x:f>
        <x:v>91</x:v>
      </x:c>
      <x:c r="H42" s="34" t="n">
        <x:f>MAX(0,MIN(H$8+1,'Fleet'!$O39)-MAX(H$7,'Fleet'!$G39))</x:f>
        <x:v>92</x:v>
      </x:c>
      <x:c r="I42" s="34" t="n">
        <x:f>MAX(0,MIN(I$8+1,'Fleet'!$O39)-MAX(I$7,'Fleet'!$G39))</x:f>
        <x:v>92</x:v>
      </x:c>
      <x:c r="J42" s="34" t="n">
        <x:f>MAX(0,MIN(J$8+1,'Fleet'!$O39)-MAX(J$7,'Fleet'!$G39))</x:f>
        <x:v>91</x:v>
      </x:c>
      <x:c r="K42" s="34" t="n">
        <x:f>MAX(0,MIN(K$8+1,'Fleet'!$O39)-MAX(K$7,'Fleet'!$G39))</x:f>
        <x:v>91</x:v>
      </x:c>
      <x:c r="L42" s="34" t="n">
        <x:f>MAX(0,MIN(L$8+1,'Fleet'!$O39)-MAX(L$7,'Fleet'!$G39))</x:f>
        <x:v>92</x:v>
      </x:c>
      <x:c r="M42" s="34" t="n">
        <x:f>MAX(0,MIN(M$8+1,'Fleet'!$O39)-MAX(M$7,'Fleet'!$G39))</x:f>
        <x:v>92</x:v>
      </x:c>
      <x:c r="N42" s="34" t="n">
        <x:f>MAX(0,MIN(N$8+1,'Fleet'!$O39)-MAX(N$7,'Fleet'!$G39))</x:f>
        <x:v>90</x:v>
      </x:c>
      <x:c r="O42" s="34" t="n">
        <x:f>MAX(0,MIN(O$8+1,'Fleet'!$O39)-MAX(O$7,'Fleet'!$G39))</x:f>
        <x:v>91</x:v>
      </x:c>
      <x:c r="P42" s="34" t="n">
        <x:f>MAX(0,MIN(P$8+1,'Fleet'!$O39)-MAX(P$7,'Fleet'!$G39))</x:f>
        <x:v>92</x:v>
      </x:c>
      <x:c r="Q42" s="34" t="n">
        <x:f>MAX(0,MIN(Q$8+1,'Fleet'!$O39)-MAX(Q$7,'Fleet'!$G39))</x:f>
        <x:v>365</x:v>
      </x:c>
      <x:c r="R42" s="34" t="n">
        <x:f>MAX(0,MIN(R$8+1,'Fleet'!$O39)-MAX(R$7,'Fleet'!$G39))</x:f>
        <x:v>365</x:v>
      </x:c>
      <x:c r="S42" s="34" t="n">
        <x:f>MAX(0,MIN(S$8+1,'Fleet'!$O39)-MAX(S$7,'Fleet'!$G39))</x:f>
        <x:v>366</x:v>
      </x:c>
      <x:c r="T42" s="34" t="n">
        <x:f>MAX(0,MIN(T$8+1,'Fleet'!$O39)-MAX(T$7,'Fleet'!$G39))</x:f>
        <x:v>365</x:v>
      </x:c>
      <x:c r="U42" s="34" t="n">
        <x:f>MAX(0,MIN(U$8+1,'Fleet'!$O39)-MAX(U$7,'Fleet'!$G39))</x:f>
        <x:v>365</x:v>
      </x:c>
      <x:c r="V42" s="34" t="n">
        <x:f>MAX(0,MIN(V$8+1,'Fleet'!$O39)-MAX(V$7,'Fleet'!$G39))</x:f>
        <x:v>365</x:v>
      </x:c>
      <x:c r="W42" s="34" t="n">
        <x:f>MAX(0,MIN(W$8+1,'Fleet'!$O39)-MAX(W$7,'Fleet'!$G39))</x:f>
        <x:v>274</x:v>
      </x:c>
      <x:c r="X42" s="34" t="n">
        <x:f>MAX(0,MIN(X$8+1,'Fleet'!$O39)-MAX(X$7,'Fleet'!$G39))</x:f>
        <x:v>0</x:v>
      </x:c>
      <x:c r="Y42" s="34" t="n">
        <x:f>MAX(0,MIN(Y$8+1,'Fleet'!$O39)-MAX(Y$7,'Fleet'!$G39))</x:f>
        <x:v>0</x:v>
      </x:c>
      <x:c r="Z42" s="34" t="n">
        <x:f>MAX(0,MIN(Z$8+1,'Fleet'!$O39)-MAX(Z$7,'Fleet'!$G39))</x:f>
        <x:v>0</x:v>
      </x:c>
      <x:c r="AA42" s="34" t="n">
        <x:f>MAX(0,MIN(AA$8+1,'Fleet'!$O39)-MAX(AA$7,'Fleet'!$G39))</x:f>
        <x:v>0</x:v>
      </x:c>
      <x:c r="AB42" s="34" t="n">
        <x:f>MAX(0,MIN(AB$8+1,'Fleet'!$O39)-MAX(AB$7,'Fleet'!$G39))</x:f>
        <x:v>0</x:v>
      </x:c>
      <x:c r="AC42" s="34" t="n">
        <x:f>MAX(0,MIN(AC$8+1,'Fleet'!$O39)-MAX(AC$7,'Fleet'!$G39))</x:f>
        <x:v>0</x:v>
      </x:c>
      <x:c r="AD42" s="34" t="n">
        <x:f>MAX(0,MIN(AD$8+1,'Fleet'!$O39)-MAX(AD$7,'Fleet'!$G39))</x:f>
        <x:v>0</x:v>
      </x:c>
      <x:c r="AE42" s="34" t="n">
        <x:f>MAX(0,MIN(AE$8+1,'Fleet'!$O39)-MAX(AE$7,'Fleet'!$G39))</x:f>
        <x:v>0</x:v>
      </x:c>
      <x:c r="AF42" s="34" t="n">
        <x:f>MAX(0,MIN(AF$8+1,'Fleet'!$O39)-MAX(AF$7,'Fleet'!$G39))</x:f>
        <x:v>0</x:v>
      </x:c>
      <x:c r="AG42" s="34" t="n">
        <x:f>MAX(0,MIN(AG$8+1,'Fleet'!$O39)-MAX(AG$7,'Fleet'!$G39))</x:f>
        <x:v>0</x:v>
      </x:c>
      <x:c r="AH42" s="34" t="n">
        <x:f>MAX(0,MIN(AH$8+1,'Fleet'!$O39)-MAX(AH$7,'Fleet'!$G39))</x:f>
        <x:v>0</x:v>
      </x:c>
      <x:c r="AI42" s="34" t="n">
        <x:f>MAX(0,MIN(AI$8+1,'Fleet'!$O39)-MAX(AI$7,'Fleet'!$G39))</x:f>
        <x:v>0</x:v>
      </x:c>
      <x:c r="AJ42" s="34" t="n">
        <x:f>MAX(0,MIN(AJ$8+1,'Fleet'!$O39)-MAX(AJ$7,'Fleet'!$G39))</x:f>
        <x:v>0</x:v>
      </x:c>
      <x:c r="AK42" s="34" t="n">
        <x:f>MAX(0,MIN(AK$8+1,'Fleet'!$O39)-MAX(AK$7,'Fleet'!$G39))</x:f>
        <x:v>0</x:v>
      </x:c>
      <x:c r="AL42" s="34" t="n">
        <x:f>MAX(0,MIN(AL$8+1,'Fleet'!$O39)-MAX(AL$7,'Fleet'!$G39))</x:f>
        <x:v>0</x:v>
      </x:c>
      <x:c r="AM42" s="34" t="n">
        <x:f>MAX(0,MIN(AM$8+1,'Fleet'!$O39)-MAX(AM$7,'Fleet'!$G39))</x:f>
        <x:v>0</x:v>
      </x:c>
      <x:c r="AN42" s="34" t="n">
        <x:f>MAX(0,MIN(AN$8+1,'Fleet'!$O39)-MAX(AN$7,'Fleet'!$G39))</x:f>
        <x:v>0</x:v>
      </x:c>
      <x:c r="AO42" s="34" t="n">
        <x:f>MAX(0,MIN(AO$8+1,'Fleet'!$O39)-MAX(AO$7,'Fleet'!$G39))</x:f>
        <x:v>0</x:v>
      </x:c>
      <x:c r="AP42" s="34" t="n">
        <x:f>MAX(0,MIN(AP$8+1,'Fleet'!$O39)-MAX(AP$7,'Fleet'!$G39))</x:f>
        <x:v>0</x:v>
      </x:c>
      <x:c r="AQ42" s="34" t="n">
        <x:f>MAX(0,MIN(AQ$8+1,'Fleet'!$O39)-MAX(AQ$7,'Fleet'!$G39))</x:f>
        <x:v>0</x:v>
      </x:c>
    </x:row>
    <x:row r="43" ht="21" customHeight="1">
      <x:c r="A43" s="2"/>
      <x:c r="B43" s="2"/>
      <x:c r="C43" s="5" t="str">
        <x:f>'Fleet'!C40</x:f>
        <x:v>Star Sirius</x:v>
      </x:c>
      <x:c r="D43" s="5" t="str">
        <x:f>'Fleet'!D40</x:f>
        <x:v>Post Panamax</x:v>
      </x:c>
      <x:c r="E43" s="34" t="n">
        <x:f>MAX(0,MIN(E$8+1,'Fleet'!$O40)-MAX(E$7,'Fleet'!$G40))</x:f>
        <x:v>83</x:v>
      </x:c>
      <x:c r="F43" s="34" t="n">
        <x:f>MAX(0,MIN(F$8+1,'Fleet'!$O40)-MAX(F$7,'Fleet'!$G40))</x:f>
        <x:v>90</x:v>
      </x:c>
      <x:c r="G43" s="34" t="n">
        <x:f>MAX(0,MIN(G$8+1,'Fleet'!$O40)-MAX(G$7,'Fleet'!$G40))</x:f>
        <x:v>91</x:v>
      </x:c>
      <x:c r="H43" s="34" t="n">
        <x:f>MAX(0,MIN(H$8+1,'Fleet'!$O40)-MAX(H$7,'Fleet'!$G40))</x:f>
        <x:v>92</x:v>
      </x:c>
      <x:c r="I43" s="34" t="n">
        <x:f>MAX(0,MIN(I$8+1,'Fleet'!$O40)-MAX(I$7,'Fleet'!$G40))</x:f>
        <x:v>92</x:v>
      </x:c>
      <x:c r="J43" s="34" t="n">
        <x:f>MAX(0,MIN(J$8+1,'Fleet'!$O40)-MAX(J$7,'Fleet'!$G40))</x:f>
        <x:v>91</x:v>
      </x:c>
      <x:c r="K43" s="34" t="n">
        <x:f>MAX(0,MIN(K$8+1,'Fleet'!$O40)-MAX(K$7,'Fleet'!$G40))</x:f>
        <x:v>91</x:v>
      </x:c>
      <x:c r="L43" s="34" t="n">
        <x:f>MAX(0,MIN(L$8+1,'Fleet'!$O40)-MAX(L$7,'Fleet'!$G40))</x:f>
        <x:v>92</x:v>
      </x:c>
      <x:c r="M43" s="34" t="n">
        <x:f>MAX(0,MIN(M$8+1,'Fleet'!$O40)-MAX(M$7,'Fleet'!$G40))</x:f>
        <x:v>92</x:v>
      </x:c>
      <x:c r="N43" s="34" t="n">
        <x:f>MAX(0,MIN(N$8+1,'Fleet'!$O40)-MAX(N$7,'Fleet'!$G40))</x:f>
        <x:v>90</x:v>
      </x:c>
      <x:c r="O43" s="34" t="n">
        <x:f>MAX(0,MIN(O$8+1,'Fleet'!$O40)-MAX(O$7,'Fleet'!$G40))</x:f>
        <x:v>91</x:v>
      </x:c>
      <x:c r="P43" s="34" t="n">
        <x:f>MAX(0,MIN(P$8+1,'Fleet'!$O40)-MAX(P$7,'Fleet'!$G40))</x:f>
        <x:v>92</x:v>
      </x:c>
      <x:c r="Q43" s="34" t="n">
        <x:f>MAX(0,MIN(Q$8+1,'Fleet'!$O40)-MAX(Q$7,'Fleet'!$G40))</x:f>
        <x:v>365</x:v>
      </x:c>
      <x:c r="R43" s="34" t="n">
        <x:f>MAX(0,MIN(R$8+1,'Fleet'!$O40)-MAX(R$7,'Fleet'!$G40))</x:f>
        <x:v>365</x:v>
      </x:c>
      <x:c r="S43" s="34" t="n">
        <x:f>MAX(0,MIN(S$8+1,'Fleet'!$O40)-MAX(S$7,'Fleet'!$G40))</x:f>
        <x:v>366</x:v>
      </x:c>
      <x:c r="T43" s="34" t="n">
        <x:f>MAX(0,MIN(T$8+1,'Fleet'!$O40)-MAX(T$7,'Fleet'!$G40))</x:f>
        <x:v>365</x:v>
      </x:c>
      <x:c r="U43" s="34" t="n">
        <x:f>MAX(0,MIN(U$8+1,'Fleet'!$O40)-MAX(U$7,'Fleet'!$G40))</x:f>
        <x:v>365</x:v>
      </x:c>
      <x:c r="V43" s="34" t="n">
        <x:f>MAX(0,MIN(V$8+1,'Fleet'!$O40)-MAX(V$7,'Fleet'!$G40))</x:f>
        <x:v>365</x:v>
      </x:c>
      <x:c r="W43" s="34" t="n">
        <x:f>MAX(0,MIN(W$8+1,'Fleet'!$O40)-MAX(W$7,'Fleet'!$G40))</x:f>
        <x:v>274</x:v>
      </x:c>
      <x:c r="X43" s="34" t="n">
        <x:f>MAX(0,MIN(X$8+1,'Fleet'!$O40)-MAX(X$7,'Fleet'!$G40))</x:f>
        <x:v>0</x:v>
      </x:c>
      <x:c r="Y43" s="34" t="n">
        <x:f>MAX(0,MIN(Y$8+1,'Fleet'!$O40)-MAX(Y$7,'Fleet'!$G40))</x:f>
        <x:v>0</x:v>
      </x:c>
      <x:c r="Z43" s="34" t="n">
        <x:f>MAX(0,MIN(Z$8+1,'Fleet'!$O40)-MAX(Z$7,'Fleet'!$G40))</x:f>
        <x:v>0</x:v>
      </x:c>
      <x:c r="AA43" s="34" t="n">
        <x:f>MAX(0,MIN(AA$8+1,'Fleet'!$O40)-MAX(AA$7,'Fleet'!$G40))</x:f>
        <x:v>0</x:v>
      </x:c>
      <x:c r="AB43" s="34" t="n">
        <x:f>MAX(0,MIN(AB$8+1,'Fleet'!$O40)-MAX(AB$7,'Fleet'!$G40))</x:f>
        <x:v>0</x:v>
      </x:c>
      <x:c r="AC43" s="34" t="n">
        <x:f>MAX(0,MIN(AC$8+1,'Fleet'!$O40)-MAX(AC$7,'Fleet'!$G40))</x:f>
        <x:v>0</x:v>
      </x:c>
      <x:c r="AD43" s="34" t="n">
        <x:f>MAX(0,MIN(AD$8+1,'Fleet'!$O40)-MAX(AD$7,'Fleet'!$G40))</x:f>
        <x:v>0</x:v>
      </x:c>
      <x:c r="AE43" s="34" t="n">
        <x:f>MAX(0,MIN(AE$8+1,'Fleet'!$O40)-MAX(AE$7,'Fleet'!$G40))</x:f>
        <x:v>0</x:v>
      </x:c>
      <x:c r="AF43" s="34" t="n">
        <x:f>MAX(0,MIN(AF$8+1,'Fleet'!$O40)-MAX(AF$7,'Fleet'!$G40))</x:f>
        <x:v>0</x:v>
      </x:c>
      <x:c r="AG43" s="34" t="n">
        <x:f>MAX(0,MIN(AG$8+1,'Fleet'!$O40)-MAX(AG$7,'Fleet'!$G40))</x:f>
        <x:v>0</x:v>
      </x:c>
      <x:c r="AH43" s="34" t="n">
        <x:f>MAX(0,MIN(AH$8+1,'Fleet'!$O40)-MAX(AH$7,'Fleet'!$G40))</x:f>
        <x:v>0</x:v>
      </x:c>
      <x:c r="AI43" s="34" t="n">
        <x:f>MAX(0,MIN(AI$8+1,'Fleet'!$O40)-MAX(AI$7,'Fleet'!$G40))</x:f>
        <x:v>0</x:v>
      </x:c>
      <x:c r="AJ43" s="34" t="n">
        <x:f>MAX(0,MIN(AJ$8+1,'Fleet'!$O40)-MAX(AJ$7,'Fleet'!$G40))</x:f>
        <x:v>0</x:v>
      </x:c>
      <x:c r="AK43" s="34" t="n">
        <x:f>MAX(0,MIN(AK$8+1,'Fleet'!$O40)-MAX(AK$7,'Fleet'!$G40))</x:f>
        <x:v>0</x:v>
      </x:c>
      <x:c r="AL43" s="34" t="n">
        <x:f>MAX(0,MIN(AL$8+1,'Fleet'!$O40)-MAX(AL$7,'Fleet'!$G40))</x:f>
        <x:v>0</x:v>
      </x:c>
      <x:c r="AM43" s="34" t="n">
        <x:f>MAX(0,MIN(AM$8+1,'Fleet'!$O40)-MAX(AM$7,'Fleet'!$G40))</x:f>
        <x:v>0</x:v>
      </x:c>
      <x:c r="AN43" s="34" t="n">
        <x:f>MAX(0,MIN(AN$8+1,'Fleet'!$O40)-MAX(AN$7,'Fleet'!$G40))</x:f>
        <x:v>0</x:v>
      </x:c>
      <x:c r="AO43" s="34" t="n">
        <x:f>MAX(0,MIN(AO$8+1,'Fleet'!$O40)-MAX(AO$7,'Fleet'!$G40))</x:f>
        <x:v>0</x:v>
      </x:c>
      <x:c r="AP43" s="34" t="n">
        <x:f>MAX(0,MIN(AP$8+1,'Fleet'!$O40)-MAX(AP$7,'Fleet'!$G40))</x:f>
        <x:v>0</x:v>
      </x:c>
      <x:c r="AQ43" s="34" t="n">
        <x:f>MAX(0,MIN(AQ$8+1,'Fleet'!$O40)-MAX(AQ$7,'Fleet'!$G40))</x:f>
        <x:v>0</x:v>
      </x:c>
    </x:row>
    <x:row r="44" ht="21" customHeight="1">
      <x:c r="A44" s="2"/>
      <x:c r="B44" s="2"/>
      <x:c r="C44" s="5" t="str">
        <x:f>'Fleet'!C41</x:f>
        <x:v>Star Vega</x:v>
      </x:c>
      <x:c r="D44" s="5" t="str">
        <x:f>'Fleet'!D41</x:f>
        <x:v>Post Panamax</x:v>
      </x:c>
      <x:c r="E44" s="34" t="n">
        <x:f>MAX(0,MIN(E$8+1,'Fleet'!$O41)-MAX(E$7,'Fleet'!$G41))</x:f>
        <x:v>83</x:v>
      </x:c>
      <x:c r="F44" s="34" t="n">
        <x:f>MAX(0,MIN(F$8+1,'Fleet'!$O41)-MAX(F$7,'Fleet'!$G41))</x:f>
        <x:v>90</x:v>
      </x:c>
      <x:c r="G44" s="34" t="n">
        <x:f>MAX(0,MIN(G$8+1,'Fleet'!$O41)-MAX(G$7,'Fleet'!$G41))</x:f>
        <x:v>91</x:v>
      </x:c>
      <x:c r="H44" s="34" t="n">
        <x:f>MAX(0,MIN(H$8+1,'Fleet'!$O41)-MAX(H$7,'Fleet'!$G41))</x:f>
        <x:v>92</x:v>
      </x:c>
      <x:c r="I44" s="34" t="n">
        <x:f>MAX(0,MIN(I$8+1,'Fleet'!$O41)-MAX(I$7,'Fleet'!$G41))</x:f>
        <x:v>92</x:v>
      </x:c>
      <x:c r="J44" s="34" t="n">
        <x:f>MAX(0,MIN(J$8+1,'Fleet'!$O41)-MAX(J$7,'Fleet'!$G41))</x:f>
        <x:v>91</x:v>
      </x:c>
      <x:c r="K44" s="34" t="n">
        <x:f>MAX(0,MIN(K$8+1,'Fleet'!$O41)-MAX(K$7,'Fleet'!$G41))</x:f>
        <x:v>91</x:v>
      </x:c>
      <x:c r="L44" s="34" t="n">
        <x:f>MAX(0,MIN(L$8+1,'Fleet'!$O41)-MAX(L$7,'Fleet'!$G41))</x:f>
        <x:v>92</x:v>
      </x:c>
      <x:c r="M44" s="34" t="n">
        <x:f>MAX(0,MIN(M$8+1,'Fleet'!$O41)-MAX(M$7,'Fleet'!$G41))</x:f>
        <x:v>92</x:v>
      </x:c>
      <x:c r="N44" s="34" t="n">
        <x:f>MAX(0,MIN(N$8+1,'Fleet'!$O41)-MAX(N$7,'Fleet'!$G41))</x:f>
        <x:v>90</x:v>
      </x:c>
      <x:c r="O44" s="34" t="n">
        <x:f>MAX(0,MIN(O$8+1,'Fleet'!$O41)-MAX(O$7,'Fleet'!$G41))</x:f>
        <x:v>91</x:v>
      </x:c>
      <x:c r="P44" s="34" t="n">
        <x:f>MAX(0,MIN(P$8+1,'Fleet'!$O41)-MAX(P$7,'Fleet'!$G41))</x:f>
        <x:v>92</x:v>
      </x:c>
      <x:c r="Q44" s="34" t="n">
        <x:f>MAX(0,MIN(Q$8+1,'Fleet'!$O41)-MAX(Q$7,'Fleet'!$G41))</x:f>
        <x:v>365</x:v>
      </x:c>
      <x:c r="R44" s="34" t="n">
        <x:f>MAX(0,MIN(R$8+1,'Fleet'!$O41)-MAX(R$7,'Fleet'!$G41))</x:f>
        <x:v>365</x:v>
      </x:c>
      <x:c r="S44" s="34" t="n">
        <x:f>MAX(0,MIN(S$8+1,'Fleet'!$O41)-MAX(S$7,'Fleet'!$G41))</x:f>
        <x:v>366</x:v>
      </x:c>
      <x:c r="T44" s="34" t="n">
        <x:f>MAX(0,MIN(T$8+1,'Fleet'!$O41)-MAX(T$7,'Fleet'!$G41))</x:f>
        <x:v>365</x:v>
      </x:c>
      <x:c r="U44" s="34" t="n">
        <x:f>MAX(0,MIN(U$8+1,'Fleet'!$O41)-MAX(U$7,'Fleet'!$G41))</x:f>
        <x:v>365</x:v>
      </x:c>
      <x:c r="V44" s="34" t="n">
        <x:f>MAX(0,MIN(V$8+1,'Fleet'!$O41)-MAX(V$7,'Fleet'!$G41))</x:f>
        <x:v>365</x:v>
      </x:c>
      <x:c r="W44" s="34" t="n">
        <x:f>MAX(0,MIN(W$8+1,'Fleet'!$O41)-MAX(W$7,'Fleet'!$G41))</x:f>
        <x:v>274</x:v>
      </x:c>
      <x:c r="X44" s="34" t="n">
        <x:f>MAX(0,MIN(X$8+1,'Fleet'!$O41)-MAX(X$7,'Fleet'!$G41))</x:f>
        <x:v>0</x:v>
      </x:c>
      <x:c r="Y44" s="34" t="n">
        <x:f>MAX(0,MIN(Y$8+1,'Fleet'!$O41)-MAX(Y$7,'Fleet'!$G41))</x:f>
        <x:v>0</x:v>
      </x:c>
      <x:c r="Z44" s="34" t="n">
        <x:f>MAX(0,MIN(Z$8+1,'Fleet'!$O41)-MAX(Z$7,'Fleet'!$G41))</x:f>
        <x:v>0</x:v>
      </x:c>
      <x:c r="AA44" s="34" t="n">
        <x:f>MAX(0,MIN(AA$8+1,'Fleet'!$O41)-MAX(AA$7,'Fleet'!$G41))</x:f>
        <x:v>0</x:v>
      </x:c>
      <x:c r="AB44" s="34" t="n">
        <x:f>MAX(0,MIN(AB$8+1,'Fleet'!$O41)-MAX(AB$7,'Fleet'!$G41))</x:f>
        <x:v>0</x:v>
      </x:c>
      <x:c r="AC44" s="34" t="n">
        <x:f>MAX(0,MIN(AC$8+1,'Fleet'!$O41)-MAX(AC$7,'Fleet'!$G41))</x:f>
        <x:v>0</x:v>
      </x:c>
      <x:c r="AD44" s="34" t="n">
        <x:f>MAX(0,MIN(AD$8+1,'Fleet'!$O41)-MAX(AD$7,'Fleet'!$G41))</x:f>
        <x:v>0</x:v>
      </x:c>
      <x:c r="AE44" s="34" t="n">
        <x:f>MAX(0,MIN(AE$8+1,'Fleet'!$O41)-MAX(AE$7,'Fleet'!$G41))</x:f>
        <x:v>0</x:v>
      </x:c>
      <x:c r="AF44" s="34" t="n">
        <x:f>MAX(0,MIN(AF$8+1,'Fleet'!$O41)-MAX(AF$7,'Fleet'!$G41))</x:f>
        <x:v>0</x:v>
      </x:c>
      <x:c r="AG44" s="34" t="n">
        <x:f>MAX(0,MIN(AG$8+1,'Fleet'!$O41)-MAX(AG$7,'Fleet'!$G41))</x:f>
        <x:v>0</x:v>
      </x:c>
      <x:c r="AH44" s="34" t="n">
        <x:f>MAX(0,MIN(AH$8+1,'Fleet'!$O41)-MAX(AH$7,'Fleet'!$G41))</x:f>
        <x:v>0</x:v>
      </x:c>
      <x:c r="AI44" s="34" t="n">
        <x:f>MAX(0,MIN(AI$8+1,'Fleet'!$O41)-MAX(AI$7,'Fleet'!$G41))</x:f>
        <x:v>0</x:v>
      </x:c>
      <x:c r="AJ44" s="34" t="n">
        <x:f>MAX(0,MIN(AJ$8+1,'Fleet'!$O41)-MAX(AJ$7,'Fleet'!$G41))</x:f>
        <x:v>0</x:v>
      </x:c>
      <x:c r="AK44" s="34" t="n">
        <x:f>MAX(0,MIN(AK$8+1,'Fleet'!$O41)-MAX(AK$7,'Fleet'!$G41))</x:f>
        <x:v>0</x:v>
      </x:c>
      <x:c r="AL44" s="34" t="n">
        <x:f>MAX(0,MIN(AL$8+1,'Fleet'!$O41)-MAX(AL$7,'Fleet'!$G41))</x:f>
        <x:v>0</x:v>
      </x:c>
      <x:c r="AM44" s="34" t="n">
        <x:f>MAX(0,MIN(AM$8+1,'Fleet'!$O41)-MAX(AM$7,'Fleet'!$G41))</x:f>
        <x:v>0</x:v>
      </x:c>
      <x:c r="AN44" s="34" t="n">
        <x:f>MAX(0,MIN(AN$8+1,'Fleet'!$O41)-MAX(AN$7,'Fleet'!$G41))</x:f>
        <x:v>0</x:v>
      </x:c>
      <x:c r="AO44" s="34" t="n">
        <x:f>MAX(0,MIN(AO$8+1,'Fleet'!$O41)-MAX(AO$7,'Fleet'!$G41))</x:f>
        <x:v>0</x:v>
      </x:c>
      <x:c r="AP44" s="34" t="n">
        <x:f>MAX(0,MIN(AP$8+1,'Fleet'!$O41)-MAX(AP$7,'Fleet'!$G41))</x:f>
        <x:v>0</x:v>
      </x:c>
      <x:c r="AQ44" s="34" t="n">
        <x:f>MAX(0,MIN(AQ$8+1,'Fleet'!$O41)-MAX(AQ$7,'Fleet'!$G41))</x:f>
        <x:v>0</x:v>
      </x:c>
    </x:row>
    <x:row r="45" ht="21" customHeight="1">
      <x:c r="A45" s="2"/>
      <x:c r="B45" s="2"/>
      <x:c r="C45" s="5" t="str">
        <x:f>'Fleet'!C42</x:f>
        <x:v>Star Aphrodite</x:v>
      </x:c>
      <x:c r="D45" s="5" t="str">
        <x:f>'Fleet'!D42</x:f>
        <x:v>Post Panamax</x:v>
      </x:c>
      <x:c r="E45" s="34" t="n">
        <x:f>MAX(0,MIN(E$8+1,'Fleet'!$O42)-MAX(E$7,'Fleet'!$G42))</x:f>
        <x:v>83</x:v>
      </x:c>
      <x:c r="F45" s="34" t="n">
        <x:f>MAX(0,MIN(F$8+1,'Fleet'!$O42)-MAX(F$7,'Fleet'!$G42))</x:f>
        <x:v>90</x:v>
      </x:c>
      <x:c r="G45" s="34" t="n">
        <x:f>MAX(0,MIN(G$8+1,'Fleet'!$O42)-MAX(G$7,'Fleet'!$G42))</x:f>
        <x:v>91</x:v>
      </x:c>
      <x:c r="H45" s="34" t="n">
        <x:f>MAX(0,MIN(H$8+1,'Fleet'!$O42)-MAX(H$7,'Fleet'!$G42))</x:f>
        <x:v>92</x:v>
      </x:c>
      <x:c r="I45" s="34" t="n">
        <x:f>MAX(0,MIN(I$8+1,'Fleet'!$O42)-MAX(I$7,'Fleet'!$G42))</x:f>
        <x:v>92</x:v>
      </x:c>
      <x:c r="J45" s="34" t="n">
        <x:f>MAX(0,MIN(J$8+1,'Fleet'!$O42)-MAX(J$7,'Fleet'!$G42))</x:f>
        <x:v>91</x:v>
      </x:c>
      <x:c r="K45" s="34" t="n">
        <x:f>MAX(0,MIN(K$8+1,'Fleet'!$O42)-MAX(K$7,'Fleet'!$G42))</x:f>
        <x:v>91</x:v>
      </x:c>
      <x:c r="L45" s="34" t="n">
        <x:f>MAX(0,MIN(L$8+1,'Fleet'!$O42)-MAX(L$7,'Fleet'!$G42))</x:f>
        <x:v>92</x:v>
      </x:c>
      <x:c r="M45" s="34" t="n">
        <x:f>MAX(0,MIN(M$8+1,'Fleet'!$O42)-MAX(M$7,'Fleet'!$G42))</x:f>
        <x:v>92</x:v>
      </x:c>
      <x:c r="N45" s="34" t="n">
        <x:f>MAX(0,MIN(N$8+1,'Fleet'!$O42)-MAX(N$7,'Fleet'!$G42))</x:f>
        <x:v>90</x:v>
      </x:c>
      <x:c r="O45" s="34" t="n">
        <x:f>MAX(0,MIN(O$8+1,'Fleet'!$O42)-MAX(O$7,'Fleet'!$G42))</x:f>
        <x:v>91</x:v>
      </x:c>
      <x:c r="P45" s="34" t="n">
        <x:f>MAX(0,MIN(P$8+1,'Fleet'!$O42)-MAX(P$7,'Fleet'!$G42))</x:f>
        <x:v>92</x:v>
      </x:c>
      <x:c r="Q45" s="34" t="n">
        <x:f>MAX(0,MIN(Q$8+1,'Fleet'!$O42)-MAX(Q$7,'Fleet'!$G42))</x:f>
        <x:v>365</x:v>
      </x:c>
      <x:c r="R45" s="34" t="n">
        <x:f>MAX(0,MIN(R$8+1,'Fleet'!$O42)-MAX(R$7,'Fleet'!$G42))</x:f>
        <x:v>365</x:v>
      </x:c>
      <x:c r="S45" s="34" t="n">
        <x:f>MAX(0,MIN(S$8+1,'Fleet'!$O42)-MAX(S$7,'Fleet'!$G42))</x:f>
        <x:v>366</x:v>
      </x:c>
      <x:c r="T45" s="34" t="n">
        <x:f>MAX(0,MIN(T$8+1,'Fleet'!$O42)-MAX(T$7,'Fleet'!$G42))</x:f>
        <x:v>365</x:v>
      </x:c>
      <x:c r="U45" s="34" t="n">
        <x:f>MAX(0,MIN(U$8+1,'Fleet'!$O42)-MAX(U$7,'Fleet'!$G42))</x:f>
        <x:v>365</x:v>
      </x:c>
      <x:c r="V45" s="34" t="n">
        <x:f>MAX(0,MIN(V$8+1,'Fleet'!$O42)-MAX(V$7,'Fleet'!$G42))</x:f>
        <x:v>365</x:v>
      </x:c>
      <x:c r="W45" s="34" t="n">
        <x:f>MAX(0,MIN(W$8+1,'Fleet'!$O42)-MAX(W$7,'Fleet'!$G42))</x:f>
        <x:v>274</x:v>
      </x:c>
      <x:c r="X45" s="34" t="n">
        <x:f>MAX(0,MIN(X$8+1,'Fleet'!$O42)-MAX(X$7,'Fleet'!$G42))</x:f>
        <x:v>0</x:v>
      </x:c>
      <x:c r="Y45" s="34" t="n">
        <x:f>MAX(0,MIN(Y$8+1,'Fleet'!$O42)-MAX(Y$7,'Fleet'!$G42))</x:f>
        <x:v>0</x:v>
      </x:c>
      <x:c r="Z45" s="34" t="n">
        <x:f>MAX(0,MIN(Z$8+1,'Fleet'!$O42)-MAX(Z$7,'Fleet'!$G42))</x:f>
        <x:v>0</x:v>
      </x:c>
      <x:c r="AA45" s="34" t="n">
        <x:f>MAX(0,MIN(AA$8+1,'Fleet'!$O42)-MAX(AA$7,'Fleet'!$G42))</x:f>
        <x:v>0</x:v>
      </x:c>
      <x:c r="AB45" s="34" t="n">
        <x:f>MAX(0,MIN(AB$8+1,'Fleet'!$O42)-MAX(AB$7,'Fleet'!$G42))</x:f>
        <x:v>0</x:v>
      </x:c>
      <x:c r="AC45" s="34" t="n">
        <x:f>MAX(0,MIN(AC$8+1,'Fleet'!$O42)-MAX(AC$7,'Fleet'!$G42))</x:f>
        <x:v>0</x:v>
      </x:c>
      <x:c r="AD45" s="34" t="n">
        <x:f>MAX(0,MIN(AD$8+1,'Fleet'!$O42)-MAX(AD$7,'Fleet'!$G42))</x:f>
        <x:v>0</x:v>
      </x:c>
      <x:c r="AE45" s="34" t="n">
        <x:f>MAX(0,MIN(AE$8+1,'Fleet'!$O42)-MAX(AE$7,'Fleet'!$G42))</x:f>
        <x:v>0</x:v>
      </x:c>
      <x:c r="AF45" s="34" t="n">
        <x:f>MAX(0,MIN(AF$8+1,'Fleet'!$O42)-MAX(AF$7,'Fleet'!$G42))</x:f>
        <x:v>0</x:v>
      </x:c>
      <x:c r="AG45" s="34" t="n">
        <x:f>MAX(0,MIN(AG$8+1,'Fleet'!$O42)-MAX(AG$7,'Fleet'!$G42))</x:f>
        <x:v>0</x:v>
      </x:c>
      <x:c r="AH45" s="34" t="n">
        <x:f>MAX(0,MIN(AH$8+1,'Fleet'!$O42)-MAX(AH$7,'Fleet'!$G42))</x:f>
        <x:v>0</x:v>
      </x:c>
      <x:c r="AI45" s="34" t="n">
        <x:f>MAX(0,MIN(AI$8+1,'Fleet'!$O42)-MAX(AI$7,'Fleet'!$G42))</x:f>
        <x:v>0</x:v>
      </x:c>
      <x:c r="AJ45" s="34" t="n">
        <x:f>MAX(0,MIN(AJ$8+1,'Fleet'!$O42)-MAX(AJ$7,'Fleet'!$G42))</x:f>
        <x:v>0</x:v>
      </x:c>
      <x:c r="AK45" s="34" t="n">
        <x:f>MAX(0,MIN(AK$8+1,'Fleet'!$O42)-MAX(AK$7,'Fleet'!$G42))</x:f>
        <x:v>0</x:v>
      </x:c>
      <x:c r="AL45" s="34" t="n">
        <x:f>MAX(0,MIN(AL$8+1,'Fleet'!$O42)-MAX(AL$7,'Fleet'!$G42))</x:f>
        <x:v>0</x:v>
      </x:c>
      <x:c r="AM45" s="34" t="n">
        <x:f>MAX(0,MIN(AM$8+1,'Fleet'!$O42)-MAX(AM$7,'Fleet'!$G42))</x:f>
        <x:v>0</x:v>
      </x:c>
      <x:c r="AN45" s="34" t="n">
        <x:f>MAX(0,MIN(AN$8+1,'Fleet'!$O42)-MAX(AN$7,'Fleet'!$G42))</x:f>
        <x:v>0</x:v>
      </x:c>
      <x:c r="AO45" s="34" t="n">
        <x:f>MAX(0,MIN(AO$8+1,'Fleet'!$O42)-MAX(AO$7,'Fleet'!$G42))</x:f>
        <x:v>0</x:v>
      </x:c>
      <x:c r="AP45" s="34" t="n">
        <x:f>MAX(0,MIN(AP$8+1,'Fleet'!$O42)-MAX(AP$7,'Fleet'!$G42))</x:f>
        <x:v>0</x:v>
      </x:c>
      <x:c r="AQ45" s="34" t="n">
        <x:f>MAX(0,MIN(AQ$8+1,'Fleet'!$O42)-MAX(AQ$7,'Fleet'!$G42))</x:f>
        <x:v>0</x:v>
      </x:c>
    </x:row>
    <x:row r="46" ht="21" customHeight="1">
      <x:c r="A46" s="2"/>
      <x:c r="B46" s="2"/>
      <x:c r="C46" s="5" t="str">
        <x:f>'Fleet'!C43</x:f>
        <x:v>Star Piera</x:v>
      </x:c>
      <x:c r="D46" s="5" t="str">
        <x:f>'Fleet'!D43</x:f>
        <x:v>Post Panamax</x:v>
      </x:c>
      <x:c r="E46" s="34" t="n">
        <x:f>MAX(0,MIN(E$8+1,'Fleet'!$O43)-MAX(E$7,'Fleet'!$G43))</x:f>
        <x:v>83</x:v>
      </x:c>
      <x:c r="F46" s="34" t="n">
        <x:f>MAX(0,MIN(F$8+1,'Fleet'!$O43)-MAX(F$7,'Fleet'!$G43))</x:f>
        <x:v>90</x:v>
      </x:c>
      <x:c r="G46" s="34" t="n">
        <x:f>MAX(0,MIN(G$8+1,'Fleet'!$O43)-MAX(G$7,'Fleet'!$G43))</x:f>
        <x:v>91</x:v>
      </x:c>
      <x:c r="H46" s="34" t="n">
        <x:f>MAX(0,MIN(H$8+1,'Fleet'!$O43)-MAX(H$7,'Fleet'!$G43))</x:f>
        <x:v>92</x:v>
      </x:c>
      <x:c r="I46" s="34" t="n">
        <x:f>MAX(0,MIN(I$8+1,'Fleet'!$O43)-MAX(I$7,'Fleet'!$G43))</x:f>
        <x:v>92</x:v>
      </x:c>
      <x:c r="J46" s="34" t="n">
        <x:f>MAX(0,MIN(J$8+1,'Fleet'!$O43)-MAX(J$7,'Fleet'!$G43))</x:f>
        <x:v>91</x:v>
      </x:c>
      <x:c r="K46" s="34" t="n">
        <x:f>MAX(0,MIN(K$8+1,'Fleet'!$O43)-MAX(K$7,'Fleet'!$G43))</x:f>
        <x:v>91</x:v>
      </x:c>
      <x:c r="L46" s="34" t="n">
        <x:f>MAX(0,MIN(L$8+1,'Fleet'!$O43)-MAX(L$7,'Fleet'!$G43))</x:f>
        <x:v>92</x:v>
      </x:c>
      <x:c r="M46" s="34" t="n">
        <x:f>MAX(0,MIN(M$8+1,'Fleet'!$O43)-MAX(M$7,'Fleet'!$G43))</x:f>
        <x:v>92</x:v>
      </x:c>
      <x:c r="N46" s="34" t="n">
        <x:f>MAX(0,MIN(N$8+1,'Fleet'!$O43)-MAX(N$7,'Fleet'!$G43))</x:f>
        <x:v>90</x:v>
      </x:c>
      <x:c r="O46" s="34" t="n">
        <x:f>MAX(0,MIN(O$8+1,'Fleet'!$O43)-MAX(O$7,'Fleet'!$G43))</x:f>
        <x:v>91</x:v>
      </x:c>
      <x:c r="P46" s="34" t="n">
        <x:f>MAX(0,MIN(P$8+1,'Fleet'!$O43)-MAX(P$7,'Fleet'!$G43))</x:f>
        <x:v>92</x:v>
      </x:c>
      <x:c r="Q46" s="34" t="n">
        <x:f>MAX(0,MIN(Q$8+1,'Fleet'!$O43)-MAX(Q$7,'Fleet'!$G43))</x:f>
        <x:v>365</x:v>
      </x:c>
      <x:c r="R46" s="34" t="n">
        <x:f>MAX(0,MIN(R$8+1,'Fleet'!$O43)-MAX(R$7,'Fleet'!$G43))</x:f>
        <x:v>365</x:v>
      </x:c>
      <x:c r="S46" s="34" t="n">
        <x:f>MAX(0,MIN(S$8+1,'Fleet'!$O43)-MAX(S$7,'Fleet'!$G43))</x:f>
        <x:v>366</x:v>
      </x:c>
      <x:c r="T46" s="34" t="n">
        <x:f>MAX(0,MIN(T$8+1,'Fleet'!$O43)-MAX(T$7,'Fleet'!$G43))</x:f>
        <x:v>365</x:v>
      </x:c>
      <x:c r="U46" s="34" t="n">
        <x:f>MAX(0,MIN(U$8+1,'Fleet'!$O43)-MAX(U$7,'Fleet'!$G43))</x:f>
        <x:v>365</x:v>
      </x:c>
      <x:c r="V46" s="34" t="n">
        <x:f>MAX(0,MIN(V$8+1,'Fleet'!$O43)-MAX(V$7,'Fleet'!$G43))</x:f>
        <x:v>273</x:v>
      </x:c>
      <x:c r="W46" s="34" t="n">
        <x:f>MAX(0,MIN(W$8+1,'Fleet'!$O43)-MAX(W$7,'Fleet'!$G43))</x:f>
        <x:v>0</x:v>
      </x:c>
      <x:c r="X46" s="34" t="n">
        <x:f>MAX(0,MIN(X$8+1,'Fleet'!$O43)-MAX(X$7,'Fleet'!$G43))</x:f>
        <x:v>0</x:v>
      </x:c>
      <x:c r="Y46" s="34" t="n">
        <x:f>MAX(0,MIN(Y$8+1,'Fleet'!$O43)-MAX(Y$7,'Fleet'!$G43))</x:f>
        <x:v>0</x:v>
      </x:c>
      <x:c r="Z46" s="34" t="n">
        <x:f>MAX(0,MIN(Z$8+1,'Fleet'!$O43)-MAX(Z$7,'Fleet'!$G43))</x:f>
        <x:v>0</x:v>
      </x:c>
      <x:c r="AA46" s="34" t="n">
        <x:f>MAX(0,MIN(AA$8+1,'Fleet'!$O43)-MAX(AA$7,'Fleet'!$G43))</x:f>
        <x:v>0</x:v>
      </x:c>
      <x:c r="AB46" s="34" t="n">
        <x:f>MAX(0,MIN(AB$8+1,'Fleet'!$O43)-MAX(AB$7,'Fleet'!$G43))</x:f>
        <x:v>0</x:v>
      </x:c>
      <x:c r="AC46" s="34" t="n">
        <x:f>MAX(0,MIN(AC$8+1,'Fleet'!$O43)-MAX(AC$7,'Fleet'!$G43))</x:f>
        <x:v>0</x:v>
      </x:c>
      <x:c r="AD46" s="34" t="n">
        <x:f>MAX(0,MIN(AD$8+1,'Fleet'!$O43)-MAX(AD$7,'Fleet'!$G43))</x:f>
        <x:v>0</x:v>
      </x:c>
      <x:c r="AE46" s="34" t="n">
        <x:f>MAX(0,MIN(AE$8+1,'Fleet'!$O43)-MAX(AE$7,'Fleet'!$G43))</x:f>
        <x:v>0</x:v>
      </x:c>
      <x:c r="AF46" s="34" t="n">
        <x:f>MAX(0,MIN(AF$8+1,'Fleet'!$O43)-MAX(AF$7,'Fleet'!$G43))</x:f>
        <x:v>0</x:v>
      </x:c>
      <x:c r="AG46" s="34" t="n">
        <x:f>MAX(0,MIN(AG$8+1,'Fleet'!$O43)-MAX(AG$7,'Fleet'!$G43))</x:f>
        <x:v>0</x:v>
      </x:c>
      <x:c r="AH46" s="34" t="n">
        <x:f>MAX(0,MIN(AH$8+1,'Fleet'!$O43)-MAX(AH$7,'Fleet'!$G43))</x:f>
        <x:v>0</x:v>
      </x:c>
      <x:c r="AI46" s="34" t="n">
        <x:f>MAX(0,MIN(AI$8+1,'Fleet'!$O43)-MAX(AI$7,'Fleet'!$G43))</x:f>
        <x:v>0</x:v>
      </x:c>
      <x:c r="AJ46" s="34" t="n">
        <x:f>MAX(0,MIN(AJ$8+1,'Fleet'!$O43)-MAX(AJ$7,'Fleet'!$G43))</x:f>
        <x:v>0</x:v>
      </x:c>
      <x:c r="AK46" s="34" t="n">
        <x:f>MAX(0,MIN(AK$8+1,'Fleet'!$O43)-MAX(AK$7,'Fleet'!$G43))</x:f>
        <x:v>0</x:v>
      </x:c>
      <x:c r="AL46" s="34" t="n">
        <x:f>MAX(0,MIN(AL$8+1,'Fleet'!$O43)-MAX(AL$7,'Fleet'!$G43))</x:f>
        <x:v>0</x:v>
      </x:c>
      <x:c r="AM46" s="34" t="n">
        <x:f>MAX(0,MIN(AM$8+1,'Fleet'!$O43)-MAX(AM$7,'Fleet'!$G43))</x:f>
        <x:v>0</x:v>
      </x:c>
      <x:c r="AN46" s="34" t="n">
        <x:f>MAX(0,MIN(AN$8+1,'Fleet'!$O43)-MAX(AN$7,'Fleet'!$G43))</x:f>
        <x:v>0</x:v>
      </x:c>
      <x:c r="AO46" s="34" t="n">
        <x:f>MAX(0,MIN(AO$8+1,'Fleet'!$O43)-MAX(AO$7,'Fleet'!$G43))</x:f>
        <x:v>0</x:v>
      </x:c>
      <x:c r="AP46" s="34" t="n">
        <x:f>MAX(0,MIN(AP$8+1,'Fleet'!$O43)-MAX(AP$7,'Fleet'!$G43))</x:f>
        <x:v>0</x:v>
      </x:c>
      <x:c r="AQ46" s="34" t="n">
        <x:f>MAX(0,MIN(AQ$8+1,'Fleet'!$O43)-MAX(AQ$7,'Fleet'!$G43))</x:f>
        <x:v>0</x:v>
      </x:c>
    </x:row>
    <x:row r="47" ht="21" customHeight="1">
      <x:c r="A47" s="2"/>
      <x:c r="B47" s="2"/>
      <x:c r="C47" s="5" t="str">
        <x:f>'Fleet'!C44</x:f>
        <x:v>Star Despoina</x:v>
      </x:c>
      <x:c r="D47" s="5" t="str">
        <x:f>'Fleet'!D44</x:f>
        <x:v>Post Panamax</x:v>
      </x:c>
      <x:c r="E47" s="34" t="n">
        <x:f>MAX(0,MIN(E$8+1,'Fleet'!$O44)-MAX(E$7,'Fleet'!$G44))</x:f>
        <x:v>83</x:v>
      </x:c>
      <x:c r="F47" s="34" t="n">
        <x:f>MAX(0,MIN(F$8+1,'Fleet'!$O44)-MAX(F$7,'Fleet'!$G44))</x:f>
        <x:v>90</x:v>
      </x:c>
      <x:c r="G47" s="34" t="n">
        <x:f>MAX(0,MIN(G$8+1,'Fleet'!$O44)-MAX(G$7,'Fleet'!$G44))</x:f>
        <x:v>91</x:v>
      </x:c>
      <x:c r="H47" s="34" t="n">
        <x:f>MAX(0,MIN(H$8+1,'Fleet'!$O44)-MAX(H$7,'Fleet'!$G44))</x:f>
        <x:v>92</x:v>
      </x:c>
      <x:c r="I47" s="34" t="n">
        <x:f>MAX(0,MIN(I$8+1,'Fleet'!$O44)-MAX(I$7,'Fleet'!$G44))</x:f>
        <x:v>92</x:v>
      </x:c>
      <x:c r="J47" s="34" t="n">
        <x:f>MAX(0,MIN(J$8+1,'Fleet'!$O44)-MAX(J$7,'Fleet'!$G44))</x:f>
        <x:v>91</x:v>
      </x:c>
      <x:c r="K47" s="34" t="n">
        <x:f>MAX(0,MIN(K$8+1,'Fleet'!$O44)-MAX(K$7,'Fleet'!$G44))</x:f>
        <x:v>91</x:v>
      </x:c>
      <x:c r="L47" s="34" t="n">
        <x:f>MAX(0,MIN(L$8+1,'Fleet'!$O44)-MAX(L$7,'Fleet'!$G44))</x:f>
        <x:v>92</x:v>
      </x:c>
      <x:c r="M47" s="34" t="n">
        <x:f>MAX(0,MIN(M$8+1,'Fleet'!$O44)-MAX(M$7,'Fleet'!$G44))</x:f>
        <x:v>92</x:v>
      </x:c>
      <x:c r="N47" s="34" t="n">
        <x:f>MAX(0,MIN(N$8+1,'Fleet'!$O44)-MAX(N$7,'Fleet'!$G44))</x:f>
        <x:v>90</x:v>
      </x:c>
      <x:c r="O47" s="34" t="n">
        <x:f>MAX(0,MIN(O$8+1,'Fleet'!$O44)-MAX(O$7,'Fleet'!$G44))</x:f>
        <x:v>91</x:v>
      </x:c>
      <x:c r="P47" s="34" t="n">
        <x:f>MAX(0,MIN(P$8+1,'Fleet'!$O44)-MAX(P$7,'Fleet'!$G44))</x:f>
        <x:v>92</x:v>
      </x:c>
      <x:c r="Q47" s="34" t="n">
        <x:f>MAX(0,MIN(Q$8+1,'Fleet'!$O44)-MAX(Q$7,'Fleet'!$G44))</x:f>
        <x:v>365</x:v>
      </x:c>
      <x:c r="R47" s="34" t="n">
        <x:f>MAX(0,MIN(R$8+1,'Fleet'!$O44)-MAX(R$7,'Fleet'!$G44))</x:f>
        <x:v>365</x:v>
      </x:c>
      <x:c r="S47" s="34" t="n">
        <x:f>MAX(0,MIN(S$8+1,'Fleet'!$O44)-MAX(S$7,'Fleet'!$G44))</x:f>
        <x:v>366</x:v>
      </x:c>
      <x:c r="T47" s="34" t="n">
        <x:f>MAX(0,MIN(T$8+1,'Fleet'!$O44)-MAX(T$7,'Fleet'!$G44))</x:f>
        <x:v>365</x:v>
      </x:c>
      <x:c r="U47" s="34" t="n">
        <x:f>MAX(0,MIN(U$8+1,'Fleet'!$O44)-MAX(U$7,'Fleet'!$G44))</x:f>
        <x:v>365</x:v>
      </x:c>
      <x:c r="V47" s="34" t="n">
        <x:f>MAX(0,MIN(V$8+1,'Fleet'!$O44)-MAX(V$7,'Fleet'!$G44))</x:f>
        <x:v>273</x:v>
      </x:c>
      <x:c r="W47" s="34" t="n">
        <x:f>MAX(0,MIN(W$8+1,'Fleet'!$O44)-MAX(W$7,'Fleet'!$G44))</x:f>
        <x:v>0</x:v>
      </x:c>
      <x:c r="X47" s="34" t="n">
        <x:f>MAX(0,MIN(X$8+1,'Fleet'!$O44)-MAX(X$7,'Fleet'!$G44))</x:f>
        <x:v>0</x:v>
      </x:c>
      <x:c r="Y47" s="34" t="n">
        <x:f>MAX(0,MIN(Y$8+1,'Fleet'!$O44)-MAX(Y$7,'Fleet'!$G44))</x:f>
        <x:v>0</x:v>
      </x:c>
      <x:c r="Z47" s="34" t="n">
        <x:f>MAX(0,MIN(Z$8+1,'Fleet'!$O44)-MAX(Z$7,'Fleet'!$G44))</x:f>
        <x:v>0</x:v>
      </x:c>
      <x:c r="AA47" s="34" t="n">
        <x:f>MAX(0,MIN(AA$8+1,'Fleet'!$O44)-MAX(AA$7,'Fleet'!$G44))</x:f>
        <x:v>0</x:v>
      </x:c>
      <x:c r="AB47" s="34" t="n">
        <x:f>MAX(0,MIN(AB$8+1,'Fleet'!$O44)-MAX(AB$7,'Fleet'!$G44))</x:f>
        <x:v>0</x:v>
      </x:c>
      <x:c r="AC47" s="34" t="n">
        <x:f>MAX(0,MIN(AC$8+1,'Fleet'!$O44)-MAX(AC$7,'Fleet'!$G44))</x:f>
        <x:v>0</x:v>
      </x:c>
      <x:c r="AD47" s="34" t="n">
        <x:f>MAX(0,MIN(AD$8+1,'Fleet'!$O44)-MAX(AD$7,'Fleet'!$G44))</x:f>
        <x:v>0</x:v>
      </x:c>
      <x:c r="AE47" s="34" t="n">
        <x:f>MAX(0,MIN(AE$8+1,'Fleet'!$O44)-MAX(AE$7,'Fleet'!$G44))</x:f>
        <x:v>0</x:v>
      </x:c>
      <x:c r="AF47" s="34" t="n">
        <x:f>MAX(0,MIN(AF$8+1,'Fleet'!$O44)-MAX(AF$7,'Fleet'!$G44))</x:f>
        <x:v>0</x:v>
      </x:c>
      <x:c r="AG47" s="34" t="n">
        <x:f>MAX(0,MIN(AG$8+1,'Fleet'!$O44)-MAX(AG$7,'Fleet'!$G44))</x:f>
        <x:v>0</x:v>
      </x:c>
      <x:c r="AH47" s="34" t="n">
        <x:f>MAX(0,MIN(AH$8+1,'Fleet'!$O44)-MAX(AH$7,'Fleet'!$G44))</x:f>
        <x:v>0</x:v>
      </x:c>
      <x:c r="AI47" s="34" t="n">
        <x:f>MAX(0,MIN(AI$8+1,'Fleet'!$O44)-MAX(AI$7,'Fleet'!$G44))</x:f>
        <x:v>0</x:v>
      </x:c>
      <x:c r="AJ47" s="34" t="n">
        <x:f>MAX(0,MIN(AJ$8+1,'Fleet'!$O44)-MAX(AJ$7,'Fleet'!$G44))</x:f>
        <x:v>0</x:v>
      </x:c>
      <x:c r="AK47" s="34" t="n">
        <x:f>MAX(0,MIN(AK$8+1,'Fleet'!$O44)-MAX(AK$7,'Fleet'!$G44))</x:f>
        <x:v>0</x:v>
      </x:c>
      <x:c r="AL47" s="34" t="n">
        <x:f>MAX(0,MIN(AL$8+1,'Fleet'!$O44)-MAX(AL$7,'Fleet'!$G44))</x:f>
        <x:v>0</x:v>
      </x:c>
      <x:c r="AM47" s="34" t="n">
        <x:f>MAX(0,MIN(AM$8+1,'Fleet'!$O44)-MAX(AM$7,'Fleet'!$G44))</x:f>
        <x:v>0</x:v>
      </x:c>
      <x:c r="AN47" s="34" t="n">
        <x:f>MAX(0,MIN(AN$8+1,'Fleet'!$O44)-MAX(AN$7,'Fleet'!$G44))</x:f>
        <x:v>0</x:v>
      </x:c>
      <x:c r="AO47" s="34" t="n">
        <x:f>MAX(0,MIN(AO$8+1,'Fleet'!$O44)-MAX(AO$7,'Fleet'!$G44))</x:f>
        <x:v>0</x:v>
      </x:c>
      <x:c r="AP47" s="34" t="n">
        <x:f>MAX(0,MIN(AP$8+1,'Fleet'!$O44)-MAX(AP$7,'Fleet'!$G44))</x:f>
        <x:v>0</x:v>
      </x:c>
      <x:c r="AQ47" s="34" t="n">
        <x:f>MAX(0,MIN(AQ$8+1,'Fleet'!$O44)-MAX(AQ$7,'Fleet'!$G44))</x:f>
        <x:v>0</x:v>
      </x:c>
    </x:row>
    <x:row r="48" ht="21" customHeight="1">
      <x:c r="A48" s="2"/>
      <x:c r="B48" s="2"/>
      <x:c r="C48" s="5" t="str">
        <x:f>'Fleet'!C45</x:f>
        <x:v>Star Electra</x:v>
      </x:c>
      <x:c r="D48" s="5" t="str">
        <x:f>'Fleet'!D45</x:f>
        <x:v>Kamsarmax</x:v>
      </x:c>
      <x:c r="E48" s="34" t="n">
        <x:f>MAX(0,MIN(E$8+1,'Fleet'!$O45)-MAX(E$7,'Fleet'!$G45))</x:f>
        <x:v>83</x:v>
      </x:c>
      <x:c r="F48" s="34" t="n">
        <x:f>MAX(0,MIN(F$8+1,'Fleet'!$O45)-MAX(F$7,'Fleet'!$G45))</x:f>
        <x:v>90</x:v>
      </x:c>
      <x:c r="G48" s="34" t="n">
        <x:f>MAX(0,MIN(G$8+1,'Fleet'!$O45)-MAX(G$7,'Fleet'!$G45))</x:f>
        <x:v>91</x:v>
      </x:c>
      <x:c r="H48" s="34" t="n">
        <x:f>MAX(0,MIN(H$8+1,'Fleet'!$O45)-MAX(H$7,'Fleet'!$G45))</x:f>
        <x:v>92</x:v>
      </x:c>
      <x:c r="I48" s="34" t="n">
        <x:f>MAX(0,MIN(I$8+1,'Fleet'!$O45)-MAX(I$7,'Fleet'!$G45))</x:f>
        <x:v>92</x:v>
      </x:c>
      <x:c r="J48" s="34" t="n">
        <x:f>MAX(0,MIN(J$8+1,'Fleet'!$O45)-MAX(J$7,'Fleet'!$G45))</x:f>
        <x:v>91</x:v>
      </x:c>
      <x:c r="K48" s="34" t="n">
        <x:f>MAX(0,MIN(K$8+1,'Fleet'!$O45)-MAX(K$7,'Fleet'!$G45))</x:f>
        <x:v>91</x:v>
      </x:c>
      <x:c r="L48" s="34" t="n">
        <x:f>MAX(0,MIN(L$8+1,'Fleet'!$O45)-MAX(L$7,'Fleet'!$G45))</x:f>
        <x:v>92</x:v>
      </x:c>
      <x:c r="M48" s="34" t="n">
        <x:f>MAX(0,MIN(M$8+1,'Fleet'!$O45)-MAX(M$7,'Fleet'!$G45))</x:f>
        <x:v>92</x:v>
      </x:c>
      <x:c r="N48" s="34" t="n">
        <x:f>MAX(0,MIN(N$8+1,'Fleet'!$O45)-MAX(N$7,'Fleet'!$G45))</x:f>
        <x:v>90</x:v>
      </x:c>
      <x:c r="O48" s="34" t="n">
        <x:f>MAX(0,MIN(O$8+1,'Fleet'!$O45)-MAX(O$7,'Fleet'!$G45))</x:f>
        <x:v>91</x:v>
      </x:c>
      <x:c r="P48" s="34" t="n">
        <x:f>MAX(0,MIN(P$8+1,'Fleet'!$O45)-MAX(P$7,'Fleet'!$G45))</x:f>
        <x:v>92</x:v>
      </x:c>
      <x:c r="Q48" s="34" t="n">
        <x:f>MAX(0,MIN(Q$8+1,'Fleet'!$O45)-MAX(Q$7,'Fleet'!$G45))</x:f>
        <x:v>365</x:v>
      </x:c>
      <x:c r="R48" s="34" t="n">
        <x:f>MAX(0,MIN(R$8+1,'Fleet'!$O45)-MAX(R$7,'Fleet'!$G45))</x:f>
        <x:v>365</x:v>
      </x:c>
      <x:c r="S48" s="34" t="n">
        <x:f>MAX(0,MIN(S$8+1,'Fleet'!$O45)-MAX(S$7,'Fleet'!$G45))</x:f>
        <x:v>366</x:v>
      </x:c>
      <x:c r="T48" s="34" t="n">
        <x:f>MAX(0,MIN(T$8+1,'Fleet'!$O45)-MAX(T$7,'Fleet'!$G45))</x:f>
        <x:v>365</x:v>
      </x:c>
      <x:c r="U48" s="34" t="n">
        <x:f>MAX(0,MIN(U$8+1,'Fleet'!$O45)-MAX(U$7,'Fleet'!$G45))</x:f>
        <x:v>365</x:v>
      </x:c>
      <x:c r="V48" s="34" t="n">
        <x:f>MAX(0,MIN(V$8+1,'Fleet'!$O45)-MAX(V$7,'Fleet'!$G45))</x:f>
        <x:v>365</x:v>
      </x:c>
      <x:c r="W48" s="34" t="n">
        <x:f>MAX(0,MIN(W$8+1,'Fleet'!$O45)-MAX(W$7,'Fleet'!$G45))</x:f>
        <x:v>274</x:v>
      </x:c>
      <x:c r="X48" s="34" t="n">
        <x:f>MAX(0,MIN(X$8+1,'Fleet'!$O45)-MAX(X$7,'Fleet'!$G45))</x:f>
        <x:v>0</x:v>
      </x:c>
      <x:c r="Y48" s="34" t="n">
        <x:f>MAX(0,MIN(Y$8+1,'Fleet'!$O45)-MAX(Y$7,'Fleet'!$G45))</x:f>
        <x:v>0</x:v>
      </x:c>
      <x:c r="Z48" s="34" t="n">
        <x:f>MAX(0,MIN(Z$8+1,'Fleet'!$O45)-MAX(Z$7,'Fleet'!$G45))</x:f>
        <x:v>0</x:v>
      </x:c>
      <x:c r="AA48" s="34" t="n">
        <x:f>MAX(0,MIN(AA$8+1,'Fleet'!$O45)-MAX(AA$7,'Fleet'!$G45))</x:f>
        <x:v>0</x:v>
      </x:c>
      <x:c r="AB48" s="34" t="n">
        <x:f>MAX(0,MIN(AB$8+1,'Fleet'!$O45)-MAX(AB$7,'Fleet'!$G45))</x:f>
        <x:v>0</x:v>
      </x:c>
      <x:c r="AC48" s="34" t="n">
        <x:f>MAX(0,MIN(AC$8+1,'Fleet'!$O45)-MAX(AC$7,'Fleet'!$G45))</x:f>
        <x:v>0</x:v>
      </x:c>
      <x:c r="AD48" s="34" t="n">
        <x:f>MAX(0,MIN(AD$8+1,'Fleet'!$O45)-MAX(AD$7,'Fleet'!$G45))</x:f>
        <x:v>0</x:v>
      </x:c>
      <x:c r="AE48" s="34" t="n">
        <x:f>MAX(0,MIN(AE$8+1,'Fleet'!$O45)-MAX(AE$7,'Fleet'!$G45))</x:f>
        <x:v>0</x:v>
      </x:c>
      <x:c r="AF48" s="34" t="n">
        <x:f>MAX(0,MIN(AF$8+1,'Fleet'!$O45)-MAX(AF$7,'Fleet'!$G45))</x:f>
        <x:v>0</x:v>
      </x:c>
      <x:c r="AG48" s="34" t="n">
        <x:f>MAX(0,MIN(AG$8+1,'Fleet'!$O45)-MAX(AG$7,'Fleet'!$G45))</x:f>
        <x:v>0</x:v>
      </x:c>
      <x:c r="AH48" s="34" t="n">
        <x:f>MAX(0,MIN(AH$8+1,'Fleet'!$O45)-MAX(AH$7,'Fleet'!$G45))</x:f>
        <x:v>0</x:v>
      </x:c>
      <x:c r="AI48" s="34" t="n">
        <x:f>MAX(0,MIN(AI$8+1,'Fleet'!$O45)-MAX(AI$7,'Fleet'!$G45))</x:f>
        <x:v>0</x:v>
      </x:c>
      <x:c r="AJ48" s="34" t="n">
        <x:f>MAX(0,MIN(AJ$8+1,'Fleet'!$O45)-MAX(AJ$7,'Fleet'!$G45))</x:f>
        <x:v>0</x:v>
      </x:c>
      <x:c r="AK48" s="34" t="n">
        <x:f>MAX(0,MIN(AK$8+1,'Fleet'!$O45)-MAX(AK$7,'Fleet'!$G45))</x:f>
        <x:v>0</x:v>
      </x:c>
      <x:c r="AL48" s="34" t="n">
        <x:f>MAX(0,MIN(AL$8+1,'Fleet'!$O45)-MAX(AL$7,'Fleet'!$G45))</x:f>
        <x:v>0</x:v>
      </x:c>
      <x:c r="AM48" s="34" t="n">
        <x:f>MAX(0,MIN(AM$8+1,'Fleet'!$O45)-MAX(AM$7,'Fleet'!$G45))</x:f>
        <x:v>0</x:v>
      </x:c>
      <x:c r="AN48" s="34" t="n">
        <x:f>MAX(0,MIN(AN$8+1,'Fleet'!$O45)-MAX(AN$7,'Fleet'!$G45))</x:f>
        <x:v>0</x:v>
      </x:c>
      <x:c r="AO48" s="34" t="n">
        <x:f>MAX(0,MIN(AO$8+1,'Fleet'!$O45)-MAX(AO$7,'Fleet'!$G45))</x:f>
        <x:v>0</x:v>
      </x:c>
      <x:c r="AP48" s="34" t="n">
        <x:f>MAX(0,MIN(AP$8+1,'Fleet'!$O45)-MAX(AP$7,'Fleet'!$G45))</x:f>
        <x:v>0</x:v>
      </x:c>
      <x:c r="AQ48" s="34" t="n">
        <x:f>MAX(0,MIN(AQ$8+1,'Fleet'!$O45)-MAX(AQ$7,'Fleet'!$G45))</x:f>
        <x:v>0</x:v>
      </x:c>
    </x:row>
    <x:row r="49" ht="21" customHeight="1">
      <x:c r="A49" s="2"/>
      <x:c r="B49" s="2"/>
      <x:c r="C49" s="5" t="str">
        <x:f>'Fleet'!C46</x:f>
        <x:v>Star Angelina</x:v>
      </x:c>
      <x:c r="D49" s="5" t="str">
        <x:f>'Fleet'!D46</x:f>
        <x:v>Kamsarmax</x:v>
      </x:c>
      <x:c r="E49" s="34" t="n">
        <x:f>MAX(0,MIN(E$8+1,'Fleet'!$O46)-MAX(E$7,'Fleet'!$G46))</x:f>
        <x:v>83</x:v>
      </x:c>
      <x:c r="F49" s="34" t="n">
        <x:f>MAX(0,MIN(F$8+1,'Fleet'!$O46)-MAX(F$7,'Fleet'!$G46))</x:f>
        <x:v>90</x:v>
      </x:c>
      <x:c r="G49" s="34" t="n">
        <x:f>MAX(0,MIN(G$8+1,'Fleet'!$O46)-MAX(G$7,'Fleet'!$G46))</x:f>
        <x:v>91</x:v>
      </x:c>
      <x:c r="H49" s="34" t="n">
        <x:f>MAX(0,MIN(H$8+1,'Fleet'!$O46)-MAX(H$7,'Fleet'!$G46))</x:f>
        <x:v>92</x:v>
      </x:c>
      <x:c r="I49" s="34" t="n">
        <x:f>MAX(0,MIN(I$8+1,'Fleet'!$O46)-MAX(I$7,'Fleet'!$G46))</x:f>
        <x:v>92</x:v>
      </x:c>
      <x:c r="J49" s="34" t="n">
        <x:f>MAX(0,MIN(J$8+1,'Fleet'!$O46)-MAX(J$7,'Fleet'!$G46))</x:f>
        <x:v>91</x:v>
      </x:c>
      <x:c r="K49" s="34" t="n">
        <x:f>MAX(0,MIN(K$8+1,'Fleet'!$O46)-MAX(K$7,'Fleet'!$G46))</x:f>
        <x:v>91</x:v>
      </x:c>
      <x:c r="L49" s="34" t="n">
        <x:f>MAX(0,MIN(L$8+1,'Fleet'!$O46)-MAX(L$7,'Fleet'!$G46))</x:f>
        <x:v>92</x:v>
      </x:c>
      <x:c r="M49" s="34" t="n">
        <x:f>MAX(0,MIN(M$8+1,'Fleet'!$O46)-MAX(M$7,'Fleet'!$G46))</x:f>
        <x:v>92</x:v>
      </x:c>
      <x:c r="N49" s="34" t="n">
        <x:f>MAX(0,MIN(N$8+1,'Fleet'!$O46)-MAX(N$7,'Fleet'!$G46))</x:f>
        <x:v>90</x:v>
      </x:c>
      <x:c r="O49" s="34" t="n">
        <x:f>MAX(0,MIN(O$8+1,'Fleet'!$O46)-MAX(O$7,'Fleet'!$G46))</x:f>
        <x:v>91</x:v>
      </x:c>
      <x:c r="P49" s="34" t="n">
        <x:f>MAX(0,MIN(P$8+1,'Fleet'!$O46)-MAX(P$7,'Fleet'!$G46))</x:f>
        <x:v>92</x:v>
      </x:c>
      <x:c r="Q49" s="34" t="n">
        <x:f>MAX(0,MIN(Q$8+1,'Fleet'!$O46)-MAX(Q$7,'Fleet'!$G46))</x:f>
        <x:v>365</x:v>
      </x:c>
      <x:c r="R49" s="34" t="n">
        <x:f>MAX(0,MIN(R$8+1,'Fleet'!$O46)-MAX(R$7,'Fleet'!$G46))</x:f>
        <x:v>273</x:v>
      </x:c>
      <x:c r="S49" s="34" t="n">
        <x:f>MAX(0,MIN(S$8+1,'Fleet'!$O46)-MAX(S$7,'Fleet'!$G46))</x:f>
        <x:v>0</x:v>
      </x:c>
      <x:c r="T49" s="34" t="n">
        <x:f>MAX(0,MIN(T$8+1,'Fleet'!$O46)-MAX(T$7,'Fleet'!$G46))</x:f>
        <x:v>0</x:v>
      </x:c>
      <x:c r="U49" s="34" t="n">
        <x:f>MAX(0,MIN(U$8+1,'Fleet'!$O46)-MAX(U$7,'Fleet'!$G46))</x:f>
        <x:v>0</x:v>
      </x:c>
      <x:c r="V49" s="34" t="n">
        <x:f>MAX(0,MIN(V$8+1,'Fleet'!$O46)-MAX(V$7,'Fleet'!$G46))</x:f>
        <x:v>0</x:v>
      </x:c>
      <x:c r="W49" s="34" t="n">
        <x:f>MAX(0,MIN(W$8+1,'Fleet'!$O46)-MAX(W$7,'Fleet'!$G46))</x:f>
        <x:v>0</x:v>
      </x:c>
      <x:c r="X49" s="34" t="n">
        <x:f>MAX(0,MIN(X$8+1,'Fleet'!$O46)-MAX(X$7,'Fleet'!$G46))</x:f>
        <x:v>0</x:v>
      </x:c>
      <x:c r="Y49" s="34" t="n">
        <x:f>MAX(0,MIN(Y$8+1,'Fleet'!$O46)-MAX(Y$7,'Fleet'!$G46))</x:f>
        <x:v>0</x:v>
      </x:c>
      <x:c r="Z49" s="34" t="n">
        <x:f>MAX(0,MIN(Z$8+1,'Fleet'!$O46)-MAX(Z$7,'Fleet'!$G46))</x:f>
        <x:v>0</x:v>
      </x:c>
      <x:c r="AA49" s="34" t="n">
        <x:f>MAX(0,MIN(AA$8+1,'Fleet'!$O46)-MAX(AA$7,'Fleet'!$G46))</x:f>
        <x:v>0</x:v>
      </x:c>
      <x:c r="AB49" s="34" t="n">
        <x:f>MAX(0,MIN(AB$8+1,'Fleet'!$O46)-MAX(AB$7,'Fleet'!$G46))</x:f>
        <x:v>0</x:v>
      </x:c>
      <x:c r="AC49" s="34" t="n">
        <x:f>MAX(0,MIN(AC$8+1,'Fleet'!$O46)-MAX(AC$7,'Fleet'!$G46))</x:f>
        <x:v>0</x:v>
      </x:c>
      <x:c r="AD49" s="34" t="n">
        <x:f>MAX(0,MIN(AD$8+1,'Fleet'!$O46)-MAX(AD$7,'Fleet'!$G46))</x:f>
        <x:v>0</x:v>
      </x:c>
      <x:c r="AE49" s="34" t="n">
        <x:f>MAX(0,MIN(AE$8+1,'Fleet'!$O46)-MAX(AE$7,'Fleet'!$G46))</x:f>
        <x:v>0</x:v>
      </x:c>
      <x:c r="AF49" s="34" t="n">
        <x:f>MAX(0,MIN(AF$8+1,'Fleet'!$O46)-MAX(AF$7,'Fleet'!$G46))</x:f>
        <x:v>0</x:v>
      </x:c>
      <x:c r="AG49" s="34" t="n">
        <x:f>MAX(0,MIN(AG$8+1,'Fleet'!$O46)-MAX(AG$7,'Fleet'!$G46))</x:f>
        <x:v>0</x:v>
      </x:c>
      <x:c r="AH49" s="34" t="n">
        <x:f>MAX(0,MIN(AH$8+1,'Fleet'!$O46)-MAX(AH$7,'Fleet'!$G46))</x:f>
        <x:v>0</x:v>
      </x:c>
      <x:c r="AI49" s="34" t="n">
        <x:f>MAX(0,MIN(AI$8+1,'Fleet'!$O46)-MAX(AI$7,'Fleet'!$G46))</x:f>
        <x:v>0</x:v>
      </x:c>
      <x:c r="AJ49" s="34" t="n">
        <x:f>MAX(0,MIN(AJ$8+1,'Fleet'!$O46)-MAX(AJ$7,'Fleet'!$G46))</x:f>
        <x:v>0</x:v>
      </x:c>
      <x:c r="AK49" s="34" t="n">
        <x:f>MAX(0,MIN(AK$8+1,'Fleet'!$O46)-MAX(AK$7,'Fleet'!$G46))</x:f>
        <x:v>0</x:v>
      </x:c>
      <x:c r="AL49" s="34" t="n">
        <x:f>MAX(0,MIN(AL$8+1,'Fleet'!$O46)-MAX(AL$7,'Fleet'!$G46))</x:f>
        <x:v>0</x:v>
      </x:c>
      <x:c r="AM49" s="34" t="n">
        <x:f>MAX(0,MIN(AM$8+1,'Fleet'!$O46)-MAX(AM$7,'Fleet'!$G46))</x:f>
        <x:v>0</x:v>
      </x:c>
      <x:c r="AN49" s="34" t="n">
        <x:f>MAX(0,MIN(AN$8+1,'Fleet'!$O46)-MAX(AN$7,'Fleet'!$G46))</x:f>
        <x:v>0</x:v>
      </x:c>
      <x:c r="AO49" s="34" t="n">
        <x:f>MAX(0,MIN(AO$8+1,'Fleet'!$O46)-MAX(AO$7,'Fleet'!$G46))</x:f>
        <x:v>0</x:v>
      </x:c>
      <x:c r="AP49" s="34" t="n">
        <x:f>MAX(0,MIN(AP$8+1,'Fleet'!$O46)-MAX(AP$7,'Fleet'!$G46))</x:f>
        <x:v>0</x:v>
      </x:c>
      <x:c r="AQ49" s="34" t="n">
        <x:f>MAX(0,MIN(AQ$8+1,'Fleet'!$O46)-MAX(AQ$7,'Fleet'!$G46))</x:f>
        <x:v>0</x:v>
      </x:c>
    </x:row>
    <x:row r="50" ht="21" customHeight="1">
      <x:c r="A50" s="2"/>
      <x:c r="B50" s="2"/>
      <x:c r="C50" s="5" t="str">
        <x:f>'Fleet'!C47</x:f>
        <x:v>Star Gwyneth</x:v>
      </x:c>
      <x:c r="D50" s="5" t="str">
        <x:f>'Fleet'!D47</x:f>
        <x:v>Kamsarmax</x:v>
      </x:c>
      <x:c r="E50" s="34" t="n">
        <x:f>MAX(0,MIN(E$8+1,'Fleet'!$O47)-MAX(E$7,'Fleet'!$G47))</x:f>
        <x:v>83</x:v>
      </x:c>
      <x:c r="F50" s="34" t="n">
        <x:f>MAX(0,MIN(F$8+1,'Fleet'!$O47)-MAX(F$7,'Fleet'!$G47))</x:f>
        <x:v>90</x:v>
      </x:c>
      <x:c r="G50" s="34" t="n">
        <x:f>MAX(0,MIN(G$8+1,'Fleet'!$O47)-MAX(G$7,'Fleet'!$G47))</x:f>
        <x:v>91</x:v>
      </x:c>
      <x:c r="H50" s="34" t="n">
        <x:f>MAX(0,MIN(H$8+1,'Fleet'!$O47)-MAX(H$7,'Fleet'!$G47))</x:f>
        <x:v>92</x:v>
      </x:c>
      <x:c r="I50" s="34" t="n">
        <x:f>MAX(0,MIN(I$8+1,'Fleet'!$O47)-MAX(I$7,'Fleet'!$G47))</x:f>
        <x:v>92</x:v>
      </x:c>
      <x:c r="J50" s="34" t="n">
        <x:f>MAX(0,MIN(J$8+1,'Fleet'!$O47)-MAX(J$7,'Fleet'!$G47))</x:f>
        <x:v>91</x:v>
      </x:c>
      <x:c r="K50" s="34" t="n">
        <x:f>MAX(0,MIN(K$8+1,'Fleet'!$O47)-MAX(K$7,'Fleet'!$G47))</x:f>
        <x:v>91</x:v>
      </x:c>
      <x:c r="L50" s="34" t="n">
        <x:f>MAX(0,MIN(L$8+1,'Fleet'!$O47)-MAX(L$7,'Fleet'!$G47))</x:f>
        <x:v>92</x:v>
      </x:c>
      <x:c r="M50" s="34" t="n">
        <x:f>MAX(0,MIN(M$8+1,'Fleet'!$O47)-MAX(M$7,'Fleet'!$G47))</x:f>
        <x:v>92</x:v>
      </x:c>
      <x:c r="N50" s="34" t="n">
        <x:f>MAX(0,MIN(N$8+1,'Fleet'!$O47)-MAX(N$7,'Fleet'!$G47))</x:f>
        <x:v>90</x:v>
      </x:c>
      <x:c r="O50" s="34" t="n">
        <x:f>MAX(0,MIN(O$8+1,'Fleet'!$O47)-MAX(O$7,'Fleet'!$G47))</x:f>
        <x:v>91</x:v>
      </x:c>
      <x:c r="P50" s="34" t="n">
        <x:f>MAX(0,MIN(P$8+1,'Fleet'!$O47)-MAX(P$7,'Fleet'!$G47))</x:f>
        <x:v>92</x:v>
      </x:c>
      <x:c r="Q50" s="34" t="n">
        <x:f>MAX(0,MIN(Q$8+1,'Fleet'!$O47)-MAX(Q$7,'Fleet'!$G47))</x:f>
        <x:v>365</x:v>
      </x:c>
      <x:c r="R50" s="34" t="n">
        <x:f>MAX(0,MIN(R$8+1,'Fleet'!$O47)-MAX(R$7,'Fleet'!$G47))</x:f>
        <x:v>273</x:v>
      </x:c>
      <x:c r="S50" s="34" t="n">
        <x:f>MAX(0,MIN(S$8+1,'Fleet'!$O47)-MAX(S$7,'Fleet'!$G47))</x:f>
        <x:v>0</x:v>
      </x:c>
      <x:c r="T50" s="34" t="n">
        <x:f>MAX(0,MIN(T$8+1,'Fleet'!$O47)-MAX(T$7,'Fleet'!$G47))</x:f>
        <x:v>0</x:v>
      </x:c>
      <x:c r="U50" s="34" t="n">
        <x:f>MAX(0,MIN(U$8+1,'Fleet'!$O47)-MAX(U$7,'Fleet'!$G47))</x:f>
        <x:v>0</x:v>
      </x:c>
      <x:c r="V50" s="34" t="n">
        <x:f>MAX(0,MIN(V$8+1,'Fleet'!$O47)-MAX(V$7,'Fleet'!$G47))</x:f>
        <x:v>0</x:v>
      </x:c>
      <x:c r="W50" s="34" t="n">
        <x:f>MAX(0,MIN(W$8+1,'Fleet'!$O47)-MAX(W$7,'Fleet'!$G47))</x:f>
        <x:v>0</x:v>
      </x:c>
      <x:c r="X50" s="34" t="n">
        <x:f>MAX(0,MIN(X$8+1,'Fleet'!$O47)-MAX(X$7,'Fleet'!$G47))</x:f>
        <x:v>0</x:v>
      </x:c>
      <x:c r="Y50" s="34" t="n">
        <x:f>MAX(0,MIN(Y$8+1,'Fleet'!$O47)-MAX(Y$7,'Fleet'!$G47))</x:f>
        <x:v>0</x:v>
      </x:c>
      <x:c r="Z50" s="34" t="n">
        <x:f>MAX(0,MIN(Z$8+1,'Fleet'!$O47)-MAX(Z$7,'Fleet'!$G47))</x:f>
        <x:v>0</x:v>
      </x:c>
      <x:c r="AA50" s="34" t="n">
        <x:f>MAX(0,MIN(AA$8+1,'Fleet'!$O47)-MAX(AA$7,'Fleet'!$G47))</x:f>
        <x:v>0</x:v>
      </x:c>
      <x:c r="AB50" s="34" t="n">
        <x:f>MAX(0,MIN(AB$8+1,'Fleet'!$O47)-MAX(AB$7,'Fleet'!$G47))</x:f>
        <x:v>0</x:v>
      </x:c>
      <x:c r="AC50" s="34" t="n">
        <x:f>MAX(0,MIN(AC$8+1,'Fleet'!$O47)-MAX(AC$7,'Fleet'!$G47))</x:f>
        <x:v>0</x:v>
      </x:c>
      <x:c r="AD50" s="34" t="n">
        <x:f>MAX(0,MIN(AD$8+1,'Fleet'!$O47)-MAX(AD$7,'Fleet'!$G47))</x:f>
        <x:v>0</x:v>
      </x:c>
      <x:c r="AE50" s="34" t="n">
        <x:f>MAX(0,MIN(AE$8+1,'Fleet'!$O47)-MAX(AE$7,'Fleet'!$G47))</x:f>
        <x:v>0</x:v>
      </x:c>
      <x:c r="AF50" s="34" t="n">
        <x:f>MAX(0,MIN(AF$8+1,'Fleet'!$O47)-MAX(AF$7,'Fleet'!$G47))</x:f>
        <x:v>0</x:v>
      </x:c>
      <x:c r="AG50" s="34" t="n">
        <x:f>MAX(0,MIN(AG$8+1,'Fleet'!$O47)-MAX(AG$7,'Fleet'!$G47))</x:f>
        <x:v>0</x:v>
      </x:c>
      <x:c r="AH50" s="34" t="n">
        <x:f>MAX(0,MIN(AH$8+1,'Fleet'!$O47)-MAX(AH$7,'Fleet'!$G47))</x:f>
        <x:v>0</x:v>
      </x:c>
      <x:c r="AI50" s="34" t="n">
        <x:f>MAX(0,MIN(AI$8+1,'Fleet'!$O47)-MAX(AI$7,'Fleet'!$G47))</x:f>
        <x:v>0</x:v>
      </x:c>
      <x:c r="AJ50" s="34" t="n">
        <x:f>MAX(0,MIN(AJ$8+1,'Fleet'!$O47)-MAX(AJ$7,'Fleet'!$G47))</x:f>
        <x:v>0</x:v>
      </x:c>
      <x:c r="AK50" s="34" t="n">
        <x:f>MAX(0,MIN(AK$8+1,'Fleet'!$O47)-MAX(AK$7,'Fleet'!$G47))</x:f>
        <x:v>0</x:v>
      </x:c>
      <x:c r="AL50" s="34" t="n">
        <x:f>MAX(0,MIN(AL$8+1,'Fleet'!$O47)-MAX(AL$7,'Fleet'!$G47))</x:f>
        <x:v>0</x:v>
      </x:c>
      <x:c r="AM50" s="34" t="n">
        <x:f>MAX(0,MIN(AM$8+1,'Fleet'!$O47)-MAX(AM$7,'Fleet'!$G47))</x:f>
        <x:v>0</x:v>
      </x:c>
      <x:c r="AN50" s="34" t="n">
        <x:f>MAX(0,MIN(AN$8+1,'Fleet'!$O47)-MAX(AN$7,'Fleet'!$G47))</x:f>
        <x:v>0</x:v>
      </x:c>
      <x:c r="AO50" s="34" t="n">
        <x:f>MAX(0,MIN(AO$8+1,'Fleet'!$O47)-MAX(AO$7,'Fleet'!$G47))</x:f>
        <x:v>0</x:v>
      </x:c>
      <x:c r="AP50" s="34" t="n">
        <x:f>MAX(0,MIN(AP$8+1,'Fleet'!$O47)-MAX(AP$7,'Fleet'!$G47))</x:f>
        <x:v>0</x:v>
      </x:c>
      <x:c r="AQ50" s="34" t="n">
        <x:f>MAX(0,MIN(AQ$8+1,'Fleet'!$O47)-MAX(AQ$7,'Fleet'!$G47))</x:f>
        <x:v>0</x:v>
      </x:c>
    </x:row>
    <x:row r="51" ht="21" customHeight="1">
      <x:c r="A51" s="2"/>
      <x:c r="B51" s="2"/>
      <x:c r="C51" s="5" t="str">
        <x:f>'Fleet'!C48</x:f>
        <x:v>Star Kamila</x:v>
      </x:c>
      <x:c r="D51" s="5" t="str">
        <x:f>'Fleet'!D48</x:f>
        <x:v>Kamsarmax</x:v>
      </x:c>
      <x:c r="E51" s="34" t="n">
        <x:f>MAX(0,MIN(E$8+1,'Fleet'!$O48)-MAX(E$7,'Fleet'!$G48))</x:f>
        <x:v>83</x:v>
      </x:c>
      <x:c r="F51" s="34" t="n">
        <x:f>MAX(0,MIN(F$8+1,'Fleet'!$O48)-MAX(F$7,'Fleet'!$G48))</x:f>
        <x:v>90</x:v>
      </x:c>
      <x:c r="G51" s="34" t="n">
        <x:f>MAX(0,MIN(G$8+1,'Fleet'!$O48)-MAX(G$7,'Fleet'!$G48))</x:f>
        <x:v>91</x:v>
      </x:c>
      <x:c r="H51" s="34" t="n">
        <x:f>MAX(0,MIN(H$8+1,'Fleet'!$O48)-MAX(H$7,'Fleet'!$G48))</x:f>
        <x:v>92</x:v>
      </x:c>
      <x:c r="I51" s="34" t="n">
        <x:f>MAX(0,MIN(I$8+1,'Fleet'!$O48)-MAX(I$7,'Fleet'!$G48))</x:f>
        <x:v>92</x:v>
      </x:c>
      <x:c r="J51" s="34" t="n">
        <x:f>MAX(0,MIN(J$8+1,'Fleet'!$O48)-MAX(J$7,'Fleet'!$G48))</x:f>
        <x:v>91</x:v>
      </x:c>
      <x:c r="K51" s="34" t="n">
        <x:f>MAX(0,MIN(K$8+1,'Fleet'!$O48)-MAX(K$7,'Fleet'!$G48))</x:f>
        <x:v>91</x:v>
      </x:c>
      <x:c r="L51" s="34" t="n">
        <x:f>MAX(0,MIN(L$8+1,'Fleet'!$O48)-MAX(L$7,'Fleet'!$G48))</x:f>
        <x:v>92</x:v>
      </x:c>
      <x:c r="M51" s="34" t="n">
        <x:f>MAX(0,MIN(M$8+1,'Fleet'!$O48)-MAX(M$7,'Fleet'!$G48))</x:f>
        <x:v>92</x:v>
      </x:c>
      <x:c r="N51" s="34" t="n">
        <x:f>MAX(0,MIN(N$8+1,'Fleet'!$O48)-MAX(N$7,'Fleet'!$G48))</x:f>
        <x:v>90</x:v>
      </x:c>
      <x:c r="O51" s="34" t="n">
        <x:f>MAX(0,MIN(O$8+1,'Fleet'!$O48)-MAX(O$7,'Fleet'!$G48))</x:f>
        <x:v>91</x:v>
      </x:c>
      <x:c r="P51" s="34" t="n">
        <x:f>MAX(0,MIN(P$8+1,'Fleet'!$O48)-MAX(P$7,'Fleet'!$G48))</x:f>
        <x:v>92</x:v>
      </x:c>
      <x:c r="Q51" s="34" t="n">
        <x:f>MAX(0,MIN(Q$8+1,'Fleet'!$O48)-MAX(Q$7,'Fleet'!$G48))</x:f>
        <x:v>273</x:v>
      </x:c>
      <x:c r="R51" s="34" t="n">
        <x:f>MAX(0,MIN(R$8+1,'Fleet'!$O48)-MAX(R$7,'Fleet'!$G48))</x:f>
        <x:v>0</x:v>
      </x:c>
      <x:c r="S51" s="34" t="n">
        <x:f>MAX(0,MIN(S$8+1,'Fleet'!$O48)-MAX(S$7,'Fleet'!$G48))</x:f>
        <x:v>0</x:v>
      </x:c>
      <x:c r="T51" s="34" t="n">
        <x:f>MAX(0,MIN(T$8+1,'Fleet'!$O48)-MAX(T$7,'Fleet'!$G48))</x:f>
        <x:v>0</x:v>
      </x:c>
      <x:c r="U51" s="34" t="n">
        <x:f>MAX(0,MIN(U$8+1,'Fleet'!$O48)-MAX(U$7,'Fleet'!$G48))</x:f>
        <x:v>0</x:v>
      </x:c>
      <x:c r="V51" s="34" t="n">
        <x:f>MAX(0,MIN(V$8+1,'Fleet'!$O48)-MAX(V$7,'Fleet'!$G48))</x:f>
        <x:v>0</x:v>
      </x:c>
      <x:c r="W51" s="34" t="n">
        <x:f>MAX(0,MIN(W$8+1,'Fleet'!$O48)-MAX(W$7,'Fleet'!$G48))</x:f>
        <x:v>0</x:v>
      </x:c>
      <x:c r="X51" s="34" t="n">
        <x:f>MAX(0,MIN(X$8+1,'Fleet'!$O48)-MAX(X$7,'Fleet'!$G48))</x:f>
        <x:v>0</x:v>
      </x:c>
      <x:c r="Y51" s="34" t="n">
        <x:f>MAX(0,MIN(Y$8+1,'Fleet'!$O48)-MAX(Y$7,'Fleet'!$G48))</x:f>
        <x:v>0</x:v>
      </x:c>
      <x:c r="Z51" s="34" t="n">
        <x:f>MAX(0,MIN(Z$8+1,'Fleet'!$O48)-MAX(Z$7,'Fleet'!$G48))</x:f>
        <x:v>0</x:v>
      </x:c>
      <x:c r="AA51" s="34" t="n">
        <x:f>MAX(0,MIN(AA$8+1,'Fleet'!$O48)-MAX(AA$7,'Fleet'!$G48))</x:f>
        <x:v>0</x:v>
      </x:c>
      <x:c r="AB51" s="34" t="n">
        <x:f>MAX(0,MIN(AB$8+1,'Fleet'!$O48)-MAX(AB$7,'Fleet'!$G48))</x:f>
        <x:v>0</x:v>
      </x:c>
      <x:c r="AC51" s="34" t="n">
        <x:f>MAX(0,MIN(AC$8+1,'Fleet'!$O48)-MAX(AC$7,'Fleet'!$G48))</x:f>
        <x:v>0</x:v>
      </x:c>
      <x:c r="AD51" s="34" t="n">
        <x:f>MAX(0,MIN(AD$8+1,'Fleet'!$O48)-MAX(AD$7,'Fleet'!$G48))</x:f>
        <x:v>0</x:v>
      </x:c>
      <x:c r="AE51" s="34" t="n">
        <x:f>MAX(0,MIN(AE$8+1,'Fleet'!$O48)-MAX(AE$7,'Fleet'!$G48))</x:f>
        <x:v>0</x:v>
      </x:c>
      <x:c r="AF51" s="34" t="n">
        <x:f>MAX(0,MIN(AF$8+1,'Fleet'!$O48)-MAX(AF$7,'Fleet'!$G48))</x:f>
        <x:v>0</x:v>
      </x:c>
      <x:c r="AG51" s="34" t="n">
        <x:f>MAX(0,MIN(AG$8+1,'Fleet'!$O48)-MAX(AG$7,'Fleet'!$G48))</x:f>
        <x:v>0</x:v>
      </x:c>
      <x:c r="AH51" s="34" t="n">
        <x:f>MAX(0,MIN(AH$8+1,'Fleet'!$O48)-MAX(AH$7,'Fleet'!$G48))</x:f>
        <x:v>0</x:v>
      </x:c>
      <x:c r="AI51" s="34" t="n">
        <x:f>MAX(0,MIN(AI$8+1,'Fleet'!$O48)-MAX(AI$7,'Fleet'!$G48))</x:f>
        <x:v>0</x:v>
      </x:c>
      <x:c r="AJ51" s="34" t="n">
        <x:f>MAX(0,MIN(AJ$8+1,'Fleet'!$O48)-MAX(AJ$7,'Fleet'!$G48))</x:f>
        <x:v>0</x:v>
      </x:c>
      <x:c r="AK51" s="34" t="n">
        <x:f>MAX(0,MIN(AK$8+1,'Fleet'!$O48)-MAX(AK$7,'Fleet'!$G48))</x:f>
        <x:v>0</x:v>
      </x:c>
      <x:c r="AL51" s="34" t="n">
        <x:f>MAX(0,MIN(AL$8+1,'Fleet'!$O48)-MAX(AL$7,'Fleet'!$G48))</x:f>
        <x:v>0</x:v>
      </x:c>
      <x:c r="AM51" s="34" t="n">
        <x:f>MAX(0,MIN(AM$8+1,'Fleet'!$O48)-MAX(AM$7,'Fleet'!$G48))</x:f>
        <x:v>0</x:v>
      </x:c>
      <x:c r="AN51" s="34" t="n">
        <x:f>MAX(0,MIN(AN$8+1,'Fleet'!$O48)-MAX(AN$7,'Fleet'!$G48))</x:f>
        <x:v>0</x:v>
      </x:c>
      <x:c r="AO51" s="34" t="n">
        <x:f>MAX(0,MIN(AO$8+1,'Fleet'!$O48)-MAX(AO$7,'Fleet'!$G48))</x:f>
        <x:v>0</x:v>
      </x:c>
      <x:c r="AP51" s="34" t="n">
        <x:f>MAX(0,MIN(AP$8+1,'Fleet'!$O48)-MAX(AP$7,'Fleet'!$G48))</x:f>
        <x:v>0</x:v>
      </x:c>
      <x:c r="AQ51" s="34" t="n">
        <x:f>MAX(0,MIN(AQ$8+1,'Fleet'!$O48)-MAX(AQ$7,'Fleet'!$G48))</x:f>
        <x:v>0</x:v>
      </x:c>
    </x:row>
    <x:row r="52" ht="21" customHeight="1">
      <x:c r="A52" s="2"/>
      <x:c r="B52" s="2"/>
      <x:c r="C52" s="5" t="str">
        <x:f>'Fleet'!C49</x:f>
        <x:v>Star Luna</x:v>
      </x:c>
      <x:c r="D52" s="5" t="str">
        <x:f>'Fleet'!D49</x:f>
        <x:v>Kamsarmax</x:v>
      </x:c>
      <x:c r="E52" s="34" t="n">
        <x:f>MAX(0,MIN(E$8+1,'Fleet'!$O49)-MAX(E$7,'Fleet'!$G49))</x:f>
        <x:v>83</x:v>
      </x:c>
      <x:c r="F52" s="34" t="n">
        <x:f>MAX(0,MIN(F$8+1,'Fleet'!$O49)-MAX(F$7,'Fleet'!$G49))</x:f>
        <x:v>90</x:v>
      </x:c>
      <x:c r="G52" s="34" t="n">
        <x:f>MAX(0,MIN(G$8+1,'Fleet'!$O49)-MAX(G$7,'Fleet'!$G49))</x:f>
        <x:v>91</x:v>
      </x:c>
      <x:c r="H52" s="34" t="n">
        <x:f>MAX(0,MIN(H$8+1,'Fleet'!$O49)-MAX(H$7,'Fleet'!$G49))</x:f>
        <x:v>92</x:v>
      </x:c>
      <x:c r="I52" s="34" t="n">
        <x:f>MAX(0,MIN(I$8+1,'Fleet'!$O49)-MAX(I$7,'Fleet'!$G49))</x:f>
        <x:v>92</x:v>
      </x:c>
      <x:c r="J52" s="34" t="n">
        <x:f>MAX(0,MIN(J$8+1,'Fleet'!$O49)-MAX(J$7,'Fleet'!$G49))</x:f>
        <x:v>91</x:v>
      </x:c>
      <x:c r="K52" s="34" t="n">
        <x:f>MAX(0,MIN(K$8+1,'Fleet'!$O49)-MAX(K$7,'Fleet'!$G49))</x:f>
        <x:v>91</x:v>
      </x:c>
      <x:c r="L52" s="34" t="n">
        <x:f>MAX(0,MIN(L$8+1,'Fleet'!$O49)-MAX(L$7,'Fleet'!$G49))</x:f>
        <x:v>92</x:v>
      </x:c>
      <x:c r="M52" s="34" t="n">
        <x:f>MAX(0,MIN(M$8+1,'Fleet'!$O49)-MAX(M$7,'Fleet'!$G49))</x:f>
        <x:v>92</x:v>
      </x:c>
      <x:c r="N52" s="34" t="n">
        <x:f>MAX(0,MIN(N$8+1,'Fleet'!$O49)-MAX(N$7,'Fleet'!$G49))</x:f>
        <x:v>90</x:v>
      </x:c>
      <x:c r="O52" s="34" t="n">
        <x:f>MAX(0,MIN(O$8+1,'Fleet'!$O49)-MAX(O$7,'Fleet'!$G49))</x:f>
        <x:v>91</x:v>
      </x:c>
      <x:c r="P52" s="34" t="n">
        <x:f>MAX(0,MIN(P$8+1,'Fleet'!$O49)-MAX(P$7,'Fleet'!$G49))</x:f>
        <x:v>92</x:v>
      </x:c>
      <x:c r="Q52" s="34" t="n">
        <x:f>MAX(0,MIN(Q$8+1,'Fleet'!$O49)-MAX(Q$7,'Fleet'!$G49))</x:f>
        <x:v>365</x:v>
      </x:c>
      <x:c r="R52" s="34" t="n">
        <x:f>MAX(0,MIN(R$8+1,'Fleet'!$O49)-MAX(R$7,'Fleet'!$G49))</x:f>
        <x:v>365</x:v>
      </x:c>
      <x:c r="S52" s="34" t="n">
        <x:f>MAX(0,MIN(S$8+1,'Fleet'!$O49)-MAX(S$7,'Fleet'!$G49))</x:f>
        <x:v>366</x:v>
      </x:c>
      <x:c r="T52" s="34" t="n">
        <x:f>MAX(0,MIN(T$8+1,'Fleet'!$O49)-MAX(T$7,'Fleet'!$G49))</x:f>
        <x:v>273</x:v>
      </x:c>
      <x:c r="U52" s="34" t="n">
        <x:f>MAX(0,MIN(U$8+1,'Fleet'!$O49)-MAX(U$7,'Fleet'!$G49))</x:f>
        <x:v>0</x:v>
      </x:c>
      <x:c r="V52" s="34" t="n">
        <x:f>MAX(0,MIN(V$8+1,'Fleet'!$O49)-MAX(V$7,'Fleet'!$G49))</x:f>
        <x:v>0</x:v>
      </x:c>
      <x:c r="W52" s="34" t="n">
        <x:f>MAX(0,MIN(W$8+1,'Fleet'!$O49)-MAX(W$7,'Fleet'!$G49))</x:f>
        <x:v>0</x:v>
      </x:c>
      <x:c r="X52" s="34" t="n">
        <x:f>MAX(0,MIN(X$8+1,'Fleet'!$O49)-MAX(X$7,'Fleet'!$G49))</x:f>
        <x:v>0</x:v>
      </x:c>
      <x:c r="Y52" s="34" t="n">
        <x:f>MAX(0,MIN(Y$8+1,'Fleet'!$O49)-MAX(Y$7,'Fleet'!$G49))</x:f>
        <x:v>0</x:v>
      </x:c>
      <x:c r="Z52" s="34" t="n">
        <x:f>MAX(0,MIN(Z$8+1,'Fleet'!$O49)-MAX(Z$7,'Fleet'!$G49))</x:f>
        <x:v>0</x:v>
      </x:c>
      <x:c r="AA52" s="34" t="n">
        <x:f>MAX(0,MIN(AA$8+1,'Fleet'!$O49)-MAX(AA$7,'Fleet'!$G49))</x:f>
        <x:v>0</x:v>
      </x:c>
      <x:c r="AB52" s="34" t="n">
        <x:f>MAX(0,MIN(AB$8+1,'Fleet'!$O49)-MAX(AB$7,'Fleet'!$G49))</x:f>
        <x:v>0</x:v>
      </x:c>
      <x:c r="AC52" s="34" t="n">
        <x:f>MAX(0,MIN(AC$8+1,'Fleet'!$O49)-MAX(AC$7,'Fleet'!$G49))</x:f>
        <x:v>0</x:v>
      </x:c>
      <x:c r="AD52" s="34" t="n">
        <x:f>MAX(0,MIN(AD$8+1,'Fleet'!$O49)-MAX(AD$7,'Fleet'!$G49))</x:f>
        <x:v>0</x:v>
      </x:c>
      <x:c r="AE52" s="34" t="n">
        <x:f>MAX(0,MIN(AE$8+1,'Fleet'!$O49)-MAX(AE$7,'Fleet'!$G49))</x:f>
        <x:v>0</x:v>
      </x:c>
      <x:c r="AF52" s="34" t="n">
        <x:f>MAX(0,MIN(AF$8+1,'Fleet'!$O49)-MAX(AF$7,'Fleet'!$G49))</x:f>
        <x:v>0</x:v>
      </x:c>
      <x:c r="AG52" s="34" t="n">
        <x:f>MAX(0,MIN(AG$8+1,'Fleet'!$O49)-MAX(AG$7,'Fleet'!$G49))</x:f>
        <x:v>0</x:v>
      </x:c>
      <x:c r="AH52" s="34" t="n">
        <x:f>MAX(0,MIN(AH$8+1,'Fleet'!$O49)-MAX(AH$7,'Fleet'!$G49))</x:f>
        <x:v>0</x:v>
      </x:c>
      <x:c r="AI52" s="34" t="n">
        <x:f>MAX(0,MIN(AI$8+1,'Fleet'!$O49)-MAX(AI$7,'Fleet'!$G49))</x:f>
        <x:v>0</x:v>
      </x:c>
      <x:c r="AJ52" s="34" t="n">
        <x:f>MAX(0,MIN(AJ$8+1,'Fleet'!$O49)-MAX(AJ$7,'Fleet'!$G49))</x:f>
        <x:v>0</x:v>
      </x:c>
      <x:c r="AK52" s="34" t="n">
        <x:f>MAX(0,MIN(AK$8+1,'Fleet'!$O49)-MAX(AK$7,'Fleet'!$G49))</x:f>
        <x:v>0</x:v>
      </x:c>
      <x:c r="AL52" s="34" t="n">
        <x:f>MAX(0,MIN(AL$8+1,'Fleet'!$O49)-MAX(AL$7,'Fleet'!$G49))</x:f>
        <x:v>0</x:v>
      </x:c>
      <x:c r="AM52" s="34" t="n">
        <x:f>MAX(0,MIN(AM$8+1,'Fleet'!$O49)-MAX(AM$7,'Fleet'!$G49))</x:f>
        <x:v>0</x:v>
      </x:c>
      <x:c r="AN52" s="34" t="n">
        <x:f>MAX(0,MIN(AN$8+1,'Fleet'!$O49)-MAX(AN$7,'Fleet'!$G49))</x:f>
        <x:v>0</x:v>
      </x:c>
      <x:c r="AO52" s="34" t="n">
        <x:f>MAX(0,MIN(AO$8+1,'Fleet'!$O49)-MAX(AO$7,'Fleet'!$G49))</x:f>
        <x:v>0</x:v>
      </x:c>
      <x:c r="AP52" s="34" t="n">
        <x:f>MAX(0,MIN(AP$8+1,'Fleet'!$O49)-MAX(AP$7,'Fleet'!$G49))</x:f>
        <x:v>0</x:v>
      </x:c>
      <x:c r="AQ52" s="34" t="n">
        <x:f>MAX(0,MIN(AQ$8+1,'Fleet'!$O49)-MAX(AQ$7,'Fleet'!$G49))</x:f>
        <x:v>0</x:v>
      </x:c>
    </x:row>
    <x:row r="53" ht="21" customHeight="1">
      <x:c r="A53" s="2"/>
      <x:c r="B53" s="2"/>
      <x:c r="C53" s="5" t="str">
        <x:f>'Fleet'!C50</x:f>
        <x:v>Star Bianca</x:v>
      </x:c>
      <x:c r="D53" s="5" t="str">
        <x:f>'Fleet'!D50</x:f>
        <x:v>Kamsarmax</x:v>
      </x:c>
      <x:c r="E53" s="34" t="n">
        <x:f>MAX(0,MIN(E$8+1,'Fleet'!$O50)-MAX(E$7,'Fleet'!$G50))</x:f>
        <x:v>83</x:v>
      </x:c>
      <x:c r="F53" s="34" t="n">
        <x:f>MAX(0,MIN(F$8+1,'Fleet'!$O50)-MAX(F$7,'Fleet'!$G50))</x:f>
        <x:v>90</x:v>
      </x:c>
      <x:c r="G53" s="34" t="n">
        <x:f>MAX(0,MIN(G$8+1,'Fleet'!$O50)-MAX(G$7,'Fleet'!$G50))</x:f>
        <x:v>91</x:v>
      </x:c>
      <x:c r="H53" s="34" t="n">
        <x:f>MAX(0,MIN(H$8+1,'Fleet'!$O50)-MAX(H$7,'Fleet'!$G50))</x:f>
        <x:v>92</x:v>
      </x:c>
      <x:c r="I53" s="34" t="n">
        <x:f>MAX(0,MIN(I$8+1,'Fleet'!$O50)-MAX(I$7,'Fleet'!$G50))</x:f>
        <x:v>92</x:v>
      </x:c>
      <x:c r="J53" s="34" t="n">
        <x:f>MAX(0,MIN(J$8+1,'Fleet'!$O50)-MAX(J$7,'Fleet'!$G50))</x:f>
        <x:v>91</x:v>
      </x:c>
      <x:c r="K53" s="34" t="n">
        <x:f>MAX(0,MIN(K$8+1,'Fleet'!$O50)-MAX(K$7,'Fleet'!$G50))</x:f>
        <x:v>91</x:v>
      </x:c>
      <x:c r="L53" s="34" t="n">
        <x:f>MAX(0,MIN(L$8+1,'Fleet'!$O50)-MAX(L$7,'Fleet'!$G50))</x:f>
        <x:v>92</x:v>
      </x:c>
      <x:c r="M53" s="34" t="n">
        <x:f>MAX(0,MIN(M$8+1,'Fleet'!$O50)-MAX(M$7,'Fleet'!$G50))</x:f>
        <x:v>92</x:v>
      </x:c>
      <x:c r="N53" s="34" t="n">
        <x:f>MAX(0,MIN(N$8+1,'Fleet'!$O50)-MAX(N$7,'Fleet'!$G50))</x:f>
        <x:v>90</x:v>
      </x:c>
      <x:c r="O53" s="34" t="n">
        <x:f>MAX(0,MIN(O$8+1,'Fleet'!$O50)-MAX(O$7,'Fleet'!$G50))</x:f>
        <x:v>91</x:v>
      </x:c>
      <x:c r="P53" s="34" t="n">
        <x:f>MAX(0,MIN(P$8+1,'Fleet'!$O50)-MAX(P$7,'Fleet'!$G50))</x:f>
        <x:v>92</x:v>
      </x:c>
      <x:c r="Q53" s="34" t="n">
        <x:f>MAX(0,MIN(Q$8+1,'Fleet'!$O50)-MAX(Q$7,'Fleet'!$G50))</x:f>
        <x:v>365</x:v>
      </x:c>
      <x:c r="R53" s="34" t="n">
        <x:f>MAX(0,MIN(R$8+1,'Fleet'!$O50)-MAX(R$7,'Fleet'!$G50))</x:f>
        <x:v>365</x:v>
      </x:c>
      <x:c r="S53" s="34" t="n">
        <x:f>MAX(0,MIN(S$8+1,'Fleet'!$O50)-MAX(S$7,'Fleet'!$G50))</x:f>
        <x:v>366</x:v>
      </x:c>
      <x:c r="T53" s="34" t="n">
        <x:f>MAX(0,MIN(T$8+1,'Fleet'!$O50)-MAX(T$7,'Fleet'!$G50))</x:f>
        <x:v>273</x:v>
      </x:c>
      <x:c r="U53" s="34" t="n">
        <x:f>MAX(0,MIN(U$8+1,'Fleet'!$O50)-MAX(U$7,'Fleet'!$G50))</x:f>
        <x:v>0</x:v>
      </x:c>
      <x:c r="V53" s="34" t="n">
        <x:f>MAX(0,MIN(V$8+1,'Fleet'!$O50)-MAX(V$7,'Fleet'!$G50))</x:f>
        <x:v>0</x:v>
      </x:c>
      <x:c r="W53" s="34" t="n">
        <x:f>MAX(0,MIN(W$8+1,'Fleet'!$O50)-MAX(W$7,'Fleet'!$G50))</x:f>
        <x:v>0</x:v>
      </x:c>
      <x:c r="X53" s="34" t="n">
        <x:f>MAX(0,MIN(X$8+1,'Fleet'!$O50)-MAX(X$7,'Fleet'!$G50))</x:f>
        <x:v>0</x:v>
      </x:c>
      <x:c r="Y53" s="34" t="n">
        <x:f>MAX(0,MIN(Y$8+1,'Fleet'!$O50)-MAX(Y$7,'Fleet'!$G50))</x:f>
        <x:v>0</x:v>
      </x:c>
      <x:c r="Z53" s="34" t="n">
        <x:f>MAX(0,MIN(Z$8+1,'Fleet'!$O50)-MAX(Z$7,'Fleet'!$G50))</x:f>
        <x:v>0</x:v>
      </x:c>
      <x:c r="AA53" s="34" t="n">
        <x:f>MAX(0,MIN(AA$8+1,'Fleet'!$O50)-MAX(AA$7,'Fleet'!$G50))</x:f>
        <x:v>0</x:v>
      </x:c>
      <x:c r="AB53" s="34" t="n">
        <x:f>MAX(0,MIN(AB$8+1,'Fleet'!$O50)-MAX(AB$7,'Fleet'!$G50))</x:f>
        <x:v>0</x:v>
      </x:c>
      <x:c r="AC53" s="34" t="n">
        <x:f>MAX(0,MIN(AC$8+1,'Fleet'!$O50)-MAX(AC$7,'Fleet'!$G50))</x:f>
        <x:v>0</x:v>
      </x:c>
      <x:c r="AD53" s="34" t="n">
        <x:f>MAX(0,MIN(AD$8+1,'Fleet'!$O50)-MAX(AD$7,'Fleet'!$G50))</x:f>
        <x:v>0</x:v>
      </x:c>
      <x:c r="AE53" s="34" t="n">
        <x:f>MAX(0,MIN(AE$8+1,'Fleet'!$O50)-MAX(AE$7,'Fleet'!$G50))</x:f>
        <x:v>0</x:v>
      </x:c>
      <x:c r="AF53" s="34" t="n">
        <x:f>MAX(0,MIN(AF$8+1,'Fleet'!$O50)-MAX(AF$7,'Fleet'!$G50))</x:f>
        <x:v>0</x:v>
      </x:c>
      <x:c r="AG53" s="34" t="n">
        <x:f>MAX(0,MIN(AG$8+1,'Fleet'!$O50)-MAX(AG$7,'Fleet'!$G50))</x:f>
        <x:v>0</x:v>
      </x:c>
      <x:c r="AH53" s="34" t="n">
        <x:f>MAX(0,MIN(AH$8+1,'Fleet'!$O50)-MAX(AH$7,'Fleet'!$G50))</x:f>
        <x:v>0</x:v>
      </x:c>
      <x:c r="AI53" s="34" t="n">
        <x:f>MAX(0,MIN(AI$8+1,'Fleet'!$O50)-MAX(AI$7,'Fleet'!$G50))</x:f>
        <x:v>0</x:v>
      </x:c>
      <x:c r="AJ53" s="34" t="n">
        <x:f>MAX(0,MIN(AJ$8+1,'Fleet'!$O50)-MAX(AJ$7,'Fleet'!$G50))</x:f>
        <x:v>0</x:v>
      </x:c>
      <x:c r="AK53" s="34" t="n">
        <x:f>MAX(0,MIN(AK$8+1,'Fleet'!$O50)-MAX(AK$7,'Fleet'!$G50))</x:f>
        <x:v>0</x:v>
      </x:c>
      <x:c r="AL53" s="34" t="n">
        <x:f>MAX(0,MIN(AL$8+1,'Fleet'!$O50)-MAX(AL$7,'Fleet'!$G50))</x:f>
        <x:v>0</x:v>
      </x:c>
      <x:c r="AM53" s="34" t="n">
        <x:f>MAX(0,MIN(AM$8+1,'Fleet'!$O50)-MAX(AM$7,'Fleet'!$G50))</x:f>
        <x:v>0</x:v>
      </x:c>
      <x:c r="AN53" s="34" t="n">
        <x:f>MAX(0,MIN(AN$8+1,'Fleet'!$O50)-MAX(AN$7,'Fleet'!$G50))</x:f>
        <x:v>0</x:v>
      </x:c>
      <x:c r="AO53" s="34" t="n">
        <x:f>MAX(0,MIN(AO$8+1,'Fleet'!$O50)-MAX(AO$7,'Fleet'!$G50))</x:f>
        <x:v>0</x:v>
      </x:c>
      <x:c r="AP53" s="34" t="n">
        <x:f>MAX(0,MIN(AP$8+1,'Fleet'!$O50)-MAX(AP$7,'Fleet'!$G50))</x:f>
        <x:v>0</x:v>
      </x:c>
      <x:c r="AQ53" s="34" t="n">
        <x:f>MAX(0,MIN(AQ$8+1,'Fleet'!$O50)-MAX(AQ$7,'Fleet'!$G50))</x:f>
        <x:v>0</x:v>
      </x:c>
    </x:row>
    <x:row r="54" ht="21" customHeight="1">
      <x:c r="A54" s="2"/>
      <x:c r="B54" s="2"/>
      <x:c r="C54" s="5" t="str">
        <x:f>'Fleet'!C51</x:f>
        <x:v>Star Maria</x:v>
      </x:c>
      <x:c r="D54" s="5" t="str">
        <x:f>'Fleet'!D51</x:f>
        <x:v>Kamsarmax</x:v>
      </x:c>
      <x:c r="E54" s="34" t="n">
        <x:f>MAX(0,MIN(E$8+1,'Fleet'!$O51)-MAX(E$7,'Fleet'!$G51))</x:f>
        <x:v>83</x:v>
      </x:c>
      <x:c r="F54" s="34" t="n">
        <x:f>MAX(0,MIN(F$8+1,'Fleet'!$O51)-MAX(F$7,'Fleet'!$G51))</x:f>
        <x:v>90</x:v>
      </x:c>
      <x:c r="G54" s="34" t="n">
        <x:f>MAX(0,MIN(G$8+1,'Fleet'!$O51)-MAX(G$7,'Fleet'!$G51))</x:f>
        <x:v>91</x:v>
      </x:c>
      <x:c r="H54" s="34" t="n">
        <x:f>MAX(0,MIN(H$8+1,'Fleet'!$O51)-MAX(H$7,'Fleet'!$G51))</x:f>
        <x:v>92</x:v>
      </x:c>
      <x:c r="I54" s="34" t="n">
        <x:f>MAX(0,MIN(I$8+1,'Fleet'!$O51)-MAX(I$7,'Fleet'!$G51))</x:f>
        <x:v>92</x:v>
      </x:c>
      <x:c r="J54" s="34" t="n">
        <x:f>MAX(0,MIN(J$8+1,'Fleet'!$O51)-MAX(J$7,'Fleet'!$G51))</x:f>
        <x:v>91</x:v>
      </x:c>
      <x:c r="K54" s="34" t="n">
        <x:f>MAX(0,MIN(K$8+1,'Fleet'!$O51)-MAX(K$7,'Fleet'!$G51))</x:f>
        <x:v>91</x:v>
      </x:c>
      <x:c r="L54" s="34" t="n">
        <x:f>MAX(0,MIN(L$8+1,'Fleet'!$O51)-MAX(L$7,'Fleet'!$G51))</x:f>
        <x:v>92</x:v>
      </x:c>
      <x:c r="M54" s="34" t="n">
        <x:f>MAX(0,MIN(M$8+1,'Fleet'!$O51)-MAX(M$7,'Fleet'!$G51))</x:f>
        <x:v>92</x:v>
      </x:c>
      <x:c r="N54" s="34" t="n">
        <x:f>MAX(0,MIN(N$8+1,'Fleet'!$O51)-MAX(N$7,'Fleet'!$G51))</x:f>
        <x:v>90</x:v>
      </x:c>
      <x:c r="O54" s="34" t="n">
        <x:f>MAX(0,MIN(O$8+1,'Fleet'!$O51)-MAX(O$7,'Fleet'!$G51))</x:f>
        <x:v>91</x:v>
      </x:c>
      <x:c r="P54" s="34" t="n">
        <x:f>MAX(0,MIN(P$8+1,'Fleet'!$O51)-MAX(P$7,'Fleet'!$G51))</x:f>
        <x:v>92</x:v>
      </x:c>
      <x:c r="Q54" s="34" t="n">
        <x:f>MAX(0,MIN(Q$8+1,'Fleet'!$O51)-MAX(Q$7,'Fleet'!$G51))</x:f>
        <x:v>365</x:v>
      </x:c>
      <x:c r="R54" s="34" t="n">
        <x:f>MAX(0,MIN(R$8+1,'Fleet'!$O51)-MAX(R$7,'Fleet'!$G51))</x:f>
        <x:v>365</x:v>
      </x:c>
      <x:c r="S54" s="34" t="n">
        <x:f>MAX(0,MIN(S$8+1,'Fleet'!$O51)-MAX(S$7,'Fleet'!$G51))</x:f>
        <x:v>274</x:v>
      </x:c>
      <x:c r="T54" s="34" t="n">
        <x:f>MAX(0,MIN(T$8+1,'Fleet'!$O51)-MAX(T$7,'Fleet'!$G51))</x:f>
        <x:v>0</x:v>
      </x:c>
      <x:c r="U54" s="34" t="n">
        <x:f>MAX(0,MIN(U$8+1,'Fleet'!$O51)-MAX(U$7,'Fleet'!$G51))</x:f>
        <x:v>0</x:v>
      </x:c>
      <x:c r="V54" s="34" t="n">
        <x:f>MAX(0,MIN(V$8+1,'Fleet'!$O51)-MAX(V$7,'Fleet'!$G51))</x:f>
        <x:v>0</x:v>
      </x:c>
      <x:c r="W54" s="34" t="n">
        <x:f>MAX(0,MIN(W$8+1,'Fleet'!$O51)-MAX(W$7,'Fleet'!$G51))</x:f>
        <x:v>0</x:v>
      </x:c>
      <x:c r="X54" s="34" t="n">
        <x:f>MAX(0,MIN(X$8+1,'Fleet'!$O51)-MAX(X$7,'Fleet'!$G51))</x:f>
        <x:v>0</x:v>
      </x:c>
      <x:c r="Y54" s="34" t="n">
        <x:f>MAX(0,MIN(Y$8+1,'Fleet'!$O51)-MAX(Y$7,'Fleet'!$G51))</x:f>
        <x:v>0</x:v>
      </x:c>
      <x:c r="Z54" s="34" t="n">
        <x:f>MAX(0,MIN(Z$8+1,'Fleet'!$O51)-MAX(Z$7,'Fleet'!$G51))</x:f>
        <x:v>0</x:v>
      </x:c>
      <x:c r="AA54" s="34" t="n">
        <x:f>MAX(0,MIN(AA$8+1,'Fleet'!$O51)-MAX(AA$7,'Fleet'!$G51))</x:f>
        <x:v>0</x:v>
      </x:c>
      <x:c r="AB54" s="34" t="n">
        <x:f>MAX(0,MIN(AB$8+1,'Fleet'!$O51)-MAX(AB$7,'Fleet'!$G51))</x:f>
        <x:v>0</x:v>
      </x:c>
      <x:c r="AC54" s="34" t="n">
        <x:f>MAX(0,MIN(AC$8+1,'Fleet'!$O51)-MAX(AC$7,'Fleet'!$G51))</x:f>
        <x:v>0</x:v>
      </x:c>
      <x:c r="AD54" s="34" t="n">
        <x:f>MAX(0,MIN(AD$8+1,'Fleet'!$O51)-MAX(AD$7,'Fleet'!$G51))</x:f>
        <x:v>0</x:v>
      </x:c>
      <x:c r="AE54" s="34" t="n">
        <x:f>MAX(0,MIN(AE$8+1,'Fleet'!$O51)-MAX(AE$7,'Fleet'!$G51))</x:f>
        <x:v>0</x:v>
      </x:c>
      <x:c r="AF54" s="34" t="n">
        <x:f>MAX(0,MIN(AF$8+1,'Fleet'!$O51)-MAX(AF$7,'Fleet'!$G51))</x:f>
        <x:v>0</x:v>
      </x:c>
      <x:c r="AG54" s="34" t="n">
        <x:f>MAX(0,MIN(AG$8+1,'Fleet'!$O51)-MAX(AG$7,'Fleet'!$G51))</x:f>
        <x:v>0</x:v>
      </x:c>
      <x:c r="AH54" s="34" t="n">
        <x:f>MAX(0,MIN(AH$8+1,'Fleet'!$O51)-MAX(AH$7,'Fleet'!$G51))</x:f>
        <x:v>0</x:v>
      </x:c>
      <x:c r="AI54" s="34" t="n">
        <x:f>MAX(0,MIN(AI$8+1,'Fleet'!$O51)-MAX(AI$7,'Fleet'!$G51))</x:f>
        <x:v>0</x:v>
      </x:c>
      <x:c r="AJ54" s="34" t="n">
        <x:f>MAX(0,MIN(AJ$8+1,'Fleet'!$O51)-MAX(AJ$7,'Fleet'!$G51))</x:f>
        <x:v>0</x:v>
      </x:c>
      <x:c r="AK54" s="34" t="n">
        <x:f>MAX(0,MIN(AK$8+1,'Fleet'!$O51)-MAX(AK$7,'Fleet'!$G51))</x:f>
        <x:v>0</x:v>
      </x:c>
      <x:c r="AL54" s="34" t="n">
        <x:f>MAX(0,MIN(AL$8+1,'Fleet'!$O51)-MAX(AL$7,'Fleet'!$G51))</x:f>
        <x:v>0</x:v>
      </x:c>
      <x:c r="AM54" s="34" t="n">
        <x:f>MAX(0,MIN(AM$8+1,'Fleet'!$O51)-MAX(AM$7,'Fleet'!$G51))</x:f>
        <x:v>0</x:v>
      </x:c>
      <x:c r="AN54" s="34" t="n">
        <x:f>MAX(0,MIN(AN$8+1,'Fleet'!$O51)-MAX(AN$7,'Fleet'!$G51))</x:f>
        <x:v>0</x:v>
      </x:c>
      <x:c r="AO54" s="34" t="n">
        <x:f>MAX(0,MIN(AO$8+1,'Fleet'!$O51)-MAX(AO$7,'Fleet'!$G51))</x:f>
        <x:v>0</x:v>
      </x:c>
      <x:c r="AP54" s="34" t="n">
        <x:f>MAX(0,MIN(AP$8+1,'Fleet'!$O51)-MAX(AP$7,'Fleet'!$G51))</x:f>
        <x:v>0</x:v>
      </x:c>
      <x:c r="AQ54" s="34" t="n">
        <x:f>MAX(0,MIN(AQ$8+1,'Fleet'!$O51)-MAX(AQ$7,'Fleet'!$G51))</x:f>
        <x:v>0</x:v>
      </x:c>
    </x:row>
    <x:row r="55" ht="21" customHeight="1">
      <x:c r="A55" s="2"/>
      <x:c r="B55" s="2"/>
      <x:c r="C55" s="5" t="str">
        <x:f>'Fleet'!C52</x:f>
        <x:v>Star Markella</x:v>
      </x:c>
      <x:c r="D55" s="5" t="str">
        <x:f>'Fleet'!D52</x:f>
        <x:v>Kamsarmax</x:v>
      </x:c>
      <x:c r="E55" s="34" t="n">
        <x:f>MAX(0,MIN(E$8+1,'Fleet'!$O52)-MAX(E$7,'Fleet'!$G52))</x:f>
        <x:v>83</x:v>
      </x:c>
      <x:c r="F55" s="34" t="n">
        <x:f>MAX(0,MIN(F$8+1,'Fleet'!$O52)-MAX(F$7,'Fleet'!$G52))</x:f>
        <x:v>90</x:v>
      </x:c>
      <x:c r="G55" s="34" t="n">
        <x:f>MAX(0,MIN(G$8+1,'Fleet'!$O52)-MAX(G$7,'Fleet'!$G52))</x:f>
        <x:v>91</x:v>
      </x:c>
      <x:c r="H55" s="34" t="n">
        <x:f>MAX(0,MIN(H$8+1,'Fleet'!$O52)-MAX(H$7,'Fleet'!$G52))</x:f>
        <x:v>92</x:v>
      </x:c>
      <x:c r="I55" s="34" t="n">
        <x:f>MAX(0,MIN(I$8+1,'Fleet'!$O52)-MAX(I$7,'Fleet'!$G52))</x:f>
        <x:v>92</x:v>
      </x:c>
      <x:c r="J55" s="34" t="n">
        <x:f>MAX(0,MIN(J$8+1,'Fleet'!$O52)-MAX(J$7,'Fleet'!$G52))</x:f>
        <x:v>91</x:v>
      </x:c>
      <x:c r="K55" s="34" t="n">
        <x:f>MAX(0,MIN(K$8+1,'Fleet'!$O52)-MAX(K$7,'Fleet'!$G52))</x:f>
        <x:v>91</x:v>
      </x:c>
      <x:c r="L55" s="34" t="n">
        <x:f>MAX(0,MIN(L$8+1,'Fleet'!$O52)-MAX(L$7,'Fleet'!$G52))</x:f>
        <x:v>92</x:v>
      </x:c>
      <x:c r="M55" s="34" t="n">
        <x:f>MAX(0,MIN(M$8+1,'Fleet'!$O52)-MAX(M$7,'Fleet'!$G52))</x:f>
        <x:v>92</x:v>
      </x:c>
      <x:c r="N55" s="34" t="n">
        <x:f>MAX(0,MIN(N$8+1,'Fleet'!$O52)-MAX(N$7,'Fleet'!$G52))</x:f>
        <x:v>90</x:v>
      </x:c>
      <x:c r="O55" s="34" t="n">
        <x:f>MAX(0,MIN(O$8+1,'Fleet'!$O52)-MAX(O$7,'Fleet'!$G52))</x:f>
        <x:v>91</x:v>
      </x:c>
      <x:c r="P55" s="34" t="n">
        <x:f>MAX(0,MIN(P$8+1,'Fleet'!$O52)-MAX(P$7,'Fleet'!$G52))</x:f>
        <x:v>92</x:v>
      </x:c>
      <x:c r="Q55" s="34" t="n">
        <x:f>MAX(0,MIN(Q$8+1,'Fleet'!$O52)-MAX(Q$7,'Fleet'!$G52))</x:f>
        <x:v>365</x:v>
      </x:c>
      <x:c r="R55" s="34" t="n">
        <x:f>MAX(0,MIN(R$8+1,'Fleet'!$O52)-MAX(R$7,'Fleet'!$G52))</x:f>
        <x:v>365</x:v>
      </x:c>
      <x:c r="S55" s="34" t="n">
        <x:f>MAX(0,MIN(S$8+1,'Fleet'!$O52)-MAX(S$7,'Fleet'!$G52))</x:f>
        <x:v>274</x:v>
      </x:c>
      <x:c r="T55" s="34" t="n">
        <x:f>MAX(0,MIN(T$8+1,'Fleet'!$O52)-MAX(T$7,'Fleet'!$G52))</x:f>
        <x:v>0</x:v>
      </x:c>
      <x:c r="U55" s="34" t="n">
        <x:f>MAX(0,MIN(U$8+1,'Fleet'!$O52)-MAX(U$7,'Fleet'!$G52))</x:f>
        <x:v>0</x:v>
      </x:c>
      <x:c r="V55" s="34" t="n">
        <x:f>MAX(0,MIN(V$8+1,'Fleet'!$O52)-MAX(V$7,'Fleet'!$G52))</x:f>
        <x:v>0</x:v>
      </x:c>
      <x:c r="W55" s="34" t="n">
        <x:f>MAX(0,MIN(W$8+1,'Fleet'!$O52)-MAX(W$7,'Fleet'!$G52))</x:f>
        <x:v>0</x:v>
      </x:c>
      <x:c r="X55" s="34" t="n">
        <x:f>MAX(0,MIN(X$8+1,'Fleet'!$O52)-MAX(X$7,'Fleet'!$G52))</x:f>
        <x:v>0</x:v>
      </x:c>
      <x:c r="Y55" s="34" t="n">
        <x:f>MAX(0,MIN(Y$8+1,'Fleet'!$O52)-MAX(Y$7,'Fleet'!$G52))</x:f>
        <x:v>0</x:v>
      </x:c>
      <x:c r="Z55" s="34" t="n">
        <x:f>MAX(0,MIN(Z$8+1,'Fleet'!$O52)-MAX(Z$7,'Fleet'!$G52))</x:f>
        <x:v>0</x:v>
      </x:c>
      <x:c r="AA55" s="34" t="n">
        <x:f>MAX(0,MIN(AA$8+1,'Fleet'!$O52)-MAX(AA$7,'Fleet'!$G52))</x:f>
        <x:v>0</x:v>
      </x:c>
      <x:c r="AB55" s="34" t="n">
        <x:f>MAX(0,MIN(AB$8+1,'Fleet'!$O52)-MAX(AB$7,'Fleet'!$G52))</x:f>
        <x:v>0</x:v>
      </x:c>
      <x:c r="AC55" s="34" t="n">
        <x:f>MAX(0,MIN(AC$8+1,'Fleet'!$O52)-MAX(AC$7,'Fleet'!$G52))</x:f>
        <x:v>0</x:v>
      </x:c>
      <x:c r="AD55" s="34" t="n">
        <x:f>MAX(0,MIN(AD$8+1,'Fleet'!$O52)-MAX(AD$7,'Fleet'!$G52))</x:f>
        <x:v>0</x:v>
      </x:c>
      <x:c r="AE55" s="34" t="n">
        <x:f>MAX(0,MIN(AE$8+1,'Fleet'!$O52)-MAX(AE$7,'Fleet'!$G52))</x:f>
        <x:v>0</x:v>
      </x:c>
      <x:c r="AF55" s="34" t="n">
        <x:f>MAX(0,MIN(AF$8+1,'Fleet'!$O52)-MAX(AF$7,'Fleet'!$G52))</x:f>
        <x:v>0</x:v>
      </x:c>
      <x:c r="AG55" s="34" t="n">
        <x:f>MAX(0,MIN(AG$8+1,'Fleet'!$O52)-MAX(AG$7,'Fleet'!$G52))</x:f>
        <x:v>0</x:v>
      </x:c>
      <x:c r="AH55" s="34" t="n">
        <x:f>MAX(0,MIN(AH$8+1,'Fleet'!$O52)-MAX(AH$7,'Fleet'!$G52))</x:f>
        <x:v>0</x:v>
      </x:c>
      <x:c r="AI55" s="34" t="n">
        <x:f>MAX(0,MIN(AI$8+1,'Fleet'!$O52)-MAX(AI$7,'Fleet'!$G52))</x:f>
        <x:v>0</x:v>
      </x:c>
      <x:c r="AJ55" s="34" t="n">
        <x:f>MAX(0,MIN(AJ$8+1,'Fleet'!$O52)-MAX(AJ$7,'Fleet'!$G52))</x:f>
        <x:v>0</x:v>
      </x:c>
      <x:c r="AK55" s="34" t="n">
        <x:f>MAX(0,MIN(AK$8+1,'Fleet'!$O52)-MAX(AK$7,'Fleet'!$G52))</x:f>
        <x:v>0</x:v>
      </x:c>
      <x:c r="AL55" s="34" t="n">
        <x:f>MAX(0,MIN(AL$8+1,'Fleet'!$O52)-MAX(AL$7,'Fleet'!$G52))</x:f>
        <x:v>0</x:v>
      </x:c>
      <x:c r="AM55" s="34" t="n">
        <x:f>MAX(0,MIN(AM$8+1,'Fleet'!$O52)-MAX(AM$7,'Fleet'!$G52))</x:f>
        <x:v>0</x:v>
      </x:c>
      <x:c r="AN55" s="34" t="n">
        <x:f>MAX(0,MIN(AN$8+1,'Fleet'!$O52)-MAX(AN$7,'Fleet'!$G52))</x:f>
        <x:v>0</x:v>
      </x:c>
      <x:c r="AO55" s="34" t="n">
        <x:f>MAX(0,MIN(AO$8+1,'Fleet'!$O52)-MAX(AO$7,'Fleet'!$G52))</x:f>
        <x:v>0</x:v>
      </x:c>
      <x:c r="AP55" s="34" t="n">
        <x:f>MAX(0,MIN(AP$8+1,'Fleet'!$O52)-MAX(AP$7,'Fleet'!$G52))</x:f>
        <x:v>0</x:v>
      </x:c>
      <x:c r="AQ55" s="34" t="n">
        <x:f>MAX(0,MIN(AQ$8+1,'Fleet'!$O52)-MAX(AQ$7,'Fleet'!$G52))</x:f>
        <x:v>0</x:v>
      </x:c>
    </x:row>
    <x:row r="56" ht="21" customHeight="1">
      <x:c r="A56" s="2"/>
      <x:c r="B56" s="2"/>
      <x:c r="C56" s="5" t="str">
        <x:f>'Fleet'!C53</x:f>
        <x:v>Star Jeannette</x:v>
      </x:c>
      <x:c r="D56" s="5" t="str">
        <x:f>'Fleet'!D53</x:f>
        <x:v>Kamsarmax</x:v>
      </x:c>
      <x:c r="E56" s="34" t="n">
        <x:f>MAX(0,MIN(E$8+1,'Fleet'!$O53)-MAX(E$7,'Fleet'!$G53))</x:f>
        <x:v>83</x:v>
      </x:c>
      <x:c r="F56" s="34" t="n">
        <x:f>MAX(0,MIN(F$8+1,'Fleet'!$O53)-MAX(F$7,'Fleet'!$G53))</x:f>
        <x:v>90</x:v>
      </x:c>
      <x:c r="G56" s="34" t="n">
        <x:f>MAX(0,MIN(G$8+1,'Fleet'!$O53)-MAX(G$7,'Fleet'!$G53))</x:f>
        <x:v>91</x:v>
      </x:c>
      <x:c r="H56" s="34" t="n">
        <x:f>MAX(0,MIN(H$8+1,'Fleet'!$O53)-MAX(H$7,'Fleet'!$G53))</x:f>
        <x:v>92</x:v>
      </x:c>
      <x:c r="I56" s="34" t="n">
        <x:f>MAX(0,MIN(I$8+1,'Fleet'!$O53)-MAX(I$7,'Fleet'!$G53))</x:f>
        <x:v>92</x:v>
      </x:c>
      <x:c r="J56" s="34" t="n">
        <x:f>MAX(0,MIN(J$8+1,'Fleet'!$O53)-MAX(J$7,'Fleet'!$G53))</x:f>
        <x:v>91</x:v>
      </x:c>
      <x:c r="K56" s="34" t="n">
        <x:f>MAX(0,MIN(K$8+1,'Fleet'!$O53)-MAX(K$7,'Fleet'!$G53))</x:f>
        <x:v>91</x:v>
      </x:c>
      <x:c r="L56" s="34" t="n">
        <x:f>MAX(0,MIN(L$8+1,'Fleet'!$O53)-MAX(L$7,'Fleet'!$G53))</x:f>
        <x:v>92</x:v>
      </x:c>
      <x:c r="M56" s="34" t="n">
        <x:f>MAX(0,MIN(M$8+1,'Fleet'!$O53)-MAX(M$7,'Fleet'!$G53))</x:f>
        <x:v>92</x:v>
      </x:c>
      <x:c r="N56" s="34" t="n">
        <x:f>MAX(0,MIN(N$8+1,'Fleet'!$O53)-MAX(N$7,'Fleet'!$G53))</x:f>
        <x:v>90</x:v>
      </x:c>
      <x:c r="O56" s="34" t="n">
        <x:f>MAX(0,MIN(O$8+1,'Fleet'!$O53)-MAX(O$7,'Fleet'!$G53))</x:f>
        <x:v>91</x:v>
      </x:c>
      <x:c r="P56" s="34" t="n">
        <x:f>MAX(0,MIN(P$8+1,'Fleet'!$O53)-MAX(P$7,'Fleet'!$G53))</x:f>
        <x:v>92</x:v>
      </x:c>
      <x:c r="Q56" s="34" t="n">
        <x:f>MAX(0,MIN(Q$8+1,'Fleet'!$O53)-MAX(Q$7,'Fleet'!$G53))</x:f>
        <x:v>365</x:v>
      </x:c>
      <x:c r="R56" s="34" t="n">
        <x:f>MAX(0,MIN(R$8+1,'Fleet'!$O53)-MAX(R$7,'Fleet'!$G53))</x:f>
        <x:v>365</x:v>
      </x:c>
      <x:c r="S56" s="34" t="n">
        <x:f>MAX(0,MIN(S$8+1,'Fleet'!$O53)-MAX(S$7,'Fleet'!$G53))</x:f>
        <x:v>366</x:v>
      </x:c>
      <x:c r="T56" s="34" t="n">
        <x:f>MAX(0,MIN(T$8+1,'Fleet'!$O53)-MAX(T$7,'Fleet'!$G53))</x:f>
        <x:v>365</x:v>
      </x:c>
      <x:c r="U56" s="34" t="n">
        <x:f>MAX(0,MIN(U$8+1,'Fleet'!$O53)-MAX(U$7,'Fleet'!$G53))</x:f>
        <x:v>365</x:v>
      </x:c>
      <x:c r="V56" s="34" t="n">
        <x:f>MAX(0,MIN(V$8+1,'Fleet'!$O53)-MAX(V$7,'Fleet'!$G53))</x:f>
        <x:v>365</x:v>
      </x:c>
      <x:c r="W56" s="34" t="n">
        <x:f>MAX(0,MIN(W$8+1,'Fleet'!$O53)-MAX(W$7,'Fleet'!$G53))</x:f>
        <x:v>366</x:v>
      </x:c>
      <x:c r="X56" s="34" t="n">
        <x:f>MAX(0,MIN(X$8+1,'Fleet'!$O53)-MAX(X$7,'Fleet'!$G53))</x:f>
        <x:v>365</x:v>
      </x:c>
      <x:c r="Y56" s="34" t="n">
        <x:f>MAX(0,MIN(Y$8+1,'Fleet'!$O53)-MAX(Y$7,'Fleet'!$G53))</x:f>
        <x:v>365</x:v>
      </x:c>
      <x:c r="Z56" s="34" t="n">
        <x:f>MAX(0,MIN(Z$8+1,'Fleet'!$O53)-MAX(Z$7,'Fleet'!$G53))</x:f>
        <x:v>273</x:v>
      </x:c>
      <x:c r="AA56" s="34" t="n">
        <x:f>MAX(0,MIN(AA$8+1,'Fleet'!$O53)-MAX(AA$7,'Fleet'!$G53))</x:f>
        <x:v>0</x:v>
      </x:c>
      <x:c r="AB56" s="34" t="n">
        <x:f>MAX(0,MIN(AB$8+1,'Fleet'!$O53)-MAX(AB$7,'Fleet'!$G53))</x:f>
        <x:v>0</x:v>
      </x:c>
      <x:c r="AC56" s="34" t="n">
        <x:f>MAX(0,MIN(AC$8+1,'Fleet'!$O53)-MAX(AC$7,'Fleet'!$G53))</x:f>
        <x:v>0</x:v>
      </x:c>
      <x:c r="AD56" s="34" t="n">
        <x:f>MAX(0,MIN(AD$8+1,'Fleet'!$O53)-MAX(AD$7,'Fleet'!$G53))</x:f>
        <x:v>0</x:v>
      </x:c>
      <x:c r="AE56" s="34" t="n">
        <x:f>MAX(0,MIN(AE$8+1,'Fleet'!$O53)-MAX(AE$7,'Fleet'!$G53))</x:f>
        <x:v>0</x:v>
      </x:c>
      <x:c r="AF56" s="34" t="n">
        <x:f>MAX(0,MIN(AF$8+1,'Fleet'!$O53)-MAX(AF$7,'Fleet'!$G53))</x:f>
        <x:v>0</x:v>
      </x:c>
      <x:c r="AG56" s="34" t="n">
        <x:f>MAX(0,MIN(AG$8+1,'Fleet'!$O53)-MAX(AG$7,'Fleet'!$G53))</x:f>
        <x:v>0</x:v>
      </x:c>
      <x:c r="AH56" s="34" t="n">
        <x:f>MAX(0,MIN(AH$8+1,'Fleet'!$O53)-MAX(AH$7,'Fleet'!$G53))</x:f>
        <x:v>0</x:v>
      </x:c>
      <x:c r="AI56" s="34" t="n">
        <x:f>MAX(0,MIN(AI$8+1,'Fleet'!$O53)-MAX(AI$7,'Fleet'!$G53))</x:f>
        <x:v>0</x:v>
      </x:c>
      <x:c r="AJ56" s="34" t="n">
        <x:f>MAX(0,MIN(AJ$8+1,'Fleet'!$O53)-MAX(AJ$7,'Fleet'!$G53))</x:f>
        <x:v>0</x:v>
      </x:c>
      <x:c r="AK56" s="34" t="n">
        <x:f>MAX(0,MIN(AK$8+1,'Fleet'!$O53)-MAX(AK$7,'Fleet'!$G53))</x:f>
        <x:v>0</x:v>
      </x:c>
      <x:c r="AL56" s="34" t="n">
        <x:f>MAX(0,MIN(AL$8+1,'Fleet'!$O53)-MAX(AL$7,'Fleet'!$G53))</x:f>
        <x:v>0</x:v>
      </x:c>
      <x:c r="AM56" s="34" t="n">
        <x:f>MAX(0,MIN(AM$8+1,'Fleet'!$O53)-MAX(AM$7,'Fleet'!$G53))</x:f>
        <x:v>0</x:v>
      </x:c>
      <x:c r="AN56" s="34" t="n">
        <x:f>MAX(0,MIN(AN$8+1,'Fleet'!$O53)-MAX(AN$7,'Fleet'!$G53))</x:f>
        <x:v>0</x:v>
      </x:c>
      <x:c r="AO56" s="34" t="n">
        <x:f>MAX(0,MIN(AO$8+1,'Fleet'!$O53)-MAX(AO$7,'Fleet'!$G53))</x:f>
        <x:v>0</x:v>
      </x:c>
      <x:c r="AP56" s="34" t="n">
        <x:f>MAX(0,MIN(AP$8+1,'Fleet'!$O53)-MAX(AP$7,'Fleet'!$G53))</x:f>
        <x:v>0</x:v>
      </x:c>
      <x:c r="AQ56" s="34" t="n">
        <x:f>MAX(0,MIN(AQ$8+1,'Fleet'!$O53)-MAX(AQ$7,'Fleet'!$G53))</x:f>
        <x:v>0</x:v>
      </x:c>
    </x:row>
    <x:row r="57" ht="21" customHeight="1">
      <x:c r="A57" s="2"/>
      <x:c r="B57" s="2"/>
      <x:c r="C57" s="5" t="str">
        <x:f>'Fleet'!C54</x:f>
        <x:v>Star Elizabeth</x:v>
      </x:c>
      <x:c r="D57" s="5" t="str">
        <x:f>'Fleet'!D54</x:f>
        <x:v>Kamsarmax</x:v>
      </x:c>
      <x:c r="E57" s="34" t="n">
        <x:f>MAX(0,MIN(E$8+1,'Fleet'!$O54)-MAX(E$7,'Fleet'!$G54))</x:f>
        <x:v>83</x:v>
      </x:c>
      <x:c r="F57" s="34" t="n">
        <x:f>MAX(0,MIN(F$8+1,'Fleet'!$O54)-MAX(F$7,'Fleet'!$G54))</x:f>
        <x:v>90</x:v>
      </x:c>
      <x:c r="G57" s="34" t="n">
        <x:f>MAX(0,MIN(G$8+1,'Fleet'!$O54)-MAX(G$7,'Fleet'!$G54))</x:f>
        <x:v>91</x:v>
      </x:c>
      <x:c r="H57" s="34" t="n">
        <x:f>MAX(0,MIN(H$8+1,'Fleet'!$O54)-MAX(H$7,'Fleet'!$G54))</x:f>
        <x:v>92</x:v>
      </x:c>
      <x:c r="I57" s="34" t="n">
        <x:f>MAX(0,MIN(I$8+1,'Fleet'!$O54)-MAX(I$7,'Fleet'!$G54))</x:f>
        <x:v>92</x:v>
      </x:c>
      <x:c r="J57" s="34" t="n">
        <x:f>MAX(0,MIN(J$8+1,'Fleet'!$O54)-MAX(J$7,'Fleet'!$G54))</x:f>
        <x:v>91</x:v>
      </x:c>
      <x:c r="K57" s="34" t="n">
        <x:f>MAX(0,MIN(K$8+1,'Fleet'!$O54)-MAX(K$7,'Fleet'!$G54))</x:f>
        <x:v>91</x:v>
      </x:c>
      <x:c r="L57" s="34" t="n">
        <x:f>MAX(0,MIN(L$8+1,'Fleet'!$O54)-MAX(L$7,'Fleet'!$G54))</x:f>
        <x:v>92</x:v>
      </x:c>
      <x:c r="M57" s="34" t="n">
        <x:f>MAX(0,MIN(M$8+1,'Fleet'!$O54)-MAX(M$7,'Fleet'!$G54))</x:f>
        <x:v>92</x:v>
      </x:c>
      <x:c r="N57" s="34" t="n">
        <x:f>MAX(0,MIN(N$8+1,'Fleet'!$O54)-MAX(N$7,'Fleet'!$G54))</x:f>
        <x:v>90</x:v>
      </x:c>
      <x:c r="O57" s="34" t="n">
        <x:f>MAX(0,MIN(O$8+1,'Fleet'!$O54)-MAX(O$7,'Fleet'!$G54))</x:f>
        <x:v>91</x:v>
      </x:c>
      <x:c r="P57" s="34" t="n">
        <x:f>MAX(0,MIN(P$8+1,'Fleet'!$O54)-MAX(P$7,'Fleet'!$G54))</x:f>
        <x:v>92</x:v>
      </x:c>
      <x:c r="Q57" s="34" t="n">
        <x:f>MAX(0,MIN(Q$8+1,'Fleet'!$O54)-MAX(Q$7,'Fleet'!$G54))</x:f>
        <x:v>365</x:v>
      </x:c>
      <x:c r="R57" s="34" t="n">
        <x:f>MAX(0,MIN(R$8+1,'Fleet'!$O54)-MAX(R$7,'Fleet'!$G54))</x:f>
        <x:v>365</x:v>
      </x:c>
      <x:c r="S57" s="34" t="n">
        <x:f>MAX(0,MIN(S$8+1,'Fleet'!$O54)-MAX(S$7,'Fleet'!$G54))</x:f>
        <x:v>366</x:v>
      </x:c>
      <x:c r="T57" s="34" t="n">
        <x:f>MAX(0,MIN(T$8+1,'Fleet'!$O54)-MAX(T$7,'Fleet'!$G54))</x:f>
        <x:v>365</x:v>
      </x:c>
      <x:c r="U57" s="34" t="n">
        <x:f>MAX(0,MIN(U$8+1,'Fleet'!$O54)-MAX(U$7,'Fleet'!$G54))</x:f>
        <x:v>365</x:v>
      </x:c>
      <x:c r="V57" s="34" t="n">
        <x:f>MAX(0,MIN(V$8+1,'Fleet'!$O54)-MAX(V$7,'Fleet'!$G54))</x:f>
        <x:v>365</x:v>
      </x:c>
      <x:c r="W57" s="34" t="n">
        <x:f>MAX(0,MIN(W$8+1,'Fleet'!$O54)-MAX(W$7,'Fleet'!$G54))</x:f>
        <x:v>366</x:v>
      </x:c>
      <x:c r="X57" s="34" t="n">
        <x:f>MAX(0,MIN(X$8+1,'Fleet'!$O54)-MAX(X$7,'Fleet'!$G54))</x:f>
        <x:v>365</x:v>
      </x:c>
      <x:c r="Y57" s="34" t="n">
        <x:f>MAX(0,MIN(Y$8+1,'Fleet'!$O54)-MAX(Y$7,'Fleet'!$G54))</x:f>
        <x:v>365</x:v>
      </x:c>
      <x:c r="Z57" s="34" t="n">
        <x:f>MAX(0,MIN(Z$8+1,'Fleet'!$O54)-MAX(Z$7,'Fleet'!$G54))</x:f>
        <x:v>365</x:v>
      </x:c>
      <x:c r="AA57" s="34" t="n">
        <x:f>MAX(0,MIN(AA$8+1,'Fleet'!$O54)-MAX(AA$7,'Fleet'!$G54))</x:f>
        <x:v>366</x:v>
      </x:c>
      <x:c r="AB57" s="34" t="n">
        <x:f>MAX(0,MIN(AB$8+1,'Fleet'!$O54)-MAX(AB$7,'Fleet'!$G54))</x:f>
        <x:v>365</x:v>
      </x:c>
      <x:c r="AC57" s="34" t="n">
        <x:f>MAX(0,MIN(AC$8+1,'Fleet'!$O54)-MAX(AC$7,'Fleet'!$G54))</x:f>
        <x:v>365</x:v>
      </x:c>
      <x:c r="AD57" s="34" t="n">
        <x:f>MAX(0,MIN(AD$8+1,'Fleet'!$O54)-MAX(AD$7,'Fleet'!$G54))</x:f>
        <x:v>365</x:v>
      </x:c>
      <x:c r="AE57" s="34" t="n">
        <x:f>MAX(0,MIN(AE$8+1,'Fleet'!$O54)-MAX(AE$7,'Fleet'!$G54))</x:f>
        <x:v>366</x:v>
      </x:c>
      <x:c r="AF57" s="34" t="n">
        <x:f>MAX(0,MIN(AF$8+1,'Fleet'!$O54)-MAX(AF$7,'Fleet'!$G54))</x:f>
        <x:v>365</x:v>
      </x:c>
      <x:c r="AG57" s="34" t="n">
        <x:f>MAX(0,MIN(AG$8+1,'Fleet'!$O54)-MAX(AG$7,'Fleet'!$G54))</x:f>
        <x:v>273</x:v>
      </x:c>
      <x:c r="AH57" s="34" t="n">
        <x:f>MAX(0,MIN(AH$8+1,'Fleet'!$O54)-MAX(AH$7,'Fleet'!$G54))</x:f>
        <x:v>0</x:v>
      </x:c>
      <x:c r="AI57" s="34" t="n">
        <x:f>MAX(0,MIN(AI$8+1,'Fleet'!$O54)-MAX(AI$7,'Fleet'!$G54))</x:f>
        <x:v>0</x:v>
      </x:c>
      <x:c r="AJ57" s="34" t="n">
        <x:f>MAX(0,MIN(AJ$8+1,'Fleet'!$O54)-MAX(AJ$7,'Fleet'!$G54))</x:f>
        <x:v>0</x:v>
      </x:c>
      <x:c r="AK57" s="34" t="n">
        <x:f>MAX(0,MIN(AK$8+1,'Fleet'!$O54)-MAX(AK$7,'Fleet'!$G54))</x:f>
        <x:v>0</x:v>
      </x:c>
      <x:c r="AL57" s="34" t="n">
        <x:f>MAX(0,MIN(AL$8+1,'Fleet'!$O54)-MAX(AL$7,'Fleet'!$G54))</x:f>
        <x:v>0</x:v>
      </x:c>
      <x:c r="AM57" s="34" t="n">
        <x:f>MAX(0,MIN(AM$8+1,'Fleet'!$O54)-MAX(AM$7,'Fleet'!$G54))</x:f>
        <x:v>0</x:v>
      </x:c>
      <x:c r="AN57" s="34" t="n">
        <x:f>MAX(0,MIN(AN$8+1,'Fleet'!$O54)-MAX(AN$7,'Fleet'!$G54))</x:f>
        <x:v>0</x:v>
      </x:c>
      <x:c r="AO57" s="34" t="n">
        <x:f>MAX(0,MIN(AO$8+1,'Fleet'!$O54)-MAX(AO$7,'Fleet'!$G54))</x:f>
        <x:v>0</x:v>
      </x:c>
      <x:c r="AP57" s="34" t="n">
        <x:f>MAX(0,MIN(AP$8+1,'Fleet'!$O54)-MAX(AP$7,'Fleet'!$G54))</x:f>
        <x:v>0</x:v>
      </x:c>
      <x:c r="AQ57" s="34" t="n">
        <x:f>MAX(0,MIN(AQ$8+1,'Fleet'!$O54)-MAX(AQ$7,'Fleet'!$G54))</x:f>
        <x:v>0</x:v>
      </x:c>
    </x:row>
    <x:row r="58" ht="21" customHeight="1">
      <x:c r="A58" s="2"/>
      <x:c r="B58" s="2"/>
      <x:c r="C58" s="5" t="str">
        <x:f>'Fleet'!C55</x:f>
        <x:v>Star Sophia</x:v>
      </x:c>
      <x:c r="D58" s="5" t="str">
        <x:f>'Fleet'!D55</x:f>
        <x:v>Kamsarmax</x:v>
      </x:c>
      <x:c r="E58" s="34" t="n">
        <x:f>MAX(0,MIN(E$8+1,'Fleet'!$O55)-MAX(E$7,'Fleet'!$G55))</x:f>
        <x:v>83</x:v>
      </x:c>
      <x:c r="F58" s="34" t="n">
        <x:f>MAX(0,MIN(F$8+1,'Fleet'!$O55)-MAX(F$7,'Fleet'!$G55))</x:f>
        <x:v>90</x:v>
      </x:c>
      <x:c r="G58" s="34" t="n">
        <x:f>MAX(0,MIN(G$8+1,'Fleet'!$O55)-MAX(G$7,'Fleet'!$G55))</x:f>
        <x:v>91</x:v>
      </x:c>
      <x:c r="H58" s="34" t="n">
        <x:f>MAX(0,MIN(H$8+1,'Fleet'!$O55)-MAX(H$7,'Fleet'!$G55))</x:f>
        <x:v>92</x:v>
      </x:c>
      <x:c r="I58" s="34" t="n">
        <x:f>MAX(0,MIN(I$8+1,'Fleet'!$O55)-MAX(I$7,'Fleet'!$G55))</x:f>
        <x:v>92</x:v>
      </x:c>
      <x:c r="J58" s="34" t="n">
        <x:f>MAX(0,MIN(J$8+1,'Fleet'!$O55)-MAX(J$7,'Fleet'!$G55))</x:f>
        <x:v>91</x:v>
      </x:c>
      <x:c r="K58" s="34" t="n">
        <x:f>MAX(0,MIN(K$8+1,'Fleet'!$O55)-MAX(K$7,'Fleet'!$G55))</x:f>
        <x:v>91</x:v>
      </x:c>
      <x:c r="L58" s="34" t="n">
        <x:f>MAX(0,MIN(L$8+1,'Fleet'!$O55)-MAX(L$7,'Fleet'!$G55))</x:f>
        <x:v>92</x:v>
      </x:c>
      <x:c r="M58" s="34" t="n">
        <x:f>MAX(0,MIN(M$8+1,'Fleet'!$O55)-MAX(M$7,'Fleet'!$G55))</x:f>
        <x:v>92</x:v>
      </x:c>
      <x:c r="N58" s="34" t="n">
        <x:f>MAX(0,MIN(N$8+1,'Fleet'!$O55)-MAX(N$7,'Fleet'!$G55))</x:f>
        <x:v>90</x:v>
      </x:c>
      <x:c r="O58" s="34" t="n">
        <x:f>MAX(0,MIN(O$8+1,'Fleet'!$O55)-MAX(O$7,'Fleet'!$G55))</x:f>
        <x:v>91</x:v>
      </x:c>
      <x:c r="P58" s="34" t="n">
        <x:f>MAX(0,MIN(P$8+1,'Fleet'!$O55)-MAX(P$7,'Fleet'!$G55))</x:f>
        <x:v>92</x:v>
      </x:c>
      <x:c r="Q58" s="34" t="n">
        <x:f>MAX(0,MIN(Q$8+1,'Fleet'!$O55)-MAX(Q$7,'Fleet'!$G55))</x:f>
        <x:v>365</x:v>
      </x:c>
      <x:c r="R58" s="34" t="n">
        <x:f>MAX(0,MIN(R$8+1,'Fleet'!$O55)-MAX(R$7,'Fleet'!$G55))</x:f>
        <x:v>365</x:v>
      </x:c>
      <x:c r="S58" s="34" t="n">
        <x:f>MAX(0,MIN(S$8+1,'Fleet'!$O55)-MAX(S$7,'Fleet'!$G55))</x:f>
        <x:v>274</x:v>
      </x:c>
      <x:c r="T58" s="34" t="n">
        <x:f>MAX(0,MIN(T$8+1,'Fleet'!$O55)-MAX(T$7,'Fleet'!$G55))</x:f>
        <x:v>0</x:v>
      </x:c>
      <x:c r="U58" s="34" t="n">
        <x:f>MAX(0,MIN(U$8+1,'Fleet'!$O55)-MAX(U$7,'Fleet'!$G55))</x:f>
        <x:v>0</x:v>
      </x:c>
      <x:c r="V58" s="34" t="n">
        <x:f>MAX(0,MIN(V$8+1,'Fleet'!$O55)-MAX(V$7,'Fleet'!$G55))</x:f>
        <x:v>0</x:v>
      </x:c>
      <x:c r="W58" s="34" t="n">
        <x:f>MAX(0,MIN(W$8+1,'Fleet'!$O55)-MAX(W$7,'Fleet'!$G55))</x:f>
        <x:v>0</x:v>
      </x:c>
      <x:c r="X58" s="34" t="n">
        <x:f>MAX(0,MIN(X$8+1,'Fleet'!$O55)-MAX(X$7,'Fleet'!$G55))</x:f>
        <x:v>0</x:v>
      </x:c>
      <x:c r="Y58" s="34" t="n">
        <x:f>MAX(0,MIN(Y$8+1,'Fleet'!$O55)-MAX(Y$7,'Fleet'!$G55))</x:f>
        <x:v>0</x:v>
      </x:c>
      <x:c r="Z58" s="34" t="n">
        <x:f>MAX(0,MIN(Z$8+1,'Fleet'!$O55)-MAX(Z$7,'Fleet'!$G55))</x:f>
        <x:v>0</x:v>
      </x:c>
      <x:c r="AA58" s="34" t="n">
        <x:f>MAX(0,MIN(AA$8+1,'Fleet'!$O55)-MAX(AA$7,'Fleet'!$G55))</x:f>
        <x:v>0</x:v>
      </x:c>
      <x:c r="AB58" s="34" t="n">
        <x:f>MAX(0,MIN(AB$8+1,'Fleet'!$O55)-MAX(AB$7,'Fleet'!$G55))</x:f>
        <x:v>0</x:v>
      </x:c>
      <x:c r="AC58" s="34" t="n">
        <x:f>MAX(0,MIN(AC$8+1,'Fleet'!$O55)-MAX(AC$7,'Fleet'!$G55))</x:f>
        <x:v>0</x:v>
      </x:c>
      <x:c r="AD58" s="34" t="n">
        <x:f>MAX(0,MIN(AD$8+1,'Fleet'!$O55)-MAX(AD$7,'Fleet'!$G55))</x:f>
        <x:v>0</x:v>
      </x:c>
      <x:c r="AE58" s="34" t="n">
        <x:f>MAX(0,MIN(AE$8+1,'Fleet'!$O55)-MAX(AE$7,'Fleet'!$G55))</x:f>
        <x:v>0</x:v>
      </x:c>
      <x:c r="AF58" s="34" t="n">
        <x:f>MAX(0,MIN(AF$8+1,'Fleet'!$O55)-MAX(AF$7,'Fleet'!$G55))</x:f>
        <x:v>0</x:v>
      </x:c>
      <x:c r="AG58" s="34" t="n">
        <x:f>MAX(0,MIN(AG$8+1,'Fleet'!$O55)-MAX(AG$7,'Fleet'!$G55))</x:f>
        <x:v>0</x:v>
      </x:c>
      <x:c r="AH58" s="34" t="n">
        <x:f>MAX(0,MIN(AH$8+1,'Fleet'!$O55)-MAX(AH$7,'Fleet'!$G55))</x:f>
        <x:v>0</x:v>
      </x:c>
      <x:c r="AI58" s="34" t="n">
        <x:f>MAX(0,MIN(AI$8+1,'Fleet'!$O55)-MAX(AI$7,'Fleet'!$G55))</x:f>
        <x:v>0</x:v>
      </x:c>
      <x:c r="AJ58" s="34" t="n">
        <x:f>MAX(0,MIN(AJ$8+1,'Fleet'!$O55)-MAX(AJ$7,'Fleet'!$G55))</x:f>
        <x:v>0</x:v>
      </x:c>
      <x:c r="AK58" s="34" t="n">
        <x:f>MAX(0,MIN(AK$8+1,'Fleet'!$O55)-MAX(AK$7,'Fleet'!$G55))</x:f>
        <x:v>0</x:v>
      </x:c>
      <x:c r="AL58" s="34" t="n">
        <x:f>MAX(0,MIN(AL$8+1,'Fleet'!$O55)-MAX(AL$7,'Fleet'!$G55))</x:f>
        <x:v>0</x:v>
      </x:c>
      <x:c r="AM58" s="34" t="n">
        <x:f>MAX(0,MIN(AM$8+1,'Fleet'!$O55)-MAX(AM$7,'Fleet'!$G55))</x:f>
        <x:v>0</x:v>
      </x:c>
      <x:c r="AN58" s="34" t="n">
        <x:f>MAX(0,MIN(AN$8+1,'Fleet'!$O55)-MAX(AN$7,'Fleet'!$G55))</x:f>
        <x:v>0</x:v>
      </x:c>
      <x:c r="AO58" s="34" t="n">
        <x:f>MAX(0,MIN(AO$8+1,'Fleet'!$O55)-MAX(AO$7,'Fleet'!$G55))</x:f>
        <x:v>0</x:v>
      </x:c>
      <x:c r="AP58" s="34" t="n">
        <x:f>MAX(0,MIN(AP$8+1,'Fleet'!$O55)-MAX(AP$7,'Fleet'!$G55))</x:f>
        <x:v>0</x:v>
      </x:c>
      <x:c r="AQ58" s="34" t="n">
        <x:f>MAX(0,MIN(AQ$8+1,'Fleet'!$O55)-MAX(AQ$7,'Fleet'!$G55))</x:f>
        <x:v>0</x:v>
      </x:c>
    </x:row>
    <x:row r="59" ht="21" customHeight="1">
      <x:c r="A59" s="2"/>
      <x:c r="B59" s="2"/>
      <x:c r="C59" s="5" t="str">
        <x:f>'Fleet'!C56</x:f>
        <x:v>Star Nina</x:v>
      </x:c>
      <x:c r="D59" s="5" t="str">
        <x:f>'Fleet'!D56</x:f>
        <x:v>Kamsarmax</x:v>
      </x:c>
      <x:c r="E59" s="34" t="n">
        <x:f>MAX(0,MIN(E$8+1,'Fleet'!$O56)-MAX(E$7,'Fleet'!$G56))</x:f>
        <x:v>83</x:v>
      </x:c>
      <x:c r="F59" s="34" t="n">
        <x:f>MAX(0,MIN(F$8+1,'Fleet'!$O56)-MAX(F$7,'Fleet'!$G56))</x:f>
        <x:v>90</x:v>
      </x:c>
      <x:c r="G59" s="34" t="n">
        <x:f>MAX(0,MIN(G$8+1,'Fleet'!$O56)-MAX(G$7,'Fleet'!$G56))</x:f>
        <x:v>91</x:v>
      </x:c>
      <x:c r="H59" s="34" t="n">
        <x:f>MAX(0,MIN(H$8+1,'Fleet'!$O56)-MAX(H$7,'Fleet'!$G56))</x:f>
        <x:v>92</x:v>
      </x:c>
      <x:c r="I59" s="34" t="n">
        <x:f>MAX(0,MIN(I$8+1,'Fleet'!$O56)-MAX(I$7,'Fleet'!$G56))</x:f>
        <x:v>92</x:v>
      </x:c>
      <x:c r="J59" s="34" t="n">
        <x:f>MAX(0,MIN(J$8+1,'Fleet'!$O56)-MAX(J$7,'Fleet'!$G56))</x:f>
        <x:v>91</x:v>
      </x:c>
      <x:c r="K59" s="34" t="n">
        <x:f>MAX(0,MIN(K$8+1,'Fleet'!$O56)-MAX(K$7,'Fleet'!$G56))</x:f>
        <x:v>91</x:v>
      </x:c>
      <x:c r="L59" s="34" t="n">
        <x:f>MAX(0,MIN(L$8+1,'Fleet'!$O56)-MAX(L$7,'Fleet'!$G56))</x:f>
        <x:v>92</x:v>
      </x:c>
      <x:c r="M59" s="34" t="n">
        <x:f>MAX(0,MIN(M$8+1,'Fleet'!$O56)-MAX(M$7,'Fleet'!$G56))</x:f>
        <x:v>92</x:v>
      </x:c>
      <x:c r="N59" s="34" t="n">
        <x:f>MAX(0,MIN(N$8+1,'Fleet'!$O56)-MAX(N$7,'Fleet'!$G56))</x:f>
        <x:v>90</x:v>
      </x:c>
      <x:c r="O59" s="34" t="n">
        <x:f>MAX(0,MIN(O$8+1,'Fleet'!$O56)-MAX(O$7,'Fleet'!$G56))</x:f>
        <x:v>91</x:v>
      </x:c>
      <x:c r="P59" s="34" t="n">
        <x:f>MAX(0,MIN(P$8+1,'Fleet'!$O56)-MAX(P$7,'Fleet'!$G56))</x:f>
        <x:v>92</x:v>
      </x:c>
      <x:c r="Q59" s="34" t="n">
        <x:f>MAX(0,MIN(Q$8+1,'Fleet'!$O56)-MAX(Q$7,'Fleet'!$G56))</x:f>
        <x:v>365</x:v>
      </x:c>
      <x:c r="R59" s="34" t="n">
        <x:f>MAX(0,MIN(R$8+1,'Fleet'!$O56)-MAX(R$7,'Fleet'!$G56))</x:f>
        <x:v>273</x:v>
      </x:c>
      <x:c r="S59" s="34" t="n">
        <x:f>MAX(0,MIN(S$8+1,'Fleet'!$O56)-MAX(S$7,'Fleet'!$G56))</x:f>
        <x:v>0</x:v>
      </x:c>
      <x:c r="T59" s="34" t="n">
        <x:f>MAX(0,MIN(T$8+1,'Fleet'!$O56)-MAX(T$7,'Fleet'!$G56))</x:f>
        <x:v>0</x:v>
      </x:c>
      <x:c r="U59" s="34" t="n">
        <x:f>MAX(0,MIN(U$8+1,'Fleet'!$O56)-MAX(U$7,'Fleet'!$G56))</x:f>
        <x:v>0</x:v>
      </x:c>
      <x:c r="V59" s="34" t="n">
        <x:f>MAX(0,MIN(V$8+1,'Fleet'!$O56)-MAX(V$7,'Fleet'!$G56))</x:f>
        <x:v>0</x:v>
      </x:c>
      <x:c r="W59" s="34" t="n">
        <x:f>MAX(0,MIN(W$8+1,'Fleet'!$O56)-MAX(W$7,'Fleet'!$G56))</x:f>
        <x:v>0</x:v>
      </x:c>
      <x:c r="X59" s="34" t="n">
        <x:f>MAX(0,MIN(X$8+1,'Fleet'!$O56)-MAX(X$7,'Fleet'!$G56))</x:f>
        <x:v>0</x:v>
      </x:c>
      <x:c r="Y59" s="34" t="n">
        <x:f>MAX(0,MIN(Y$8+1,'Fleet'!$O56)-MAX(Y$7,'Fleet'!$G56))</x:f>
        <x:v>0</x:v>
      </x:c>
      <x:c r="Z59" s="34" t="n">
        <x:f>MAX(0,MIN(Z$8+1,'Fleet'!$O56)-MAX(Z$7,'Fleet'!$G56))</x:f>
        <x:v>0</x:v>
      </x:c>
      <x:c r="AA59" s="34" t="n">
        <x:f>MAX(0,MIN(AA$8+1,'Fleet'!$O56)-MAX(AA$7,'Fleet'!$G56))</x:f>
        <x:v>0</x:v>
      </x:c>
      <x:c r="AB59" s="34" t="n">
        <x:f>MAX(0,MIN(AB$8+1,'Fleet'!$O56)-MAX(AB$7,'Fleet'!$G56))</x:f>
        <x:v>0</x:v>
      </x:c>
      <x:c r="AC59" s="34" t="n">
        <x:f>MAX(0,MIN(AC$8+1,'Fleet'!$O56)-MAX(AC$7,'Fleet'!$G56))</x:f>
        <x:v>0</x:v>
      </x:c>
      <x:c r="AD59" s="34" t="n">
        <x:f>MAX(0,MIN(AD$8+1,'Fleet'!$O56)-MAX(AD$7,'Fleet'!$G56))</x:f>
        <x:v>0</x:v>
      </x:c>
      <x:c r="AE59" s="34" t="n">
        <x:f>MAX(0,MIN(AE$8+1,'Fleet'!$O56)-MAX(AE$7,'Fleet'!$G56))</x:f>
        <x:v>0</x:v>
      </x:c>
      <x:c r="AF59" s="34" t="n">
        <x:f>MAX(0,MIN(AF$8+1,'Fleet'!$O56)-MAX(AF$7,'Fleet'!$G56))</x:f>
        <x:v>0</x:v>
      </x:c>
      <x:c r="AG59" s="34" t="n">
        <x:f>MAX(0,MIN(AG$8+1,'Fleet'!$O56)-MAX(AG$7,'Fleet'!$G56))</x:f>
        <x:v>0</x:v>
      </x:c>
      <x:c r="AH59" s="34" t="n">
        <x:f>MAX(0,MIN(AH$8+1,'Fleet'!$O56)-MAX(AH$7,'Fleet'!$G56))</x:f>
        <x:v>0</x:v>
      </x:c>
      <x:c r="AI59" s="34" t="n">
        <x:f>MAX(0,MIN(AI$8+1,'Fleet'!$O56)-MAX(AI$7,'Fleet'!$G56))</x:f>
        <x:v>0</x:v>
      </x:c>
      <x:c r="AJ59" s="34" t="n">
        <x:f>MAX(0,MIN(AJ$8+1,'Fleet'!$O56)-MAX(AJ$7,'Fleet'!$G56))</x:f>
        <x:v>0</x:v>
      </x:c>
      <x:c r="AK59" s="34" t="n">
        <x:f>MAX(0,MIN(AK$8+1,'Fleet'!$O56)-MAX(AK$7,'Fleet'!$G56))</x:f>
        <x:v>0</x:v>
      </x:c>
      <x:c r="AL59" s="34" t="n">
        <x:f>MAX(0,MIN(AL$8+1,'Fleet'!$O56)-MAX(AL$7,'Fleet'!$G56))</x:f>
        <x:v>0</x:v>
      </x:c>
      <x:c r="AM59" s="34" t="n">
        <x:f>MAX(0,MIN(AM$8+1,'Fleet'!$O56)-MAX(AM$7,'Fleet'!$G56))</x:f>
        <x:v>0</x:v>
      </x:c>
      <x:c r="AN59" s="34" t="n">
        <x:f>MAX(0,MIN(AN$8+1,'Fleet'!$O56)-MAX(AN$7,'Fleet'!$G56))</x:f>
        <x:v>0</x:v>
      </x:c>
      <x:c r="AO59" s="34" t="n">
        <x:f>MAX(0,MIN(AO$8+1,'Fleet'!$O56)-MAX(AO$7,'Fleet'!$G56))</x:f>
        <x:v>0</x:v>
      </x:c>
      <x:c r="AP59" s="34" t="n">
        <x:f>MAX(0,MIN(AP$8+1,'Fleet'!$O56)-MAX(AP$7,'Fleet'!$G56))</x:f>
        <x:v>0</x:v>
      </x:c>
      <x:c r="AQ59" s="34" t="n">
        <x:f>MAX(0,MIN(AQ$8+1,'Fleet'!$O56)-MAX(AQ$7,'Fleet'!$G56))</x:f>
        <x:v>0</x:v>
      </x:c>
    </x:row>
    <x:row r="60" ht="21" customHeight="1">
      <x:c r="A60" s="2"/>
      <x:c r="B60" s="2"/>
      <x:c r="C60" s="5" t="str">
        <x:f>'Fleet'!C57</x:f>
        <x:v>Star Renee</x:v>
      </x:c>
      <x:c r="D60" s="5" t="str">
        <x:f>'Fleet'!D57</x:f>
        <x:v>Kamsarmax</x:v>
      </x:c>
      <x:c r="E60" s="34" t="n">
        <x:f>MAX(0,MIN(E$8+1,'Fleet'!$O57)-MAX(E$7,'Fleet'!$G57))</x:f>
        <x:v>83</x:v>
      </x:c>
      <x:c r="F60" s="34" t="n">
        <x:f>MAX(0,MIN(F$8+1,'Fleet'!$O57)-MAX(F$7,'Fleet'!$G57))</x:f>
        <x:v>90</x:v>
      </x:c>
      <x:c r="G60" s="34" t="n">
        <x:f>MAX(0,MIN(G$8+1,'Fleet'!$O57)-MAX(G$7,'Fleet'!$G57))</x:f>
        <x:v>91</x:v>
      </x:c>
      <x:c r="H60" s="34" t="n">
        <x:f>MAX(0,MIN(H$8+1,'Fleet'!$O57)-MAX(H$7,'Fleet'!$G57))</x:f>
        <x:v>92</x:v>
      </x:c>
      <x:c r="I60" s="34" t="n">
        <x:f>MAX(0,MIN(I$8+1,'Fleet'!$O57)-MAX(I$7,'Fleet'!$G57))</x:f>
        <x:v>92</x:v>
      </x:c>
      <x:c r="J60" s="34" t="n">
        <x:f>MAX(0,MIN(J$8+1,'Fleet'!$O57)-MAX(J$7,'Fleet'!$G57))</x:f>
        <x:v>91</x:v>
      </x:c>
      <x:c r="K60" s="34" t="n">
        <x:f>MAX(0,MIN(K$8+1,'Fleet'!$O57)-MAX(K$7,'Fleet'!$G57))</x:f>
        <x:v>91</x:v>
      </x:c>
      <x:c r="L60" s="34" t="n">
        <x:f>MAX(0,MIN(L$8+1,'Fleet'!$O57)-MAX(L$7,'Fleet'!$G57))</x:f>
        <x:v>92</x:v>
      </x:c>
      <x:c r="M60" s="34" t="n">
        <x:f>MAX(0,MIN(M$8+1,'Fleet'!$O57)-MAX(M$7,'Fleet'!$G57))</x:f>
        <x:v>92</x:v>
      </x:c>
      <x:c r="N60" s="34" t="n">
        <x:f>MAX(0,MIN(N$8+1,'Fleet'!$O57)-MAX(N$7,'Fleet'!$G57))</x:f>
        <x:v>90</x:v>
      </x:c>
      <x:c r="O60" s="34" t="n">
        <x:f>MAX(0,MIN(O$8+1,'Fleet'!$O57)-MAX(O$7,'Fleet'!$G57))</x:f>
        <x:v>91</x:v>
      </x:c>
      <x:c r="P60" s="34" t="n">
        <x:f>MAX(0,MIN(P$8+1,'Fleet'!$O57)-MAX(P$7,'Fleet'!$G57))</x:f>
        <x:v>92</x:v>
      </x:c>
      <x:c r="Q60" s="34" t="n">
        <x:f>MAX(0,MIN(Q$8+1,'Fleet'!$O57)-MAX(Q$7,'Fleet'!$G57))</x:f>
        <x:v>365</x:v>
      </x:c>
      <x:c r="R60" s="34" t="n">
        <x:f>MAX(0,MIN(R$8+1,'Fleet'!$O57)-MAX(R$7,'Fleet'!$G57))</x:f>
        <x:v>273</x:v>
      </x:c>
      <x:c r="S60" s="34" t="n">
        <x:f>MAX(0,MIN(S$8+1,'Fleet'!$O57)-MAX(S$7,'Fleet'!$G57))</x:f>
        <x:v>0</x:v>
      </x:c>
      <x:c r="T60" s="34" t="n">
        <x:f>MAX(0,MIN(T$8+1,'Fleet'!$O57)-MAX(T$7,'Fleet'!$G57))</x:f>
        <x:v>0</x:v>
      </x:c>
      <x:c r="U60" s="34" t="n">
        <x:f>MAX(0,MIN(U$8+1,'Fleet'!$O57)-MAX(U$7,'Fleet'!$G57))</x:f>
        <x:v>0</x:v>
      </x:c>
      <x:c r="V60" s="34" t="n">
        <x:f>MAX(0,MIN(V$8+1,'Fleet'!$O57)-MAX(V$7,'Fleet'!$G57))</x:f>
        <x:v>0</x:v>
      </x:c>
      <x:c r="W60" s="34" t="n">
        <x:f>MAX(0,MIN(W$8+1,'Fleet'!$O57)-MAX(W$7,'Fleet'!$G57))</x:f>
        <x:v>0</x:v>
      </x:c>
      <x:c r="X60" s="34" t="n">
        <x:f>MAX(0,MIN(X$8+1,'Fleet'!$O57)-MAX(X$7,'Fleet'!$G57))</x:f>
        <x:v>0</x:v>
      </x:c>
      <x:c r="Y60" s="34" t="n">
        <x:f>MAX(0,MIN(Y$8+1,'Fleet'!$O57)-MAX(Y$7,'Fleet'!$G57))</x:f>
        <x:v>0</x:v>
      </x:c>
      <x:c r="Z60" s="34" t="n">
        <x:f>MAX(0,MIN(Z$8+1,'Fleet'!$O57)-MAX(Z$7,'Fleet'!$G57))</x:f>
        <x:v>0</x:v>
      </x:c>
      <x:c r="AA60" s="34" t="n">
        <x:f>MAX(0,MIN(AA$8+1,'Fleet'!$O57)-MAX(AA$7,'Fleet'!$G57))</x:f>
        <x:v>0</x:v>
      </x:c>
      <x:c r="AB60" s="34" t="n">
        <x:f>MAX(0,MIN(AB$8+1,'Fleet'!$O57)-MAX(AB$7,'Fleet'!$G57))</x:f>
        <x:v>0</x:v>
      </x:c>
      <x:c r="AC60" s="34" t="n">
        <x:f>MAX(0,MIN(AC$8+1,'Fleet'!$O57)-MAX(AC$7,'Fleet'!$G57))</x:f>
        <x:v>0</x:v>
      </x:c>
      <x:c r="AD60" s="34" t="n">
        <x:f>MAX(0,MIN(AD$8+1,'Fleet'!$O57)-MAX(AD$7,'Fleet'!$G57))</x:f>
        <x:v>0</x:v>
      </x:c>
      <x:c r="AE60" s="34" t="n">
        <x:f>MAX(0,MIN(AE$8+1,'Fleet'!$O57)-MAX(AE$7,'Fleet'!$G57))</x:f>
        <x:v>0</x:v>
      </x:c>
      <x:c r="AF60" s="34" t="n">
        <x:f>MAX(0,MIN(AF$8+1,'Fleet'!$O57)-MAX(AF$7,'Fleet'!$G57))</x:f>
        <x:v>0</x:v>
      </x:c>
      <x:c r="AG60" s="34" t="n">
        <x:f>MAX(0,MIN(AG$8+1,'Fleet'!$O57)-MAX(AG$7,'Fleet'!$G57))</x:f>
        <x:v>0</x:v>
      </x:c>
      <x:c r="AH60" s="34" t="n">
        <x:f>MAX(0,MIN(AH$8+1,'Fleet'!$O57)-MAX(AH$7,'Fleet'!$G57))</x:f>
        <x:v>0</x:v>
      </x:c>
      <x:c r="AI60" s="34" t="n">
        <x:f>MAX(0,MIN(AI$8+1,'Fleet'!$O57)-MAX(AI$7,'Fleet'!$G57))</x:f>
        <x:v>0</x:v>
      </x:c>
      <x:c r="AJ60" s="34" t="n">
        <x:f>MAX(0,MIN(AJ$8+1,'Fleet'!$O57)-MAX(AJ$7,'Fleet'!$G57))</x:f>
        <x:v>0</x:v>
      </x:c>
      <x:c r="AK60" s="34" t="n">
        <x:f>MAX(0,MIN(AK$8+1,'Fleet'!$O57)-MAX(AK$7,'Fleet'!$G57))</x:f>
        <x:v>0</x:v>
      </x:c>
      <x:c r="AL60" s="34" t="n">
        <x:f>MAX(0,MIN(AL$8+1,'Fleet'!$O57)-MAX(AL$7,'Fleet'!$G57))</x:f>
        <x:v>0</x:v>
      </x:c>
      <x:c r="AM60" s="34" t="n">
        <x:f>MAX(0,MIN(AM$8+1,'Fleet'!$O57)-MAX(AM$7,'Fleet'!$G57))</x:f>
        <x:v>0</x:v>
      </x:c>
      <x:c r="AN60" s="34" t="n">
        <x:f>MAX(0,MIN(AN$8+1,'Fleet'!$O57)-MAX(AN$7,'Fleet'!$G57))</x:f>
        <x:v>0</x:v>
      </x:c>
      <x:c r="AO60" s="34" t="n">
        <x:f>MAX(0,MIN(AO$8+1,'Fleet'!$O57)-MAX(AO$7,'Fleet'!$G57))</x:f>
        <x:v>0</x:v>
      </x:c>
      <x:c r="AP60" s="34" t="n">
        <x:f>MAX(0,MIN(AP$8+1,'Fleet'!$O57)-MAX(AP$7,'Fleet'!$G57))</x:f>
        <x:v>0</x:v>
      </x:c>
      <x:c r="AQ60" s="34" t="n">
        <x:f>MAX(0,MIN(AQ$8+1,'Fleet'!$O57)-MAX(AQ$7,'Fleet'!$G57))</x:f>
        <x:v>0</x:v>
      </x:c>
    </x:row>
    <x:row r="61" ht="21" customHeight="1">
      <x:c r="A61" s="2"/>
      <x:c r="B61" s="2"/>
      <x:c r="C61" s="5" t="str">
        <x:f>'Fleet'!C58</x:f>
        <x:v>Star Nasia</x:v>
      </x:c>
      <x:c r="D61" s="5" t="str">
        <x:f>'Fleet'!D58</x:f>
        <x:v>Kamsarmax</x:v>
      </x:c>
      <x:c r="E61" s="34" t="n">
        <x:f>MAX(0,MIN(E$8+1,'Fleet'!$O58)-MAX(E$7,'Fleet'!$G58))</x:f>
        <x:v>83</x:v>
      </x:c>
      <x:c r="F61" s="34" t="n">
        <x:f>MAX(0,MIN(F$8+1,'Fleet'!$O58)-MAX(F$7,'Fleet'!$G58))</x:f>
        <x:v>90</x:v>
      </x:c>
      <x:c r="G61" s="34" t="n">
        <x:f>MAX(0,MIN(G$8+1,'Fleet'!$O58)-MAX(G$7,'Fleet'!$G58))</x:f>
        <x:v>91</x:v>
      </x:c>
      <x:c r="H61" s="34" t="n">
        <x:f>MAX(0,MIN(H$8+1,'Fleet'!$O58)-MAX(H$7,'Fleet'!$G58))</x:f>
        <x:v>92</x:v>
      </x:c>
      <x:c r="I61" s="34" t="n">
        <x:f>MAX(0,MIN(I$8+1,'Fleet'!$O58)-MAX(I$7,'Fleet'!$G58))</x:f>
        <x:v>92</x:v>
      </x:c>
      <x:c r="J61" s="34" t="n">
        <x:f>MAX(0,MIN(J$8+1,'Fleet'!$O58)-MAX(J$7,'Fleet'!$G58))</x:f>
        <x:v>91</x:v>
      </x:c>
      <x:c r="K61" s="34" t="n">
        <x:f>MAX(0,MIN(K$8+1,'Fleet'!$O58)-MAX(K$7,'Fleet'!$G58))</x:f>
        <x:v>91</x:v>
      </x:c>
      <x:c r="L61" s="34" t="n">
        <x:f>MAX(0,MIN(L$8+1,'Fleet'!$O58)-MAX(L$7,'Fleet'!$G58))</x:f>
        <x:v>92</x:v>
      </x:c>
      <x:c r="M61" s="34" t="n">
        <x:f>MAX(0,MIN(M$8+1,'Fleet'!$O58)-MAX(M$7,'Fleet'!$G58))</x:f>
        <x:v>92</x:v>
      </x:c>
      <x:c r="N61" s="34" t="n">
        <x:f>MAX(0,MIN(N$8+1,'Fleet'!$O58)-MAX(N$7,'Fleet'!$G58))</x:f>
        <x:v>90</x:v>
      </x:c>
      <x:c r="O61" s="34" t="n">
        <x:f>MAX(0,MIN(O$8+1,'Fleet'!$O58)-MAX(O$7,'Fleet'!$G58))</x:f>
        <x:v>91</x:v>
      </x:c>
      <x:c r="P61" s="34" t="n">
        <x:f>MAX(0,MIN(P$8+1,'Fleet'!$O58)-MAX(P$7,'Fleet'!$G58))</x:f>
        <x:v>92</x:v>
      </x:c>
      <x:c r="Q61" s="34" t="n">
        <x:f>MAX(0,MIN(Q$8+1,'Fleet'!$O58)-MAX(Q$7,'Fleet'!$G58))</x:f>
        <x:v>365</x:v>
      </x:c>
      <x:c r="R61" s="34" t="n">
        <x:f>MAX(0,MIN(R$8+1,'Fleet'!$O58)-MAX(R$7,'Fleet'!$G58))</x:f>
        <x:v>273</x:v>
      </x:c>
      <x:c r="S61" s="34" t="n">
        <x:f>MAX(0,MIN(S$8+1,'Fleet'!$O58)-MAX(S$7,'Fleet'!$G58))</x:f>
        <x:v>0</x:v>
      </x:c>
      <x:c r="T61" s="34" t="n">
        <x:f>MAX(0,MIN(T$8+1,'Fleet'!$O58)-MAX(T$7,'Fleet'!$G58))</x:f>
        <x:v>0</x:v>
      </x:c>
      <x:c r="U61" s="34" t="n">
        <x:f>MAX(0,MIN(U$8+1,'Fleet'!$O58)-MAX(U$7,'Fleet'!$G58))</x:f>
        <x:v>0</x:v>
      </x:c>
      <x:c r="V61" s="34" t="n">
        <x:f>MAX(0,MIN(V$8+1,'Fleet'!$O58)-MAX(V$7,'Fleet'!$G58))</x:f>
        <x:v>0</x:v>
      </x:c>
      <x:c r="W61" s="34" t="n">
        <x:f>MAX(0,MIN(W$8+1,'Fleet'!$O58)-MAX(W$7,'Fleet'!$G58))</x:f>
        <x:v>0</x:v>
      </x:c>
      <x:c r="X61" s="34" t="n">
        <x:f>MAX(0,MIN(X$8+1,'Fleet'!$O58)-MAX(X$7,'Fleet'!$G58))</x:f>
        <x:v>0</x:v>
      </x:c>
      <x:c r="Y61" s="34" t="n">
        <x:f>MAX(0,MIN(Y$8+1,'Fleet'!$O58)-MAX(Y$7,'Fleet'!$G58))</x:f>
        <x:v>0</x:v>
      </x:c>
      <x:c r="Z61" s="34" t="n">
        <x:f>MAX(0,MIN(Z$8+1,'Fleet'!$O58)-MAX(Z$7,'Fleet'!$G58))</x:f>
        <x:v>0</x:v>
      </x:c>
      <x:c r="AA61" s="34" t="n">
        <x:f>MAX(0,MIN(AA$8+1,'Fleet'!$O58)-MAX(AA$7,'Fleet'!$G58))</x:f>
        <x:v>0</x:v>
      </x:c>
      <x:c r="AB61" s="34" t="n">
        <x:f>MAX(0,MIN(AB$8+1,'Fleet'!$O58)-MAX(AB$7,'Fleet'!$G58))</x:f>
        <x:v>0</x:v>
      </x:c>
      <x:c r="AC61" s="34" t="n">
        <x:f>MAX(0,MIN(AC$8+1,'Fleet'!$O58)-MAX(AC$7,'Fleet'!$G58))</x:f>
        <x:v>0</x:v>
      </x:c>
      <x:c r="AD61" s="34" t="n">
        <x:f>MAX(0,MIN(AD$8+1,'Fleet'!$O58)-MAX(AD$7,'Fleet'!$G58))</x:f>
        <x:v>0</x:v>
      </x:c>
      <x:c r="AE61" s="34" t="n">
        <x:f>MAX(0,MIN(AE$8+1,'Fleet'!$O58)-MAX(AE$7,'Fleet'!$G58))</x:f>
        <x:v>0</x:v>
      </x:c>
      <x:c r="AF61" s="34" t="n">
        <x:f>MAX(0,MIN(AF$8+1,'Fleet'!$O58)-MAX(AF$7,'Fleet'!$G58))</x:f>
        <x:v>0</x:v>
      </x:c>
      <x:c r="AG61" s="34" t="n">
        <x:f>MAX(0,MIN(AG$8+1,'Fleet'!$O58)-MAX(AG$7,'Fleet'!$G58))</x:f>
        <x:v>0</x:v>
      </x:c>
      <x:c r="AH61" s="34" t="n">
        <x:f>MAX(0,MIN(AH$8+1,'Fleet'!$O58)-MAX(AH$7,'Fleet'!$G58))</x:f>
        <x:v>0</x:v>
      </x:c>
      <x:c r="AI61" s="34" t="n">
        <x:f>MAX(0,MIN(AI$8+1,'Fleet'!$O58)-MAX(AI$7,'Fleet'!$G58))</x:f>
        <x:v>0</x:v>
      </x:c>
      <x:c r="AJ61" s="34" t="n">
        <x:f>MAX(0,MIN(AJ$8+1,'Fleet'!$O58)-MAX(AJ$7,'Fleet'!$G58))</x:f>
        <x:v>0</x:v>
      </x:c>
      <x:c r="AK61" s="34" t="n">
        <x:f>MAX(0,MIN(AK$8+1,'Fleet'!$O58)-MAX(AK$7,'Fleet'!$G58))</x:f>
        <x:v>0</x:v>
      </x:c>
      <x:c r="AL61" s="34" t="n">
        <x:f>MAX(0,MIN(AL$8+1,'Fleet'!$O58)-MAX(AL$7,'Fleet'!$G58))</x:f>
        <x:v>0</x:v>
      </x:c>
      <x:c r="AM61" s="34" t="n">
        <x:f>MAX(0,MIN(AM$8+1,'Fleet'!$O58)-MAX(AM$7,'Fleet'!$G58))</x:f>
        <x:v>0</x:v>
      </x:c>
      <x:c r="AN61" s="34" t="n">
        <x:f>MAX(0,MIN(AN$8+1,'Fleet'!$O58)-MAX(AN$7,'Fleet'!$G58))</x:f>
        <x:v>0</x:v>
      </x:c>
      <x:c r="AO61" s="34" t="n">
        <x:f>MAX(0,MIN(AO$8+1,'Fleet'!$O58)-MAX(AO$7,'Fleet'!$G58))</x:f>
        <x:v>0</x:v>
      </x:c>
      <x:c r="AP61" s="34" t="n">
        <x:f>MAX(0,MIN(AP$8+1,'Fleet'!$O58)-MAX(AP$7,'Fleet'!$G58))</x:f>
        <x:v>0</x:v>
      </x:c>
      <x:c r="AQ61" s="34" t="n">
        <x:f>MAX(0,MIN(AQ$8+1,'Fleet'!$O58)-MAX(AQ$7,'Fleet'!$G58))</x:f>
        <x:v>0</x:v>
      </x:c>
    </x:row>
    <x:row r="62" ht="21" customHeight="1">
      <x:c r="A62" s="2"/>
      <x:c r="B62" s="2"/>
      <x:c r="C62" s="5" t="str">
        <x:f>'Fleet'!C59</x:f>
        <x:v>Star Laura</x:v>
      </x:c>
      <x:c r="D62" s="5" t="str">
        <x:f>'Fleet'!D59</x:f>
        <x:v>Kamsarmax</x:v>
      </x:c>
      <x:c r="E62" s="34" t="n">
        <x:f>MAX(0,MIN(E$8+1,'Fleet'!$O59)-MAX(E$7,'Fleet'!$G59))</x:f>
        <x:v>83</x:v>
      </x:c>
      <x:c r="F62" s="34" t="n">
        <x:f>MAX(0,MIN(F$8+1,'Fleet'!$O59)-MAX(F$7,'Fleet'!$G59))</x:f>
        <x:v>90</x:v>
      </x:c>
      <x:c r="G62" s="34" t="n">
        <x:f>MAX(0,MIN(G$8+1,'Fleet'!$O59)-MAX(G$7,'Fleet'!$G59))</x:f>
        <x:v>91</x:v>
      </x:c>
      <x:c r="H62" s="34" t="n">
        <x:f>MAX(0,MIN(H$8+1,'Fleet'!$O59)-MAX(H$7,'Fleet'!$G59))</x:f>
        <x:v>92</x:v>
      </x:c>
      <x:c r="I62" s="34" t="n">
        <x:f>MAX(0,MIN(I$8+1,'Fleet'!$O59)-MAX(I$7,'Fleet'!$G59))</x:f>
        <x:v>92</x:v>
      </x:c>
      <x:c r="J62" s="34" t="n">
        <x:f>MAX(0,MIN(J$8+1,'Fleet'!$O59)-MAX(J$7,'Fleet'!$G59))</x:f>
        <x:v>91</x:v>
      </x:c>
      <x:c r="K62" s="34" t="n">
        <x:f>MAX(0,MIN(K$8+1,'Fleet'!$O59)-MAX(K$7,'Fleet'!$G59))</x:f>
        <x:v>91</x:v>
      </x:c>
      <x:c r="L62" s="34" t="n">
        <x:f>MAX(0,MIN(L$8+1,'Fleet'!$O59)-MAX(L$7,'Fleet'!$G59))</x:f>
        <x:v>92</x:v>
      </x:c>
      <x:c r="M62" s="34" t="n">
        <x:f>MAX(0,MIN(M$8+1,'Fleet'!$O59)-MAX(M$7,'Fleet'!$G59))</x:f>
        <x:v>92</x:v>
      </x:c>
      <x:c r="N62" s="34" t="n">
        <x:f>MAX(0,MIN(N$8+1,'Fleet'!$O59)-MAX(N$7,'Fleet'!$G59))</x:f>
        <x:v>90</x:v>
      </x:c>
      <x:c r="O62" s="34" t="n">
        <x:f>MAX(0,MIN(O$8+1,'Fleet'!$O59)-MAX(O$7,'Fleet'!$G59))</x:f>
        <x:v>91</x:v>
      </x:c>
      <x:c r="P62" s="34" t="n">
        <x:f>MAX(0,MIN(P$8+1,'Fleet'!$O59)-MAX(P$7,'Fleet'!$G59))</x:f>
        <x:v>92</x:v>
      </x:c>
      <x:c r="Q62" s="34" t="n">
        <x:f>MAX(0,MIN(Q$8+1,'Fleet'!$O59)-MAX(Q$7,'Fleet'!$G59))</x:f>
        <x:v>365</x:v>
      </x:c>
      <x:c r="R62" s="34" t="n">
        <x:f>MAX(0,MIN(R$8+1,'Fleet'!$O59)-MAX(R$7,'Fleet'!$G59))</x:f>
        <x:v>273</x:v>
      </x:c>
      <x:c r="S62" s="34" t="n">
        <x:f>MAX(0,MIN(S$8+1,'Fleet'!$O59)-MAX(S$7,'Fleet'!$G59))</x:f>
        <x:v>0</x:v>
      </x:c>
      <x:c r="T62" s="34" t="n">
        <x:f>MAX(0,MIN(T$8+1,'Fleet'!$O59)-MAX(T$7,'Fleet'!$G59))</x:f>
        <x:v>0</x:v>
      </x:c>
      <x:c r="U62" s="34" t="n">
        <x:f>MAX(0,MIN(U$8+1,'Fleet'!$O59)-MAX(U$7,'Fleet'!$G59))</x:f>
        <x:v>0</x:v>
      </x:c>
      <x:c r="V62" s="34" t="n">
        <x:f>MAX(0,MIN(V$8+1,'Fleet'!$O59)-MAX(V$7,'Fleet'!$G59))</x:f>
        <x:v>0</x:v>
      </x:c>
      <x:c r="W62" s="34" t="n">
        <x:f>MAX(0,MIN(W$8+1,'Fleet'!$O59)-MAX(W$7,'Fleet'!$G59))</x:f>
        <x:v>0</x:v>
      </x:c>
      <x:c r="X62" s="34" t="n">
        <x:f>MAX(0,MIN(X$8+1,'Fleet'!$O59)-MAX(X$7,'Fleet'!$G59))</x:f>
        <x:v>0</x:v>
      </x:c>
      <x:c r="Y62" s="34" t="n">
        <x:f>MAX(0,MIN(Y$8+1,'Fleet'!$O59)-MAX(Y$7,'Fleet'!$G59))</x:f>
        <x:v>0</x:v>
      </x:c>
      <x:c r="Z62" s="34" t="n">
        <x:f>MAX(0,MIN(Z$8+1,'Fleet'!$O59)-MAX(Z$7,'Fleet'!$G59))</x:f>
        <x:v>0</x:v>
      </x:c>
      <x:c r="AA62" s="34" t="n">
        <x:f>MAX(0,MIN(AA$8+1,'Fleet'!$O59)-MAX(AA$7,'Fleet'!$G59))</x:f>
        <x:v>0</x:v>
      </x:c>
      <x:c r="AB62" s="34" t="n">
        <x:f>MAX(0,MIN(AB$8+1,'Fleet'!$O59)-MAX(AB$7,'Fleet'!$G59))</x:f>
        <x:v>0</x:v>
      </x:c>
      <x:c r="AC62" s="34" t="n">
        <x:f>MAX(0,MIN(AC$8+1,'Fleet'!$O59)-MAX(AC$7,'Fleet'!$G59))</x:f>
        <x:v>0</x:v>
      </x:c>
      <x:c r="AD62" s="34" t="n">
        <x:f>MAX(0,MIN(AD$8+1,'Fleet'!$O59)-MAX(AD$7,'Fleet'!$G59))</x:f>
        <x:v>0</x:v>
      </x:c>
      <x:c r="AE62" s="34" t="n">
        <x:f>MAX(0,MIN(AE$8+1,'Fleet'!$O59)-MAX(AE$7,'Fleet'!$G59))</x:f>
        <x:v>0</x:v>
      </x:c>
      <x:c r="AF62" s="34" t="n">
        <x:f>MAX(0,MIN(AF$8+1,'Fleet'!$O59)-MAX(AF$7,'Fleet'!$G59))</x:f>
        <x:v>0</x:v>
      </x:c>
      <x:c r="AG62" s="34" t="n">
        <x:f>MAX(0,MIN(AG$8+1,'Fleet'!$O59)-MAX(AG$7,'Fleet'!$G59))</x:f>
        <x:v>0</x:v>
      </x:c>
      <x:c r="AH62" s="34" t="n">
        <x:f>MAX(0,MIN(AH$8+1,'Fleet'!$O59)-MAX(AH$7,'Fleet'!$G59))</x:f>
        <x:v>0</x:v>
      </x:c>
      <x:c r="AI62" s="34" t="n">
        <x:f>MAX(0,MIN(AI$8+1,'Fleet'!$O59)-MAX(AI$7,'Fleet'!$G59))</x:f>
        <x:v>0</x:v>
      </x:c>
      <x:c r="AJ62" s="34" t="n">
        <x:f>MAX(0,MIN(AJ$8+1,'Fleet'!$O59)-MAX(AJ$7,'Fleet'!$G59))</x:f>
        <x:v>0</x:v>
      </x:c>
      <x:c r="AK62" s="34" t="n">
        <x:f>MAX(0,MIN(AK$8+1,'Fleet'!$O59)-MAX(AK$7,'Fleet'!$G59))</x:f>
        <x:v>0</x:v>
      </x:c>
      <x:c r="AL62" s="34" t="n">
        <x:f>MAX(0,MIN(AL$8+1,'Fleet'!$O59)-MAX(AL$7,'Fleet'!$G59))</x:f>
        <x:v>0</x:v>
      </x:c>
      <x:c r="AM62" s="34" t="n">
        <x:f>MAX(0,MIN(AM$8+1,'Fleet'!$O59)-MAX(AM$7,'Fleet'!$G59))</x:f>
        <x:v>0</x:v>
      </x:c>
      <x:c r="AN62" s="34" t="n">
        <x:f>MAX(0,MIN(AN$8+1,'Fleet'!$O59)-MAX(AN$7,'Fleet'!$G59))</x:f>
        <x:v>0</x:v>
      </x:c>
      <x:c r="AO62" s="34" t="n">
        <x:f>MAX(0,MIN(AO$8+1,'Fleet'!$O59)-MAX(AO$7,'Fleet'!$G59))</x:f>
        <x:v>0</x:v>
      </x:c>
      <x:c r="AP62" s="34" t="n">
        <x:f>MAX(0,MIN(AP$8+1,'Fleet'!$O59)-MAX(AP$7,'Fleet'!$G59))</x:f>
        <x:v>0</x:v>
      </x:c>
      <x:c r="AQ62" s="34" t="n">
        <x:f>MAX(0,MIN(AQ$8+1,'Fleet'!$O59)-MAX(AQ$7,'Fleet'!$G59))</x:f>
        <x:v>0</x:v>
      </x:c>
    </x:row>
    <x:row r="63" ht="21" customHeight="1">
      <x:c r="A63" s="2"/>
      <x:c r="B63" s="2"/>
      <x:c r="C63" s="5" t="str">
        <x:f>'Fleet'!C60</x:f>
        <x:v>Star Mona</x:v>
      </x:c>
      <x:c r="D63" s="5" t="str">
        <x:f>'Fleet'!D60</x:f>
        <x:v>Kamsarmax</x:v>
      </x:c>
      <x:c r="E63" s="34" t="n">
        <x:f>MAX(0,MIN(E$8+1,'Fleet'!$O60)-MAX(E$7,'Fleet'!$G60))</x:f>
        <x:v>83</x:v>
      </x:c>
      <x:c r="F63" s="34" t="n">
        <x:f>MAX(0,MIN(F$8+1,'Fleet'!$O60)-MAX(F$7,'Fleet'!$G60))</x:f>
        <x:v>90</x:v>
      </x:c>
      <x:c r="G63" s="34" t="n">
        <x:f>MAX(0,MIN(G$8+1,'Fleet'!$O60)-MAX(G$7,'Fleet'!$G60))</x:f>
        <x:v>91</x:v>
      </x:c>
      <x:c r="H63" s="34" t="n">
        <x:f>MAX(0,MIN(H$8+1,'Fleet'!$O60)-MAX(H$7,'Fleet'!$G60))</x:f>
        <x:v>92</x:v>
      </x:c>
      <x:c r="I63" s="34" t="n">
        <x:f>MAX(0,MIN(I$8+1,'Fleet'!$O60)-MAX(I$7,'Fleet'!$G60))</x:f>
        <x:v>92</x:v>
      </x:c>
      <x:c r="J63" s="34" t="n">
        <x:f>MAX(0,MIN(J$8+1,'Fleet'!$O60)-MAX(J$7,'Fleet'!$G60))</x:f>
        <x:v>91</x:v>
      </x:c>
      <x:c r="K63" s="34" t="n">
        <x:f>MAX(0,MIN(K$8+1,'Fleet'!$O60)-MAX(K$7,'Fleet'!$G60))</x:f>
        <x:v>91</x:v>
      </x:c>
      <x:c r="L63" s="34" t="n">
        <x:f>MAX(0,MIN(L$8+1,'Fleet'!$O60)-MAX(L$7,'Fleet'!$G60))</x:f>
        <x:v>92</x:v>
      </x:c>
      <x:c r="M63" s="34" t="n">
        <x:f>MAX(0,MIN(M$8+1,'Fleet'!$O60)-MAX(M$7,'Fleet'!$G60))</x:f>
        <x:v>92</x:v>
      </x:c>
      <x:c r="N63" s="34" t="n">
        <x:f>MAX(0,MIN(N$8+1,'Fleet'!$O60)-MAX(N$7,'Fleet'!$G60))</x:f>
        <x:v>90</x:v>
      </x:c>
      <x:c r="O63" s="34" t="n">
        <x:f>MAX(0,MIN(O$8+1,'Fleet'!$O60)-MAX(O$7,'Fleet'!$G60))</x:f>
        <x:v>91</x:v>
      </x:c>
      <x:c r="P63" s="34" t="n">
        <x:f>MAX(0,MIN(P$8+1,'Fleet'!$O60)-MAX(P$7,'Fleet'!$G60))</x:f>
        <x:v>92</x:v>
      </x:c>
      <x:c r="Q63" s="34" t="n">
        <x:f>MAX(0,MIN(Q$8+1,'Fleet'!$O60)-MAX(Q$7,'Fleet'!$G60))</x:f>
        <x:v>365</x:v>
      </x:c>
      <x:c r="R63" s="34" t="n">
        <x:f>MAX(0,MIN(R$8+1,'Fleet'!$O60)-MAX(R$7,'Fleet'!$G60))</x:f>
        <x:v>365</x:v>
      </x:c>
      <x:c r="S63" s="34" t="n">
        <x:f>MAX(0,MIN(S$8+1,'Fleet'!$O60)-MAX(S$7,'Fleet'!$G60))</x:f>
        <x:v>366</x:v>
      </x:c>
      <x:c r="T63" s="34" t="n">
        <x:f>MAX(0,MIN(T$8+1,'Fleet'!$O60)-MAX(T$7,'Fleet'!$G60))</x:f>
        <x:v>365</x:v>
      </x:c>
      <x:c r="U63" s="34" t="n">
        <x:f>MAX(0,MIN(U$8+1,'Fleet'!$O60)-MAX(U$7,'Fleet'!$G60))</x:f>
        <x:v>365</x:v>
      </x:c>
      <x:c r="V63" s="34" t="n">
        <x:f>MAX(0,MIN(V$8+1,'Fleet'!$O60)-MAX(V$7,'Fleet'!$G60))</x:f>
        <x:v>365</x:v>
      </x:c>
      <x:c r="W63" s="34" t="n">
        <x:f>MAX(0,MIN(W$8+1,'Fleet'!$O60)-MAX(W$7,'Fleet'!$G60))</x:f>
        <x:v>366</x:v>
      </x:c>
      <x:c r="X63" s="34" t="n">
        <x:f>MAX(0,MIN(X$8+1,'Fleet'!$O60)-MAX(X$7,'Fleet'!$G60))</x:f>
        <x:v>273</x:v>
      </x:c>
      <x:c r="Y63" s="34" t="n">
        <x:f>MAX(0,MIN(Y$8+1,'Fleet'!$O60)-MAX(Y$7,'Fleet'!$G60))</x:f>
        <x:v>0</x:v>
      </x:c>
      <x:c r="Z63" s="34" t="n">
        <x:f>MAX(0,MIN(Z$8+1,'Fleet'!$O60)-MAX(Z$7,'Fleet'!$G60))</x:f>
        <x:v>0</x:v>
      </x:c>
      <x:c r="AA63" s="34" t="n">
        <x:f>MAX(0,MIN(AA$8+1,'Fleet'!$O60)-MAX(AA$7,'Fleet'!$G60))</x:f>
        <x:v>0</x:v>
      </x:c>
      <x:c r="AB63" s="34" t="n">
        <x:f>MAX(0,MIN(AB$8+1,'Fleet'!$O60)-MAX(AB$7,'Fleet'!$G60))</x:f>
        <x:v>0</x:v>
      </x:c>
      <x:c r="AC63" s="34" t="n">
        <x:f>MAX(0,MIN(AC$8+1,'Fleet'!$O60)-MAX(AC$7,'Fleet'!$G60))</x:f>
        <x:v>0</x:v>
      </x:c>
      <x:c r="AD63" s="34" t="n">
        <x:f>MAX(0,MIN(AD$8+1,'Fleet'!$O60)-MAX(AD$7,'Fleet'!$G60))</x:f>
        <x:v>0</x:v>
      </x:c>
      <x:c r="AE63" s="34" t="n">
        <x:f>MAX(0,MIN(AE$8+1,'Fleet'!$O60)-MAX(AE$7,'Fleet'!$G60))</x:f>
        <x:v>0</x:v>
      </x:c>
      <x:c r="AF63" s="34" t="n">
        <x:f>MAX(0,MIN(AF$8+1,'Fleet'!$O60)-MAX(AF$7,'Fleet'!$G60))</x:f>
        <x:v>0</x:v>
      </x:c>
      <x:c r="AG63" s="34" t="n">
        <x:f>MAX(0,MIN(AG$8+1,'Fleet'!$O60)-MAX(AG$7,'Fleet'!$G60))</x:f>
        <x:v>0</x:v>
      </x:c>
      <x:c r="AH63" s="34" t="n">
        <x:f>MAX(0,MIN(AH$8+1,'Fleet'!$O60)-MAX(AH$7,'Fleet'!$G60))</x:f>
        <x:v>0</x:v>
      </x:c>
      <x:c r="AI63" s="34" t="n">
        <x:f>MAX(0,MIN(AI$8+1,'Fleet'!$O60)-MAX(AI$7,'Fleet'!$G60))</x:f>
        <x:v>0</x:v>
      </x:c>
      <x:c r="AJ63" s="34" t="n">
        <x:f>MAX(0,MIN(AJ$8+1,'Fleet'!$O60)-MAX(AJ$7,'Fleet'!$G60))</x:f>
        <x:v>0</x:v>
      </x:c>
      <x:c r="AK63" s="34" t="n">
        <x:f>MAX(0,MIN(AK$8+1,'Fleet'!$O60)-MAX(AK$7,'Fleet'!$G60))</x:f>
        <x:v>0</x:v>
      </x:c>
      <x:c r="AL63" s="34" t="n">
        <x:f>MAX(0,MIN(AL$8+1,'Fleet'!$O60)-MAX(AL$7,'Fleet'!$G60))</x:f>
        <x:v>0</x:v>
      </x:c>
      <x:c r="AM63" s="34" t="n">
        <x:f>MAX(0,MIN(AM$8+1,'Fleet'!$O60)-MAX(AM$7,'Fleet'!$G60))</x:f>
        <x:v>0</x:v>
      </x:c>
      <x:c r="AN63" s="34" t="n">
        <x:f>MAX(0,MIN(AN$8+1,'Fleet'!$O60)-MAX(AN$7,'Fleet'!$G60))</x:f>
        <x:v>0</x:v>
      </x:c>
      <x:c r="AO63" s="34" t="n">
        <x:f>MAX(0,MIN(AO$8+1,'Fleet'!$O60)-MAX(AO$7,'Fleet'!$G60))</x:f>
        <x:v>0</x:v>
      </x:c>
      <x:c r="AP63" s="34" t="n">
        <x:f>MAX(0,MIN(AP$8+1,'Fleet'!$O60)-MAX(AP$7,'Fleet'!$G60))</x:f>
        <x:v>0</x:v>
      </x:c>
      <x:c r="AQ63" s="34" t="n">
        <x:f>MAX(0,MIN(AQ$8+1,'Fleet'!$O60)-MAX(AQ$7,'Fleet'!$G60))</x:f>
        <x:v>0</x:v>
      </x:c>
    </x:row>
    <x:row r="64" ht="21" customHeight="1">
      <x:c r="A64" s="2"/>
      <x:c r="B64" s="2"/>
      <x:c r="C64" s="5" t="str">
        <x:f>'Fleet'!C61</x:f>
        <x:v>Star Helena</x:v>
      </x:c>
      <x:c r="D64" s="5" t="str">
        <x:f>'Fleet'!D61</x:f>
        <x:v>Kamsarmax</x:v>
      </x:c>
      <x:c r="E64" s="34" t="n">
        <x:f>MAX(0,MIN(E$8+1,'Fleet'!$O61)-MAX(E$7,'Fleet'!$G61))</x:f>
        <x:v>83</x:v>
      </x:c>
      <x:c r="F64" s="34" t="n">
        <x:f>MAX(0,MIN(F$8+1,'Fleet'!$O61)-MAX(F$7,'Fleet'!$G61))</x:f>
        <x:v>90</x:v>
      </x:c>
      <x:c r="G64" s="34" t="n">
        <x:f>MAX(0,MIN(G$8+1,'Fleet'!$O61)-MAX(G$7,'Fleet'!$G61))</x:f>
        <x:v>91</x:v>
      </x:c>
      <x:c r="H64" s="34" t="n">
        <x:f>MAX(0,MIN(H$8+1,'Fleet'!$O61)-MAX(H$7,'Fleet'!$G61))</x:f>
        <x:v>92</x:v>
      </x:c>
      <x:c r="I64" s="34" t="n">
        <x:f>MAX(0,MIN(I$8+1,'Fleet'!$O61)-MAX(I$7,'Fleet'!$G61))</x:f>
        <x:v>92</x:v>
      </x:c>
      <x:c r="J64" s="34" t="n">
        <x:f>MAX(0,MIN(J$8+1,'Fleet'!$O61)-MAX(J$7,'Fleet'!$G61))</x:f>
        <x:v>91</x:v>
      </x:c>
      <x:c r="K64" s="34" t="n">
        <x:f>MAX(0,MIN(K$8+1,'Fleet'!$O61)-MAX(K$7,'Fleet'!$G61))</x:f>
        <x:v>91</x:v>
      </x:c>
      <x:c r="L64" s="34" t="n">
        <x:f>MAX(0,MIN(L$8+1,'Fleet'!$O61)-MAX(L$7,'Fleet'!$G61))</x:f>
        <x:v>92</x:v>
      </x:c>
      <x:c r="M64" s="34" t="n">
        <x:f>MAX(0,MIN(M$8+1,'Fleet'!$O61)-MAX(M$7,'Fleet'!$G61))</x:f>
        <x:v>92</x:v>
      </x:c>
      <x:c r="N64" s="34" t="n">
        <x:f>MAX(0,MIN(N$8+1,'Fleet'!$O61)-MAX(N$7,'Fleet'!$G61))</x:f>
        <x:v>90</x:v>
      </x:c>
      <x:c r="O64" s="34" t="n">
        <x:f>MAX(0,MIN(O$8+1,'Fleet'!$O61)-MAX(O$7,'Fleet'!$G61))</x:f>
        <x:v>91</x:v>
      </x:c>
      <x:c r="P64" s="34" t="n">
        <x:f>MAX(0,MIN(P$8+1,'Fleet'!$O61)-MAX(P$7,'Fleet'!$G61))</x:f>
        <x:v>92</x:v>
      </x:c>
      <x:c r="Q64" s="34" t="n">
        <x:f>MAX(0,MIN(Q$8+1,'Fleet'!$O61)-MAX(Q$7,'Fleet'!$G61))</x:f>
        <x:v>365</x:v>
      </x:c>
      <x:c r="R64" s="34" t="n">
        <x:f>MAX(0,MIN(R$8+1,'Fleet'!$O61)-MAX(R$7,'Fleet'!$G61))</x:f>
        <x:v>273</x:v>
      </x:c>
      <x:c r="S64" s="34" t="n">
        <x:f>MAX(0,MIN(S$8+1,'Fleet'!$O61)-MAX(S$7,'Fleet'!$G61))</x:f>
        <x:v>0</x:v>
      </x:c>
      <x:c r="T64" s="34" t="n">
        <x:f>MAX(0,MIN(T$8+1,'Fleet'!$O61)-MAX(T$7,'Fleet'!$G61))</x:f>
        <x:v>0</x:v>
      </x:c>
      <x:c r="U64" s="34" t="n">
        <x:f>MAX(0,MIN(U$8+1,'Fleet'!$O61)-MAX(U$7,'Fleet'!$G61))</x:f>
        <x:v>0</x:v>
      </x:c>
      <x:c r="V64" s="34" t="n">
        <x:f>MAX(0,MIN(V$8+1,'Fleet'!$O61)-MAX(V$7,'Fleet'!$G61))</x:f>
        <x:v>0</x:v>
      </x:c>
      <x:c r="W64" s="34" t="n">
        <x:f>MAX(0,MIN(W$8+1,'Fleet'!$O61)-MAX(W$7,'Fleet'!$G61))</x:f>
        <x:v>0</x:v>
      </x:c>
      <x:c r="X64" s="34" t="n">
        <x:f>MAX(0,MIN(X$8+1,'Fleet'!$O61)-MAX(X$7,'Fleet'!$G61))</x:f>
        <x:v>0</x:v>
      </x:c>
      <x:c r="Y64" s="34" t="n">
        <x:f>MAX(0,MIN(Y$8+1,'Fleet'!$O61)-MAX(Y$7,'Fleet'!$G61))</x:f>
        <x:v>0</x:v>
      </x:c>
      <x:c r="Z64" s="34" t="n">
        <x:f>MAX(0,MIN(Z$8+1,'Fleet'!$O61)-MAX(Z$7,'Fleet'!$G61))</x:f>
        <x:v>0</x:v>
      </x:c>
      <x:c r="AA64" s="34" t="n">
        <x:f>MAX(0,MIN(AA$8+1,'Fleet'!$O61)-MAX(AA$7,'Fleet'!$G61))</x:f>
        <x:v>0</x:v>
      </x:c>
      <x:c r="AB64" s="34" t="n">
        <x:f>MAX(0,MIN(AB$8+1,'Fleet'!$O61)-MAX(AB$7,'Fleet'!$G61))</x:f>
        <x:v>0</x:v>
      </x:c>
      <x:c r="AC64" s="34" t="n">
        <x:f>MAX(0,MIN(AC$8+1,'Fleet'!$O61)-MAX(AC$7,'Fleet'!$G61))</x:f>
        <x:v>0</x:v>
      </x:c>
      <x:c r="AD64" s="34" t="n">
        <x:f>MAX(0,MIN(AD$8+1,'Fleet'!$O61)-MAX(AD$7,'Fleet'!$G61))</x:f>
        <x:v>0</x:v>
      </x:c>
      <x:c r="AE64" s="34" t="n">
        <x:f>MAX(0,MIN(AE$8+1,'Fleet'!$O61)-MAX(AE$7,'Fleet'!$G61))</x:f>
        <x:v>0</x:v>
      </x:c>
      <x:c r="AF64" s="34" t="n">
        <x:f>MAX(0,MIN(AF$8+1,'Fleet'!$O61)-MAX(AF$7,'Fleet'!$G61))</x:f>
        <x:v>0</x:v>
      </x:c>
      <x:c r="AG64" s="34" t="n">
        <x:f>MAX(0,MIN(AG$8+1,'Fleet'!$O61)-MAX(AG$7,'Fleet'!$G61))</x:f>
        <x:v>0</x:v>
      </x:c>
      <x:c r="AH64" s="34" t="n">
        <x:f>MAX(0,MIN(AH$8+1,'Fleet'!$O61)-MAX(AH$7,'Fleet'!$G61))</x:f>
        <x:v>0</x:v>
      </x:c>
      <x:c r="AI64" s="34" t="n">
        <x:f>MAX(0,MIN(AI$8+1,'Fleet'!$O61)-MAX(AI$7,'Fleet'!$G61))</x:f>
        <x:v>0</x:v>
      </x:c>
      <x:c r="AJ64" s="34" t="n">
        <x:f>MAX(0,MIN(AJ$8+1,'Fleet'!$O61)-MAX(AJ$7,'Fleet'!$G61))</x:f>
        <x:v>0</x:v>
      </x:c>
      <x:c r="AK64" s="34" t="n">
        <x:f>MAX(0,MIN(AK$8+1,'Fleet'!$O61)-MAX(AK$7,'Fleet'!$G61))</x:f>
        <x:v>0</x:v>
      </x:c>
      <x:c r="AL64" s="34" t="n">
        <x:f>MAX(0,MIN(AL$8+1,'Fleet'!$O61)-MAX(AL$7,'Fleet'!$G61))</x:f>
        <x:v>0</x:v>
      </x:c>
      <x:c r="AM64" s="34" t="n">
        <x:f>MAX(0,MIN(AM$8+1,'Fleet'!$O61)-MAX(AM$7,'Fleet'!$G61))</x:f>
        <x:v>0</x:v>
      </x:c>
      <x:c r="AN64" s="34" t="n">
        <x:f>MAX(0,MIN(AN$8+1,'Fleet'!$O61)-MAX(AN$7,'Fleet'!$G61))</x:f>
        <x:v>0</x:v>
      </x:c>
      <x:c r="AO64" s="34" t="n">
        <x:f>MAX(0,MIN(AO$8+1,'Fleet'!$O61)-MAX(AO$7,'Fleet'!$G61))</x:f>
        <x:v>0</x:v>
      </x:c>
      <x:c r="AP64" s="34" t="n">
        <x:f>MAX(0,MIN(AP$8+1,'Fleet'!$O61)-MAX(AP$7,'Fleet'!$G61))</x:f>
        <x:v>0</x:v>
      </x:c>
      <x:c r="AQ64" s="34" t="n">
        <x:f>MAX(0,MIN(AQ$8+1,'Fleet'!$O61)-MAX(AQ$7,'Fleet'!$G61))</x:f>
        <x:v>0</x:v>
      </x:c>
    </x:row>
    <x:row r="65" ht="21" customHeight="1">
      <x:c r="A65" s="2"/>
      <x:c r="B65" s="2"/>
      <x:c r="C65" s="5" t="str">
        <x:f>'Fleet'!C62</x:f>
        <x:v>Star Emma</x:v>
      </x:c>
      <x:c r="D65" s="5" t="str">
        <x:f>'Fleet'!D62</x:f>
        <x:v>Kamsarmax</x:v>
      </x:c>
      <x:c r="E65" s="34" t="n">
        <x:f>MAX(0,MIN(E$8+1,'Fleet'!$O62)-MAX(E$7,'Fleet'!$G62))</x:f>
        <x:v>83</x:v>
      </x:c>
      <x:c r="F65" s="34" t="n">
        <x:f>MAX(0,MIN(F$8+1,'Fleet'!$O62)-MAX(F$7,'Fleet'!$G62))</x:f>
        <x:v>90</x:v>
      </x:c>
      <x:c r="G65" s="34" t="n">
        <x:f>MAX(0,MIN(G$8+1,'Fleet'!$O62)-MAX(G$7,'Fleet'!$G62))</x:f>
        <x:v>91</x:v>
      </x:c>
      <x:c r="H65" s="34" t="n">
        <x:f>MAX(0,MIN(H$8+1,'Fleet'!$O62)-MAX(H$7,'Fleet'!$G62))</x:f>
        <x:v>92</x:v>
      </x:c>
      <x:c r="I65" s="34" t="n">
        <x:f>MAX(0,MIN(I$8+1,'Fleet'!$O62)-MAX(I$7,'Fleet'!$G62))</x:f>
        <x:v>92</x:v>
      </x:c>
      <x:c r="J65" s="34" t="n">
        <x:f>MAX(0,MIN(J$8+1,'Fleet'!$O62)-MAX(J$7,'Fleet'!$G62))</x:f>
        <x:v>91</x:v>
      </x:c>
      <x:c r="K65" s="34" t="n">
        <x:f>MAX(0,MIN(K$8+1,'Fleet'!$O62)-MAX(K$7,'Fleet'!$G62))</x:f>
        <x:v>91</x:v>
      </x:c>
      <x:c r="L65" s="34" t="n">
        <x:f>MAX(0,MIN(L$8+1,'Fleet'!$O62)-MAX(L$7,'Fleet'!$G62))</x:f>
        <x:v>92</x:v>
      </x:c>
      <x:c r="M65" s="34" t="n">
        <x:f>MAX(0,MIN(M$8+1,'Fleet'!$O62)-MAX(M$7,'Fleet'!$G62))</x:f>
        <x:v>92</x:v>
      </x:c>
      <x:c r="N65" s="34" t="n">
        <x:f>MAX(0,MIN(N$8+1,'Fleet'!$O62)-MAX(N$7,'Fleet'!$G62))</x:f>
        <x:v>90</x:v>
      </x:c>
      <x:c r="O65" s="34" t="n">
        <x:f>MAX(0,MIN(O$8+1,'Fleet'!$O62)-MAX(O$7,'Fleet'!$G62))</x:f>
        <x:v>91</x:v>
      </x:c>
      <x:c r="P65" s="34" t="n">
        <x:f>MAX(0,MIN(P$8+1,'Fleet'!$O62)-MAX(P$7,'Fleet'!$G62))</x:f>
        <x:v>92</x:v>
      </x:c>
      <x:c r="Q65" s="34" t="n">
        <x:f>MAX(0,MIN(Q$8+1,'Fleet'!$O62)-MAX(Q$7,'Fleet'!$G62))</x:f>
        <x:v>365</x:v>
      </x:c>
      <x:c r="R65" s="34" t="n">
        <x:f>MAX(0,MIN(R$8+1,'Fleet'!$O62)-MAX(R$7,'Fleet'!$G62))</x:f>
        <x:v>365</x:v>
      </x:c>
      <x:c r="S65" s="34" t="n">
        <x:f>MAX(0,MIN(S$8+1,'Fleet'!$O62)-MAX(S$7,'Fleet'!$G62))</x:f>
        <x:v>366</x:v>
      </x:c>
      <x:c r="T65" s="34" t="n">
        <x:f>MAX(0,MIN(T$8+1,'Fleet'!$O62)-MAX(T$7,'Fleet'!$G62))</x:f>
        <x:v>365</x:v>
      </x:c>
      <x:c r="U65" s="34" t="n">
        <x:f>MAX(0,MIN(U$8+1,'Fleet'!$O62)-MAX(U$7,'Fleet'!$G62))</x:f>
        <x:v>365</x:v>
      </x:c>
      <x:c r="V65" s="34" t="n">
        <x:f>MAX(0,MIN(V$8+1,'Fleet'!$O62)-MAX(V$7,'Fleet'!$G62))</x:f>
        <x:v>365</x:v>
      </x:c>
      <x:c r="W65" s="34" t="n">
        <x:f>MAX(0,MIN(W$8+1,'Fleet'!$O62)-MAX(W$7,'Fleet'!$G62))</x:f>
        <x:v>366</x:v>
      </x:c>
      <x:c r="X65" s="34" t="n">
        <x:f>MAX(0,MIN(X$8+1,'Fleet'!$O62)-MAX(X$7,'Fleet'!$G62))</x:f>
        <x:v>365</x:v>
      </x:c>
      <x:c r="Y65" s="34" t="n">
        <x:f>MAX(0,MIN(Y$8+1,'Fleet'!$O62)-MAX(Y$7,'Fleet'!$G62))</x:f>
        <x:v>365</x:v>
      </x:c>
      <x:c r="Z65" s="34" t="n">
        <x:f>MAX(0,MIN(Z$8+1,'Fleet'!$O62)-MAX(Z$7,'Fleet'!$G62))</x:f>
        <x:v>365</x:v>
      </x:c>
      <x:c r="AA65" s="34" t="n">
        <x:f>MAX(0,MIN(AA$8+1,'Fleet'!$O62)-MAX(AA$7,'Fleet'!$G62))</x:f>
        <x:v>366</x:v>
      </x:c>
      <x:c r="AB65" s="34" t="n">
        <x:f>MAX(0,MIN(AB$8+1,'Fleet'!$O62)-MAX(AB$7,'Fleet'!$G62))</x:f>
        <x:v>365</x:v>
      </x:c>
      <x:c r="AC65" s="34" t="n">
        <x:f>MAX(0,MIN(AC$8+1,'Fleet'!$O62)-MAX(AC$7,'Fleet'!$G62))</x:f>
        <x:v>365</x:v>
      </x:c>
      <x:c r="AD65" s="34" t="n">
        <x:f>MAX(0,MIN(AD$8+1,'Fleet'!$O62)-MAX(AD$7,'Fleet'!$G62))</x:f>
        <x:v>365</x:v>
      </x:c>
      <x:c r="AE65" s="34" t="n">
        <x:f>MAX(0,MIN(AE$8+1,'Fleet'!$O62)-MAX(AE$7,'Fleet'!$G62))</x:f>
        <x:v>366</x:v>
      </x:c>
      <x:c r="AF65" s="34" t="n">
        <x:f>MAX(0,MIN(AF$8+1,'Fleet'!$O62)-MAX(AF$7,'Fleet'!$G62))</x:f>
        <x:v>365</x:v>
      </x:c>
      <x:c r="AG65" s="34" t="n">
        <x:f>MAX(0,MIN(AG$8+1,'Fleet'!$O62)-MAX(AG$7,'Fleet'!$G62))</x:f>
        <x:v>365</x:v>
      </x:c>
      <x:c r="AH65" s="34" t="n">
        <x:f>MAX(0,MIN(AH$8+1,'Fleet'!$O62)-MAX(AH$7,'Fleet'!$G62))</x:f>
        <x:v>365</x:v>
      </x:c>
      <x:c r="AI65" s="34" t="n">
        <x:f>MAX(0,MIN(AI$8+1,'Fleet'!$O62)-MAX(AI$7,'Fleet'!$G62))</x:f>
        <x:v>366</x:v>
      </x:c>
      <x:c r="AJ65" s="34" t="n">
        <x:f>MAX(0,MIN(AJ$8+1,'Fleet'!$O62)-MAX(AJ$7,'Fleet'!$G62))</x:f>
        <x:v>365</x:v>
      </x:c>
      <x:c r="AK65" s="34" t="n">
        <x:f>MAX(0,MIN(AK$8+1,'Fleet'!$O62)-MAX(AK$7,'Fleet'!$G62))</x:f>
        <x:v>365</x:v>
      </x:c>
      <x:c r="AL65" s="34" t="n">
        <x:f>MAX(0,MIN(AL$8+1,'Fleet'!$O62)-MAX(AL$7,'Fleet'!$G62))</x:f>
        <x:v>273</x:v>
      </x:c>
      <x:c r="AM65" s="34" t="n">
        <x:f>MAX(0,MIN(AM$8+1,'Fleet'!$O62)-MAX(AM$7,'Fleet'!$G62))</x:f>
        <x:v>0</x:v>
      </x:c>
      <x:c r="AN65" s="34" t="n">
        <x:f>MAX(0,MIN(AN$8+1,'Fleet'!$O62)-MAX(AN$7,'Fleet'!$G62))</x:f>
        <x:v>0</x:v>
      </x:c>
      <x:c r="AO65" s="34" t="n">
        <x:f>MAX(0,MIN(AO$8+1,'Fleet'!$O62)-MAX(AO$7,'Fleet'!$G62))</x:f>
        <x:v>0</x:v>
      </x:c>
      <x:c r="AP65" s="34" t="n">
        <x:f>MAX(0,MIN(AP$8+1,'Fleet'!$O62)-MAX(AP$7,'Fleet'!$G62))</x:f>
        <x:v>0</x:v>
      </x:c>
      <x:c r="AQ65" s="34" t="n">
        <x:f>MAX(0,MIN(AQ$8+1,'Fleet'!$O62)-MAX(AQ$7,'Fleet'!$G62))</x:f>
        <x:v>0</x:v>
      </x:c>
    </x:row>
    <x:row r="66" ht="21" customHeight="1">
      <x:c r="A66" s="2"/>
      <x:c r="B66" s="2"/>
      <x:c r="C66" s="5" t="str">
        <x:f>'Fleet'!C63</x:f>
        <x:v>Star Evelina</x:v>
      </x:c>
      <x:c r="D66" s="5" t="str">
        <x:f>'Fleet'!D63</x:f>
        <x:v>Kamsarmax</x:v>
      </x:c>
      <x:c r="E66" s="34" t="n">
        <x:f>MAX(0,MIN(E$8+1,'Fleet'!$O63)-MAX(E$7,'Fleet'!$G63))</x:f>
        <x:v>83</x:v>
      </x:c>
      <x:c r="F66" s="34" t="n">
        <x:f>MAX(0,MIN(F$8+1,'Fleet'!$O63)-MAX(F$7,'Fleet'!$G63))</x:f>
        <x:v>90</x:v>
      </x:c>
      <x:c r="G66" s="34" t="n">
        <x:f>MAX(0,MIN(G$8+1,'Fleet'!$O63)-MAX(G$7,'Fleet'!$G63))</x:f>
        <x:v>91</x:v>
      </x:c>
      <x:c r="H66" s="34" t="n">
        <x:f>MAX(0,MIN(H$8+1,'Fleet'!$O63)-MAX(H$7,'Fleet'!$G63))</x:f>
        <x:v>92</x:v>
      </x:c>
      <x:c r="I66" s="34" t="n">
        <x:f>MAX(0,MIN(I$8+1,'Fleet'!$O63)-MAX(I$7,'Fleet'!$G63))</x:f>
        <x:v>92</x:v>
      </x:c>
      <x:c r="J66" s="34" t="n">
        <x:f>MAX(0,MIN(J$8+1,'Fleet'!$O63)-MAX(J$7,'Fleet'!$G63))</x:f>
        <x:v>91</x:v>
      </x:c>
      <x:c r="K66" s="34" t="n">
        <x:f>MAX(0,MIN(K$8+1,'Fleet'!$O63)-MAX(K$7,'Fleet'!$G63))</x:f>
        <x:v>91</x:v>
      </x:c>
      <x:c r="L66" s="34" t="n">
        <x:f>MAX(0,MIN(L$8+1,'Fleet'!$O63)-MAX(L$7,'Fleet'!$G63))</x:f>
        <x:v>92</x:v>
      </x:c>
      <x:c r="M66" s="34" t="n">
        <x:f>MAX(0,MIN(M$8+1,'Fleet'!$O63)-MAX(M$7,'Fleet'!$G63))</x:f>
        <x:v>92</x:v>
      </x:c>
      <x:c r="N66" s="34" t="n">
        <x:f>MAX(0,MIN(N$8+1,'Fleet'!$O63)-MAX(N$7,'Fleet'!$G63))</x:f>
        <x:v>90</x:v>
      </x:c>
      <x:c r="O66" s="34" t="n">
        <x:f>MAX(0,MIN(O$8+1,'Fleet'!$O63)-MAX(O$7,'Fleet'!$G63))</x:f>
        <x:v>91</x:v>
      </x:c>
      <x:c r="P66" s="34" t="n">
        <x:f>MAX(0,MIN(P$8+1,'Fleet'!$O63)-MAX(P$7,'Fleet'!$G63))</x:f>
        <x:v>92</x:v>
      </x:c>
      <x:c r="Q66" s="34" t="n">
        <x:f>MAX(0,MIN(Q$8+1,'Fleet'!$O63)-MAX(Q$7,'Fleet'!$G63))</x:f>
        <x:v>365</x:v>
      </x:c>
      <x:c r="R66" s="34" t="n">
        <x:f>MAX(0,MIN(R$8+1,'Fleet'!$O63)-MAX(R$7,'Fleet'!$G63))</x:f>
        <x:v>365</x:v>
      </x:c>
      <x:c r="S66" s="34" t="n">
        <x:f>MAX(0,MIN(S$8+1,'Fleet'!$O63)-MAX(S$7,'Fleet'!$G63))</x:f>
        <x:v>366</x:v>
      </x:c>
      <x:c r="T66" s="34" t="n">
        <x:f>MAX(0,MIN(T$8+1,'Fleet'!$O63)-MAX(T$7,'Fleet'!$G63))</x:f>
        <x:v>365</x:v>
      </x:c>
      <x:c r="U66" s="34" t="n">
        <x:f>MAX(0,MIN(U$8+1,'Fleet'!$O63)-MAX(U$7,'Fleet'!$G63))</x:f>
        <x:v>365</x:v>
      </x:c>
      <x:c r="V66" s="34" t="n">
        <x:f>MAX(0,MIN(V$8+1,'Fleet'!$O63)-MAX(V$7,'Fleet'!$G63))</x:f>
        <x:v>365</x:v>
      </x:c>
      <x:c r="W66" s="34" t="n">
        <x:f>MAX(0,MIN(W$8+1,'Fleet'!$O63)-MAX(W$7,'Fleet'!$G63))</x:f>
        <x:v>366</x:v>
      </x:c>
      <x:c r="X66" s="34" t="n">
        <x:f>MAX(0,MIN(X$8+1,'Fleet'!$O63)-MAX(X$7,'Fleet'!$G63))</x:f>
        <x:v>365</x:v>
      </x:c>
      <x:c r="Y66" s="34" t="n">
        <x:f>MAX(0,MIN(Y$8+1,'Fleet'!$O63)-MAX(Y$7,'Fleet'!$G63))</x:f>
        <x:v>365</x:v>
      </x:c>
      <x:c r="Z66" s="34" t="n">
        <x:f>MAX(0,MIN(Z$8+1,'Fleet'!$O63)-MAX(Z$7,'Fleet'!$G63))</x:f>
        <x:v>365</x:v>
      </x:c>
      <x:c r="AA66" s="34" t="n">
        <x:f>MAX(0,MIN(AA$8+1,'Fleet'!$O63)-MAX(AA$7,'Fleet'!$G63))</x:f>
        <x:v>366</x:v>
      </x:c>
      <x:c r="AB66" s="34" t="n">
        <x:f>MAX(0,MIN(AB$8+1,'Fleet'!$O63)-MAX(AB$7,'Fleet'!$G63))</x:f>
        <x:v>365</x:v>
      </x:c>
      <x:c r="AC66" s="34" t="n">
        <x:f>MAX(0,MIN(AC$8+1,'Fleet'!$O63)-MAX(AC$7,'Fleet'!$G63))</x:f>
        <x:v>365</x:v>
      </x:c>
      <x:c r="AD66" s="34" t="n">
        <x:f>MAX(0,MIN(AD$8+1,'Fleet'!$O63)-MAX(AD$7,'Fleet'!$G63))</x:f>
        <x:v>365</x:v>
      </x:c>
      <x:c r="AE66" s="34" t="n">
        <x:f>MAX(0,MIN(AE$8+1,'Fleet'!$O63)-MAX(AE$7,'Fleet'!$G63))</x:f>
        <x:v>366</x:v>
      </x:c>
      <x:c r="AF66" s="34" t="n">
        <x:f>MAX(0,MIN(AF$8+1,'Fleet'!$O63)-MAX(AF$7,'Fleet'!$G63))</x:f>
        <x:v>365</x:v>
      </x:c>
      <x:c r="AG66" s="34" t="n">
        <x:f>MAX(0,MIN(AG$8+1,'Fleet'!$O63)-MAX(AG$7,'Fleet'!$G63))</x:f>
        <x:v>365</x:v>
      </x:c>
      <x:c r="AH66" s="34" t="n">
        <x:f>MAX(0,MIN(AH$8+1,'Fleet'!$O63)-MAX(AH$7,'Fleet'!$G63))</x:f>
        <x:v>365</x:v>
      </x:c>
      <x:c r="AI66" s="34" t="n">
        <x:f>MAX(0,MIN(AI$8+1,'Fleet'!$O63)-MAX(AI$7,'Fleet'!$G63))</x:f>
        <x:v>366</x:v>
      </x:c>
      <x:c r="AJ66" s="34" t="n">
        <x:f>MAX(0,MIN(AJ$8+1,'Fleet'!$O63)-MAX(AJ$7,'Fleet'!$G63))</x:f>
        <x:v>365</x:v>
      </x:c>
      <x:c r="AK66" s="34" t="n">
        <x:f>MAX(0,MIN(AK$8+1,'Fleet'!$O63)-MAX(AK$7,'Fleet'!$G63))</x:f>
        <x:v>365</x:v>
      </x:c>
      <x:c r="AL66" s="34" t="n">
        <x:f>MAX(0,MIN(AL$8+1,'Fleet'!$O63)-MAX(AL$7,'Fleet'!$G63))</x:f>
        <x:v>273</x:v>
      </x:c>
      <x:c r="AM66" s="34" t="n">
        <x:f>MAX(0,MIN(AM$8+1,'Fleet'!$O63)-MAX(AM$7,'Fleet'!$G63))</x:f>
        <x:v>0</x:v>
      </x:c>
      <x:c r="AN66" s="34" t="n">
        <x:f>MAX(0,MIN(AN$8+1,'Fleet'!$O63)-MAX(AN$7,'Fleet'!$G63))</x:f>
        <x:v>0</x:v>
      </x:c>
      <x:c r="AO66" s="34" t="n">
        <x:f>MAX(0,MIN(AO$8+1,'Fleet'!$O63)-MAX(AO$7,'Fleet'!$G63))</x:f>
        <x:v>0</x:v>
      </x:c>
      <x:c r="AP66" s="34" t="n">
        <x:f>MAX(0,MIN(AP$8+1,'Fleet'!$O63)-MAX(AP$7,'Fleet'!$G63))</x:f>
        <x:v>0</x:v>
      </x:c>
      <x:c r="AQ66" s="34" t="n">
        <x:f>MAX(0,MIN(AQ$8+1,'Fleet'!$O63)-MAX(AQ$7,'Fleet'!$G63))</x:f>
        <x:v>0</x:v>
      </x:c>
    </x:row>
    <x:row r="67" ht="21" customHeight="1">
      <x:c r="A67" s="2"/>
      <x:c r="B67" s="2"/>
      <x:c r="C67" s="5" t="str">
        <x:f>'Fleet'!C64</x:f>
        <x:v>Star Astrid</x:v>
      </x:c>
      <x:c r="D67" s="5" t="str">
        <x:f>'Fleet'!D64</x:f>
        <x:v>Kamsarmax</x:v>
      </x:c>
      <x:c r="E67" s="34" t="n">
        <x:f>MAX(0,MIN(E$8+1,'Fleet'!$O64)-MAX(E$7,'Fleet'!$G64))</x:f>
        <x:v>83</x:v>
      </x:c>
      <x:c r="F67" s="34" t="n">
        <x:f>MAX(0,MIN(F$8+1,'Fleet'!$O64)-MAX(F$7,'Fleet'!$G64))</x:f>
        <x:v>90</x:v>
      </x:c>
      <x:c r="G67" s="34" t="n">
        <x:f>MAX(0,MIN(G$8+1,'Fleet'!$O64)-MAX(G$7,'Fleet'!$G64))</x:f>
        <x:v>91</x:v>
      </x:c>
      <x:c r="H67" s="34" t="n">
        <x:f>MAX(0,MIN(H$8+1,'Fleet'!$O64)-MAX(H$7,'Fleet'!$G64))</x:f>
        <x:v>92</x:v>
      </x:c>
      <x:c r="I67" s="34" t="n">
        <x:f>MAX(0,MIN(I$8+1,'Fleet'!$O64)-MAX(I$7,'Fleet'!$G64))</x:f>
        <x:v>92</x:v>
      </x:c>
      <x:c r="J67" s="34" t="n">
        <x:f>MAX(0,MIN(J$8+1,'Fleet'!$O64)-MAX(J$7,'Fleet'!$G64))</x:f>
        <x:v>91</x:v>
      </x:c>
      <x:c r="K67" s="34" t="n">
        <x:f>MAX(0,MIN(K$8+1,'Fleet'!$O64)-MAX(K$7,'Fleet'!$G64))</x:f>
        <x:v>91</x:v>
      </x:c>
      <x:c r="L67" s="34" t="n">
        <x:f>MAX(0,MIN(L$8+1,'Fleet'!$O64)-MAX(L$7,'Fleet'!$G64))</x:f>
        <x:v>92</x:v>
      </x:c>
      <x:c r="M67" s="34" t="n">
        <x:f>MAX(0,MIN(M$8+1,'Fleet'!$O64)-MAX(M$7,'Fleet'!$G64))</x:f>
        <x:v>92</x:v>
      </x:c>
      <x:c r="N67" s="34" t="n">
        <x:f>MAX(0,MIN(N$8+1,'Fleet'!$O64)-MAX(N$7,'Fleet'!$G64))</x:f>
        <x:v>90</x:v>
      </x:c>
      <x:c r="O67" s="34" t="n">
        <x:f>MAX(0,MIN(O$8+1,'Fleet'!$O64)-MAX(O$7,'Fleet'!$G64))</x:f>
        <x:v>91</x:v>
      </x:c>
      <x:c r="P67" s="34" t="n">
        <x:f>MAX(0,MIN(P$8+1,'Fleet'!$O64)-MAX(P$7,'Fleet'!$G64))</x:f>
        <x:v>92</x:v>
      </x:c>
      <x:c r="Q67" s="34" t="n">
        <x:f>MAX(0,MIN(Q$8+1,'Fleet'!$O64)-MAX(Q$7,'Fleet'!$G64))</x:f>
        <x:v>365</x:v>
      </x:c>
      <x:c r="R67" s="34" t="n">
        <x:f>MAX(0,MIN(R$8+1,'Fleet'!$O64)-MAX(R$7,'Fleet'!$G64))</x:f>
        <x:v>365</x:v>
      </x:c>
      <x:c r="S67" s="34" t="n">
        <x:f>MAX(0,MIN(S$8+1,'Fleet'!$O64)-MAX(S$7,'Fleet'!$G64))</x:f>
        <x:v>366</x:v>
      </x:c>
      <x:c r="T67" s="34" t="n">
        <x:f>MAX(0,MIN(T$8+1,'Fleet'!$O64)-MAX(T$7,'Fleet'!$G64))</x:f>
        <x:v>365</x:v>
      </x:c>
      <x:c r="U67" s="34" t="n">
        <x:f>MAX(0,MIN(U$8+1,'Fleet'!$O64)-MAX(U$7,'Fleet'!$G64))</x:f>
        <x:v>365</x:v>
      </x:c>
      <x:c r="V67" s="34" t="n">
        <x:f>MAX(0,MIN(V$8+1,'Fleet'!$O64)-MAX(V$7,'Fleet'!$G64))</x:f>
        <x:v>365</x:v>
      </x:c>
      <x:c r="W67" s="34" t="n">
        <x:f>MAX(0,MIN(W$8+1,'Fleet'!$O64)-MAX(W$7,'Fleet'!$G64))</x:f>
        <x:v>366</x:v>
      </x:c>
      <x:c r="X67" s="34" t="n">
        <x:f>MAX(0,MIN(X$8+1,'Fleet'!$O64)-MAX(X$7,'Fleet'!$G64))</x:f>
        <x:v>273</x:v>
      </x:c>
      <x:c r="Y67" s="34" t="n">
        <x:f>MAX(0,MIN(Y$8+1,'Fleet'!$O64)-MAX(Y$7,'Fleet'!$G64))</x:f>
        <x:v>0</x:v>
      </x:c>
      <x:c r="Z67" s="34" t="n">
        <x:f>MAX(0,MIN(Z$8+1,'Fleet'!$O64)-MAX(Z$7,'Fleet'!$G64))</x:f>
        <x:v>0</x:v>
      </x:c>
      <x:c r="AA67" s="34" t="n">
        <x:f>MAX(0,MIN(AA$8+1,'Fleet'!$O64)-MAX(AA$7,'Fleet'!$G64))</x:f>
        <x:v>0</x:v>
      </x:c>
      <x:c r="AB67" s="34" t="n">
        <x:f>MAX(0,MIN(AB$8+1,'Fleet'!$O64)-MAX(AB$7,'Fleet'!$G64))</x:f>
        <x:v>0</x:v>
      </x:c>
      <x:c r="AC67" s="34" t="n">
        <x:f>MAX(0,MIN(AC$8+1,'Fleet'!$O64)-MAX(AC$7,'Fleet'!$G64))</x:f>
        <x:v>0</x:v>
      </x:c>
      <x:c r="AD67" s="34" t="n">
        <x:f>MAX(0,MIN(AD$8+1,'Fleet'!$O64)-MAX(AD$7,'Fleet'!$G64))</x:f>
        <x:v>0</x:v>
      </x:c>
      <x:c r="AE67" s="34" t="n">
        <x:f>MAX(0,MIN(AE$8+1,'Fleet'!$O64)-MAX(AE$7,'Fleet'!$G64))</x:f>
        <x:v>0</x:v>
      </x:c>
      <x:c r="AF67" s="34" t="n">
        <x:f>MAX(0,MIN(AF$8+1,'Fleet'!$O64)-MAX(AF$7,'Fleet'!$G64))</x:f>
        <x:v>0</x:v>
      </x:c>
      <x:c r="AG67" s="34" t="n">
        <x:f>MAX(0,MIN(AG$8+1,'Fleet'!$O64)-MAX(AG$7,'Fleet'!$G64))</x:f>
        <x:v>0</x:v>
      </x:c>
      <x:c r="AH67" s="34" t="n">
        <x:f>MAX(0,MIN(AH$8+1,'Fleet'!$O64)-MAX(AH$7,'Fleet'!$G64))</x:f>
        <x:v>0</x:v>
      </x:c>
      <x:c r="AI67" s="34" t="n">
        <x:f>MAX(0,MIN(AI$8+1,'Fleet'!$O64)-MAX(AI$7,'Fleet'!$G64))</x:f>
        <x:v>0</x:v>
      </x:c>
      <x:c r="AJ67" s="34" t="n">
        <x:f>MAX(0,MIN(AJ$8+1,'Fleet'!$O64)-MAX(AJ$7,'Fleet'!$G64))</x:f>
        <x:v>0</x:v>
      </x:c>
      <x:c r="AK67" s="34" t="n">
        <x:f>MAX(0,MIN(AK$8+1,'Fleet'!$O64)-MAX(AK$7,'Fleet'!$G64))</x:f>
        <x:v>0</x:v>
      </x:c>
      <x:c r="AL67" s="34" t="n">
        <x:f>MAX(0,MIN(AL$8+1,'Fleet'!$O64)-MAX(AL$7,'Fleet'!$G64))</x:f>
        <x:v>0</x:v>
      </x:c>
      <x:c r="AM67" s="34" t="n">
        <x:f>MAX(0,MIN(AM$8+1,'Fleet'!$O64)-MAX(AM$7,'Fleet'!$G64))</x:f>
        <x:v>0</x:v>
      </x:c>
      <x:c r="AN67" s="34" t="n">
        <x:f>MAX(0,MIN(AN$8+1,'Fleet'!$O64)-MAX(AN$7,'Fleet'!$G64))</x:f>
        <x:v>0</x:v>
      </x:c>
      <x:c r="AO67" s="34" t="n">
        <x:f>MAX(0,MIN(AO$8+1,'Fleet'!$O64)-MAX(AO$7,'Fleet'!$G64))</x:f>
        <x:v>0</x:v>
      </x:c>
      <x:c r="AP67" s="34" t="n">
        <x:f>MAX(0,MIN(AP$8+1,'Fleet'!$O64)-MAX(AP$7,'Fleet'!$G64))</x:f>
        <x:v>0</x:v>
      </x:c>
      <x:c r="AQ67" s="34" t="n">
        <x:f>MAX(0,MIN(AQ$8+1,'Fleet'!$O64)-MAX(AQ$7,'Fleet'!$G64))</x:f>
        <x:v>0</x:v>
      </x:c>
    </x:row>
    <x:row r="68" ht="21" customHeight="1">
      <x:c r="A68" s="2"/>
      <x:c r="B68" s="2"/>
      <x:c r="C68" s="5" t="str">
        <x:f>'Fleet'!C65</x:f>
        <x:v>Star Ellie</x:v>
      </x:c>
      <x:c r="D68" s="5" t="str">
        <x:f>'Fleet'!D65</x:f>
        <x:v>Kamsarmax</x:v>
      </x:c>
      <x:c r="E68" s="34" t="n">
        <x:f>MAX(0,MIN(E$8+1,'Fleet'!$O65)-MAX(E$7,'Fleet'!$G65))</x:f>
        <x:v>83</x:v>
      </x:c>
      <x:c r="F68" s="34" t="n">
        <x:f>MAX(0,MIN(F$8+1,'Fleet'!$O65)-MAX(F$7,'Fleet'!$G65))</x:f>
        <x:v>90</x:v>
      </x:c>
      <x:c r="G68" s="34" t="n">
        <x:f>MAX(0,MIN(G$8+1,'Fleet'!$O65)-MAX(G$7,'Fleet'!$G65))</x:f>
        <x:v>91</x:v>
      </x:c>
      <x:c r="H68" s="34" t="n">
        <x:f>MAX(0,MIN(H$8+1,'Fleet'!$O65)-MAX(H$7,'Fleet'!$G65))</x:f>
        <x:v>92</x:v>
      </x:c>
      <x:c r="I68" s="34" t="n">
        <x:f>MAX(0,MIN(I$8+1,'Fleet'!$O65)-MAX(I$7,'Fleet'!$G65))</x:f>
        <x:v>92</x:v>
      </x:c>
      <x:c r="J68" s="34" t="n">
        <x:f>MAX(0,MIN(J$8+1,'Fleet'!$O65)-MAX(J$7,'Fleet'!$G65))</x:f>
        <x:v>91</x:v>
      </x:c>
      <x:c r="K68" s="34" t="n">
        <x:f>MAX(0,MIN(K$8+1,'Fleet'!$O65)-MAX(K$7,'Fleet'!$G65))</x:f>
        <x:v>91</x:v>
      </x:c>
      <x:c r="L68" s="34" t="n">
        <x:f>MAX(0,MIN(L$8+1,'Fleet'!$O65)-MAX(L$7,'Fleet'!$G65))</x:f>
        <x:v>92</x:v>
      </x:c>
      <x:c r="M68" s="34" t="n">
        <x:f>MAX(0,MIN(M$8+1,'Fleet'!$O65)-MAX(M$7,'Fleet'!$G65))</x:f>
        <x:v>92</x:v>
      </x:c>
      <x:c r="N68" s="34" t="n">
        <x:f>MAX(0,MIN(N$8+1,'Fleet'!$O65)-MAX(N$7,'Fleet'!$G65))</x:f>
        <x:v>90</x:v>
      </x:c>
      <x:c r="O68" s="34" t="n">
        <x:f>MAX(0,MIN(O$8+1,'Fleet'!$O65)-MAX(O$7,'Fleet'!$G65))</x:f>
        <x:v>91</x:v>
      </x:c>
      <x:c r="P68" s="34" t="n">
        <x:f>MAX(0,MIN(P$8+1,'Fleet'!$O65)-MAX(P$7,'Fleet'!$G65))</x:f>
        <x:v>92</x:v>
      </x:c>
      <x:c r="Q68" s="34" t="n">
        <x:f>MAX(0,MIN(Q$8+1,'Fleet'!$O65)-MAX(Q$7,'Fleet'!$G65))</x:f>
        <x:v>365</x:v>
      </x:c>
      <x:c r="R68" s="34" t="n">
        <x:f>MAX(0,MIN(R$8+1,'Fleet'!$O65)-MAX(R$7,'Fleet'!$G65))</x:f>
        <x:v>365</x:v>
      </x:c>
      <x:c r="S68" s="34" t="n">
        <x:f>MAX(0,MIN(S$8+1,'Fleet'!$O65)-MAX(S$7,'Fleet'!$G65))</x:f>
        <x:v>366</x:v>
      </x:c>
      <x:c r="T68" s="34" t="n">
        <x:f>MAX(0,MIN(T$8+1,'Fleet'!$O65)-MAX(T$7,'Fleet'!$G65))</x:f>
        <x:v>365</x:v>
      </x:c>
      <x:c r="U68" s="34" t="n">
        <x:f>MAX(0,MIN(U$8+1,'Fleet'!$O65)-MAX(U$7,'Fleet'!$G65))</x:f>
        <x:v>365</x:v>
      </x:c>
      <x:c r="V68" s="34" t="n">
        <x:f>MAX(0,MIN(V$8+1,'Fleet'!$O65)-MAX(V$7,'Fleet'!$G65))</x:f>
        <x:v>365</x:v>
      </x:c>
      <x:c r="W68" s="34" t="n">
        <x:f>MAX(0,MIN(W$8+1,'Fleet'!$O65)-MAX(W$7,'Fleet'!$G65))</x:f>
        <x:v>366</x:v>
      </x:c>
      <x:c r="X68" s="34" t="n">
        <x:f>MAX(0,MIN(X$8+1,'Fleet'!$O65)-MAX(X$7,'Fleet'!$G65))</x:f>
        <x:v>365</x:v>
      </x:c>
      <x:c r="Y68" s="34" t="n">
        <x:f>MAX(0,MIN(Y$8+1,'Fleet'!$O65)-MAX(Y$7,'Fleet'!$G65))</x:f>
        <x:v>365</x:v>
      </x:c>
      <x:c r="Z68" s="34" t="n">
        <x:f>MAX(0,MIN(Z$8+1,'Fleet'!$O65)-MAX(Z$7,'Fleet'!$G65))</x:f>
        <x:v>365</x:v>
      </x:c>
      <x:c r="AA68" s="34" t="n">
        <x:f>MAX(0,MIN(AA$8+1,'Fleet'!$O65)-MAX(AA$7,'Fleet'!$G65))</x:f>
        <x:v>366</x:v>
      </x:c>
      <x:c r="AB68" s="34" t="n">
        <x:f>MAX(0,MIN(AB$8+1,'Fleet'!$O65)-MAX(AB$7,'Fleet'!$G65))</x:f>
        <x:v>365</x:v>
      </x:c>
      <x:c r="AC68" s="34" t="n">
        <x:f>MAX(0,MIN(AC$8+1,'Fleet'!$O65)-MAX(AC$7,'Fleet'!$G65))</x:f>
        <x:v>365</x:v>
      </x:c>
      <x:c r="AD68" s="34" t="n">
        <x:f>MAX(0,MIN(AD$8+1,'Fleet'!$O65)-MAX(AD$7,'Fleet'!$G65))</x:f>
        <x:v>365</x:v>
      </x:c>
      <x:c r="AE68" s="34" t="n">
        <x:f>MAX(0,MIN(AE$8+1,'Fleet'!$O65)-MAX(AE$7,'Fleet'!$G65))</x:f>
        <x:v>366</x:v>
      </x:c>
      <x:c r="AF68" s="34" t="n">
        <x:f>MAX(0,MIN(AF$8+1,'Fleet'!$O65)-MAX(AF$7,'Fleet'!$G65))</x:f>
        <x:v>365</x:v>
      </x:c>
      <x:c r="AG68" s="34" t="n">
        <x:f>MAX(0,MIN(AG$8+1,'Fleet'!$O65)-MAX(AG$7,'Fleet'!$G65))</x:f>
        <x:v>365</x:v>
      </x:c>
      <x:c r="AH68" s="34" t="n">
        <x:f>MAX(0,MIN(AH$8+1,'Fleet'!$O65)-MAX(AH$7,'Fleet'!$G65))</x:f>
        <x:v>365</x:v>
      </x:c>
      <x:c r="AI68" s="34" t="n">
        <x:f>MAX(0,MIN(AI$8+1,'Fleet'!$O65)-MAX(AI$7,'Fleet'!$G65))</x:f>
        <x:v>366</x:v>
      </x:c>
      <x:c r="AJ68" s="34" t="n">
        <x:f>MAX(0,MIN(AJ$8+1,'Fleet'!$O65)-MAX(AJ$7,'Fleet'!$G65))</x:f>
        <x:v>365</x:v>
      </x:c>
      <x:c r="AK68" s="34" t="n">
        <x:f>MAX(0,MIN(AK$8+1,'Fleet'!$O65)-MAX(AK$7,'Fleet'!$G65))</x:f>
        <x:v>365</x:v>
      </x:c>
      <x:c r="AL68" s="34" t="n">
        <x:f>MAX(0,MIN(AL$8+1,'Fleet'!$O65)-MAX(AL$7,'Fleet'!$G65))</x:f>
        <x:v>273</x:v>
      </x:c>
      <x:c r="AM68" s="34" t="n">
        <x:f>MAX(0,MIN(AM$8+1,'Fleet'!$O65)-MAX(AM$7,'Fleet'!$G65))</x:f>
        <x:v>0</x:v>
      </x:c>
      <x:c r="AN68" s="34" t="n">
        <x:f>MAX(0,MIN(AN$8+1,'Fleet'!$O65)-MAX(AN$7,'Fleet'!$G65))</x:f>
        <x:v>0</x:v>
      </x:c>
      <x:c r="AO68" s="34" t="n">
        <x:f>MAX(0,MIN(AO$8+1,'Fleet'!$O65)-MAX(AO$7,'Fleet'!$G65))</x:f>
        <x:v>0</x:v>
      </x:c>
      <x:c r="AP68" s="34" t="n">
        <x:f>MAX(0,MIN(AP$8+1,'Fleet'!$O65)-MAX(AP$7,'Fleet'!$G65))</x:f>
        <x:v>0</x:v>
      </x:c>
      <x:c r="AQ68" s="34" t="n">
        <x:f>MAX(0,MIN(AQ$8+1,'Fleet'!$O65)-MAX(AQ$7,'Fleet'!$G65))</x:f>
        <x:v>0</x:v>
      </x:c>
    </x:row>
    <x:row r="69" ht="21" customHeight="1">
      <x:c r="A69" s="2"/>
      <x:c r="B69" s="2"/>
      <x:c r="C69" s="5" t="str">
        <x:f>'Fleet'!C66</x:f>
        <x:v>Star Bella</x:v>
      </x:c>
      <x:c r="D69" s="5" t="str">
        <x:f>'Fleet'!D66</x:f>
        <x:v>Kamsarmax</x:v>
      </x:c>
      <x:c r="E69" s="34" t="n">
        <x:f>MAX(0,MIN(E$8+1,'Fleet'!$O66)-MAX(E$7,'Fleet'!$G66))</x:f>
        <x:v>83</x:v>
      </x:c>
      <x:c r="F69" s="34" t="n">
        <x:f>MAX(0,MIN(F$8+1,'Fleet'!$O66)-MAX(F$7,'Fleet'!$G66))</x:f>
        <x:v>90</x:v>
      </x:c>
      <x:c r="G69" s="34" t="n">
        <x:f>MAX(0,MIN(G$8+1,'Fleet'!$O66)-MAX(G$7,'Fleet'!$G66))</x:f>
        <x:v>91</x:v>
      </x:c>
      <x:c r="H69" s="34" t="n">
        <x:f>MAX(0,MIN(H$8+1,'Fleet'!$O66)-MAX(H$7,'Fleet'!$G66))</x:f>
        <x:v>92</x:v>
      </x:c>
      <x:c r="I69" s="34" t="n">
        <x:f>MAX(0,MIN(I$8+1,'Fleet'!$O66)-MAX(I$7,'Fleet'!$G66))</x:f>
        <x:v>92</x:v>
      </x:c>
      <x:c r="J69" s="34" t="n">
        <x:f>MAX(0,MIN(J$8+1,'Fleet'!$O66)-MAX(J$7,'Fleet'!$G66))</x:f>
        <x:v>91</x:v>
      </x:c>
      <x:c r="K69" s="34" t="n">
        <x:f>MAX(0,MIN(K$8+1,'Fleet'!$O66)-MAX(K$7,'Fleet'!$G66))</x:f>
        <x:v>91</x:v>
      </x:c>
      <x:c r="L69" s="34" t="n">
        <x:f>MAX(0,MIN(L$8+1,'Fleet'!$O66)-MAX(L$7,'Fleet'!$G66))</x:f>
        <x:v>92</x:v>
      </x:c>
      <x:c r="M69" s="34" t="n">
        <x:f>MAX(0,MIN(M$8+1,'Fleet'!$O66)-MAX(M$7,'Fleet'!$G66))</x:f>
        <x:v>92</x:v>
      </x:c>
      <x:c r="N69" s="34" t="n">
        <x:f>MAX(0,MIN(N$8+1,'Fleet'!$O66)-MAX(N$7,'Fleet'!$G66))</x:f>
        <x:v>90</x:v>
      </x:c>
      <x:c r="O69" s="34" t="n">
        <x:f>MAX(0,MIN(O$8+1,'Fleet'!$O66)-MAX(O$7,'Fleet'!$G66))</x:f>
        <x:v>91</x:v>
      </x:c>
      <x:c r="P69" s="34" t="n">
        <x:f>MAX(0,MIN(P$8+1,'Fleet'!$O66)-MAX(P$7,'Fleet'!$G66))</x:f>
        <x:v>92</x:v>
      </x:c>
      <x:c r="Q69" s="34" t="n">
        <x:f>MAX(0,MIN(Q$8+1,'Fleet'!$O66)-MAX(Q$7,'Fleet'!$G66))</x:f>
        <x:v>365</x:v>
      </x:c>
      <x:c r="R69" s="34" t="n">
        <x:f>MAX(0,MIN(R$8+1,'Fleet'!$O66)-MAX(R$7,'Fleet'!$G66))</x:f>
        <x:v>365</x:v>
      </x:c>
      <x:c r="S69" s="34" t="n">
        <x:f>MAX(0,MIN(S$8+1,'Fleet'!$O66)-MAX(S$7,'Fleet'!$G66))</x:f>
        <x:v>366</x:v>
      </x:c>
      <x:c r="T69" s="34" t="n">
        <x:f>MAX(0,MIN(T$8+1,'Fleet'!$O66)-MAX(T$7,'Fleet'!$G66))</x:f>
        <x:v>365</x:v>
      </x:c>
      <x:c r="U69" s="34" t="n">
        <x:f>MAX(0,MIN(U$8+1,'Fleet'!$O66)-MAX(U$7,'Fleet'!$G66))</x:f>
        <x:v>365</x:v>
      </x:c>
      <x:c r="V69" s="34" t="n">
        <x:f>MAX(0,MIN(V$8+1,'Fleet'!$O66)-MAX(V$7,'Fleet'!$G66))</x:f>
        <x:v>365</x:v>
      </x:c>
      <x:c r="W69" s="34" t="n">
        <x:f>MAX(0,MIN(W$8+1,'Fleet'!$O66)-MAX(W$7,'Fleet'!$G66))</x:f>
        <x:v>366</x:v>
      </x:c>
      <x:c r="X69" s="34" t="n">
        <x:f>MAX(0,MIN(X$8+1,'Fleet'!$O66)-MAX(X$7,'Fleet'!$G66))</x:f>
        <x:v>365</x:v>
      </x:c>
      <x:c r="Y69" s="34" t="n">
        <x:f>MAX(0,MIN(Y$8+1,'Fleet'!$O66)-MAX(Y$7,'Fleet'!$G66))</x:f>
        <x:v>365</x:v>
      </x:c>
      <x:c r="Z69" s="34" t="n">
        <x:f>MAX(0,MIN(Z$8+1,'Fleet'!$O66)-MAX(Z$7,'Fleet'!$G66))</x:f>
        <x:v>365</x:v>
      </x:c>
      <x:c r="AA69" s="34" t="n">
        <x:f>MAX(0,MIN(AA$8+1,'Fleet'!$O66)-MAX(AA$7,'Fleet'!$G66))</x:f>
        <x:v>366</x:v>
      </x:c>
      <x:c r="AB69" s="34" t="n">
        <x:f>MAX(0,MIN(AB$8+1,'Fleet'!$O66)-MAX(AB$7,'Fleet'!$G66))</x:f>
        <x:v>365</x:v>
      </x:c>
      <x:c r="AC69" s="34" t="n">
        <x:f>MAX(0,MIN(AC$8+1,'Fleet'!$O66)-MAX(AC$7,'Fleet'!$G66))</x:f>
        <x:v>365</x:v>
      </x:c>
      <x:c r="AD69" s="34" t="n">
        <x:f>MAX(0,MIN(AD$8+1,'Fleet'!$O66)-MAX(AD$7,'Fleet'!$G66))</x:f>
        <x:v>365</x:v>
      </x:c>
      <x:c r="AE69" s="34" t="n">
        <x:f>MAX(0,MIN(AE$8+1,'Fleet'!$O66)-MAX(AE$7,'Fleet'!$G66))</x:f>
        <x:v>366</x:v>
      </x:c>
      <x:c r="AF69" s="34" t="n">
        <x:f>MAX(0,MIN(AF$8+1,'Fleet'!$O66)-MAX(AF$7,'Fleet'!$G66))</x:f>
        <x:v>365</x:v>
      </x:c>
      <x:c r="AG69" s="34" t="n">
        <x:f>MAX(0,MIN(AG$8+1,'Fleet'!$O66)-MAX(AG$7,'Fleet'!$G66))</x:f>
        <x:v>365</x:v>
      </x:c>
      <x:c r="AH69" s="34" t="n">
        <x:f>MAX(0,MIN(AH$8+1,'Fleet'!$O66)-MAX(AH$7,'Fleet'!$G66))</x:f>
        <x:v>365</x:v>
      </x:c>
      <x:c r="AI69" s="34" t="n">
        <x:f>MAX(0,MIN(AI$8+1,'Fleet'!$O66)-MAX(AI$7,'Fleet'!$G66))</x:f>
        <x:v>366</x:v>
      </x:c>
      <x:c r="AJ69" s="34" t="n">
        <x:f>MAX(0,MIN(AJ$8+1,'Fleet'!$O66)-MAX(AJ$7,'Fleet'!$G66))</x:f>
        <x:v>365</x:v>
      </x:c>
      <x:c r="AK69" s="34" t="n">
        <x:f>MAX(0,MIN(AK$8+1,'Fleet'!$O66)-MAX(AK$7,'Fleet'!$G66))</x:f>
        <x:v>365</x:v>
      </x:c>
      <x:c r="AL69" s="34" t="n">
        <x:f>MAX(0,MIN(AL$8+1,'Fleet'!$O66)-MAX(AL$7,'Fleet'!$G66))</x:f>
        <x:v>273</x:v>
      </x:c>
      <x:c r="AM69" s="34" t="n">
        <x:f>MAX(0,MIN(AM$8+1,'Fleet'!$O66)-MAX(AM$7,'Fleet'!$G66))</x:f>
        <x:v>0</x:v>
      </x:c>
      <x:c r="AN69" s="34" t="n">
        <x:f>MAX(0,MIN(AN$8+1,'Fleet'!$O66)-MAX(AN$7,'Fleet'!$G66))</x:f>
        <x:v>0</x:v>
      </x:c>
      <x:c r="AO69" s="34" t="n">
        <x:f>MAX(0,MIN(AO$8+1,'Fleet'!$O66)-MAX(AO$7,'Fleet'!$G66))</x:f>
        <x:v>0</x:v>
      </x:c>
      <x:c r="AP69" s="34" t="n">
        <x:f>MAX(0,MIN(AP$8+1,'Fleet'!$O66)-MAX(AP$7,'Fleet'!$G66))</x:f>
        <x:v>0</x:v>
      </x:c>
      <x:c r="AQ69" s="34" t="n">
        <x:f>MAX(0,MIN(AQ$8+1,'Fleet'!$O66)-MAX(AQ$7,'Fleet'!$G66))</x:f>
        <x:v>0</x:v>
      </x:c>
    </x:row>
    <x:row r="70" ht="21" customHeight="1">
      <x:c r="A70" s="2"/>
      <x:c r="B70" s="2"/>
      <x:c r="C70" s="5" t="str">
        <x:f>'Fleet'!C67</x:f>
        <x:v>Star Kyra</x:v>
      </x:c>
      <x:c r="D70" s="5" t="str">
        <x:f>'Fleet'!D67</x:f>
        <x:v>Kamsarmax</x:v>
      </x:c>
      <x:c r="E70" s="34" t="n">
        <x:f>MAX(0,MIN(E$8+1,'Fleet'!$O67)-MAX(E$7,'Fleet'!$G67))</x:f>
        <x:v>83</x:v>
      </x:c>
      <x:c r="F70" s="34" t="n">
        <x:f>MAX(0,MIN(F$8+1,'Fleet'!$O67)-MAX(F$7,'Fleet'!$G67))</x:f>
        <x:v>90</x:v>
      </x:c>
      <x:c r="G70" s="34" t="n">
        <x:f>MAX(0,MIN(G$8+1,'Fleet'!$O67)-MAX(G$7,'Fleet'!$G67))</x:f>
        <x:v>91</x:v>
      </x:c>
      <x:c r="H70" s="34" t="n">
        <x:f>MAX(0,MIN(H$8+1,'Fleet'!$O67)-MAX(H$7,'Fleet'!$G67))</x:f>
        <x:v>92</x:v>
      </x:c>
      <x:c r="I70" s="34" t="n">
        <x:f>MAX(0,MIN(I$8+1,'Fleet'!$O67)-MAX(I$7,'Fleet'!$G67))</x:f>
        <x:v>92</x:v>
      </x:c>
      <x:c r="J70" s="34" t="n">
        <x:f>MAX(0,MIN(J$8+1,'Fleet'!$O67)-MAX(J$7,'Fleet'!$G67))</x:f>
        <x:v>91</x:v>
      </x:c>
      <x:c r="K70" s="34" t="n">
        <x:f>MAX(0,MIN(K$8+1,'Fleet'!$O67)-MAX(K$7,'Fleet'!$G67))</x:f>
        <x:v>91</x:v>
      </x:c>
      <x:c r="L70" s="34" t="n">
        <x:f>MAX(0,MIN(L$8+1,'Fleet'!$O67)-MAX(L$7,'Fleet'!$G67))</x:f>
        <x:v>92</x:v>
      </x:c>
      <x:c r="M70" s="34" t="n">
        <x:f>MAX(0,MIN(M$8+1,'Fleet'!$O67)-MAX(M$7,'Fleet'!$G67))</x:f>
        <x:v>92</x:v>
      </x:c>
      <x:c r="N70" s="34" t="n">
        <x:f>MAX(0,MIN(N$8+1,'Fleet'!$O67)-MAX(N$7,'Fleet'!$G67))</x:f>
        <x:v>90</x:v>
      </x:c>
      <x:c r="O70" s="34" t="n">
        <x:f>MAX(0,MIN(O$8+1,'Fleet'!$O67)-MAX(O$7,'Fleet'!$G67))</x:f>
        <x:v>91</x:v>
      </x:c>
      <x:c r="P70" s="34" t="n">
        <x:f>MAX(0,MIN(P$8+1,'Fleet'!$O67)-MAX(P$7,'Fleet'!$G67))</x:f>
        <x:v>92</x:v>
      </x:c>
      <x:c r="Q70" s="34" t="n">
        <x:f>MAX(0,MIN(Q$8+1,'Fleet'!$O67)-MAX(Q$7,'Fleet'!$G67))</x:f>
        <x:v>365</x:v>
      </x:c>
      <x:c r="R70" s="34" t="n">
        <x:f>MAX(0,MIN(R$8+1,'Fleet'!$O67)-MAX(R$7,'Fleet'!$G67))</x:f>
        <x:v>365</x:v>
      </x:c>
      <x:c r="S70" s="34" t="n">
        <x:f>MAX(0,MIN(S$8+1,'Fleet'!$O67)-MAX(S$7,'Fleet'!$G67))</x:f>
        <x:v>366</x:v>
      </x:c>
      <x:c r="T70" s="34" t="n">
        <x:f>MAX(0,MIN(T$8+1,'Fleet'!$O67)-MAX(T$7,'Fleet'!$G67))</x:f>
        <x:v>365</x:v>
      </x:c>
      <x:c r="U70" s="34" t="n">
        <x:f>MAX(0,MIN(U$8+1,'Fleet'!$O67)-MAX(U$7,'Fleet'!$G67))</x:f>
        <x:v>365</x:v>
      </x:c>
      <x:c r="V70" s="34" t="n">
        <x:f>MAX(0,MIN(V$8+1,'Fleet'!$O67)-MAX(V$7,'Fleet'!$G67))</x:f>
        <x:v>365</x:v>
      </x:c>
      <x:c r="W70" s="34" t="n">
        <x:f>MAX(0,MIN(W$8+1,'Fleet'!$O67)-MAX(W$7,'Fleet'!$G67))</x:f>
        <x:v>366</x:v>
      </x:c>
      <x:c r="X70" s="34" t="n">
        <x:f>MAX(0,MIN(X$8+1,'Fleet'!$O67)-MAX(X$7,'Fleet'!$G67))</x:f>
        <x:v>365</x:v>
      </x:c>
      <x:c r="Y70" s="34" t="n">
        <x:f>MAX(0,MIN(Y$8+1,'Fleet'!$O67)-MAX(Y$7,'Fleet'!$G67))</x:f>
        <x:v>365</x:v>
      </x:c>
      <x:c r="Z70" s="34" t="n">
        <x:f>MAX(0,MIN(Z$8+1,'Fleet'!$O67)-MAX(Z$7,'Fleet'!$G67))</x:f>
        <x:v>365</x:v>
      </x:c>
      <x:c r="AA70" s="34" t="n">
        <x:f>MAX(0,MIN(AA$8+1,'Fleet'!$O67)-MAX(AA$7,'Fleet'!$G67))</x:f>
        <x:v>366</x:v>
      </x:c>
      <x:c r="AB70" s="34" t="n">
        <x:f>MAX(0,MIN(AB$8+1,'Fleet'!$O67)-MAX(AB$7,'Fleet'!$G67))</x:f>
        <x:v>365</x:v>
      </x:c>
      <x:c r="AC70" s="34" t="n">
        <x:f>MAX(0,MIN(AC$8+1,'Fleet'!$O67)-MAX(AC$7,'Fleet'!$G67))</x:f>
        <x:v>365</x:v>
      </x:c>
      <x:c r="AD70" s="34" t="n">
        <x:f>MAX(0,MIN(AD$8+1,'Fleet'!$O67)-MAX(AD$7,'Fleet'!$G67))</x:f>
        <x:v>365</x:v>
      </x:c>
      <x:c r="AE70" s="34" t="n">
        <x:f>MAX(0,MIN(AE$8+1,'Fleet'!$O67)-MAX(AE$7,'Fleet'!$G67))</x:f>
        <x:v>366</x:v>
      </x:c>
      <x:c r="AF70" s="34" t="n">
        <x:f>MAX(0,MIN(AF$8+1,'Fleet'!$O67)-MAX(AF$7,'Fleet'!$G67))</x:f>
        <x:v>365</x:v>
      </x:c>
      <x:c r="AG70" s="34" t="n">
        <x:f>MAX(0,MIN(AG$8+1,'Fleet'!$O67)-MAX(AG$7,'Fleet'!$G67))</x:f>
        <x:v>365</x:v>
      </x:c>
      <x:c r="AH70" s="34" t="n">
        <x:f>MAX(0,MIN(AH$8+1,'Fleet'!$O67)-MAX(AH$7,'Fleet'!$G67))</x:f>
        <x:v>365</x:v>
      </x:c>
      <x:c r="AI70" s="34" t="n">
        <x:f>MAX(0,MIN(AI$8+1,'Fleet'!$O67)-MAX(AI$7,'Fleet'!$G67))</x:f>
        <x:v>366</x:v>
      </x:c>
      <x:c r="AJ70" s="34" t="n">
        <x:f>MAX(0,MIN(AJ$8+1,'Fleet'!$O67)-MAX(AJ$7,'Fleet'!$G67))</x:f>
        <x:v>365</x:v>
      </x:c>
      <x:c r="AK70" s="34" t="n">
        <x:f>MAX(0,MIN(AK$8+1,'Fleet'!$O67)-MAX(AK$7,'Fleet'!$G67))</x:f>
        <x:v>365</x:v>
      </x:c>
      <x:c r="AL70" s="34" t="n">
        <x:f>MAX(0,MIN(AL$8+1,'Fleet'!$O67)-MAX(AL$7,'Fleet'!$G67))</x:f>
        <x:v>273</x:v>
      </x:c>
      <x:c r="AM70" s="34" t="n">
        <x:f>MAX(0,MIN(AM$8+1,'Fleet'!$O67)-MAX(AM$7,'Fleet'!$G67))</x:f>
        <x:v>0</x:v>
      </x:c>
      <x:c r="AN70" s="34" t="n">
        <x:f>MAX(0,MIN(AN$8+1,'Fleet'!$O67)-MAX(AN$7,'Fleet'!$G67))</x:f>
        <x:v>0</x:v>
      </x:c>
      <x:c r="AO70" s="34" t="n">
        <x:f>MAX(0,MIN(AO$8+1,'Fleet'!$O67)-MAX(AO$7,'Fleet'!$G67))</x:f>
        <x:v>0</x:v>
      </x:c>
      <x:c r="AP70" s="34" t="n">
        <x:f>MAX(0,MIN(AP$8+1,'Fleet'!$O67)-MAX(AP$7,'Fleet'!$G67))</x:f>
        <x:v>0</x:v>
      </x:c>
      <x:c r="AQ70" s="34" t="n">
        <x:f>MAX(0,MIN(AQ$8+1,'Fleet'!$O67)-MAX(AQ$7,'Fleet'!$G67))</x:f>
        <x:v>0</x:v>
      </x:c>
    </x:row>
    <x:row r="71" ht="21" customHeight="1">
      <x:c r="A71" s="2"/>
      <x:c r="B71" s="2"/>
      <x:c r="C71" s="5" t="str">
        <x:f>'Fleet'!C68</x:f>
        <x:v>Star Alessia</x:v>
      </x:c>
      <x:c r="D71" s="5" t="str">
        <x:f>'Fleet'!D68</x:f>
        <x:v>Kamsarmax</x:v>
      </x:c>
      <x:c r="E71" s="34" t="n">
        <x:f>MAX(0,MIN(E$8+1,'Fleet'!$O68)-MAX(E$7,'Fleet'!$G68))</x:f>
        <x:v>83</x:v>
      </x:c>
      <x:c r="F71" s="34" t="n">
        <x:f>MAX(0,MIN(F$8+1,'Fleet'!$O68)-MAX(F$7,'Fleet'!$G68))</x:f>
        <x:v>90</x:v>
      </x:c>
      <x:c r="G71" s="34" t="n">
        <x:f>MAX(0,MIN(G$8+1,'Fleet'!$O68)-MAX(G$7,'Fleet'!$G68))</x:f>
        <x:v>91</x:v>
      </x:c>
      <x:c r="H71" s="34" t="n">
        <x:f>MAX(0,MIN(H$8+1,'Fleet'!$O68)-MAX(H$7,'Fleet'!$G68))</x:f>
        <x:v>92</x:v>
      </x:c>
      <x:c r="I71" s="34" t="n">
        <x:f>MAX(0,MIN(I$8+1,'Fleet'!$O68)-MAX(I$7,'Fleet'!$G68))</x:f>
        <x:v>92</x:v>
      </x:c>
      <x:c r="J71" s="34" t="n">
        <x:f>MAX(0,MIN(J$8+1,'Fleet'!$O68)-MAX(J$7,'Fleet'!$G68))</x:f>
        <x:v>91</x:v>
      </x:c>
      <x:c r="K71" s="34" t="n">
        <x:f>MAX(0,MIN(K$8+1,'Fleet'!$O68)-MAX(K$7,'Fleet'!$G68))</x:f>
        <x:v>91</x:v>
      </x:c>
      <x:c r="L71" s="34" t="n">
        <x:f>MAX(0,MIN(L$8+1,'Fleet'!$O68)-MAX(L$7,'Fleet'!$G68))</x:f>
        <x:v>92</x:v>
      </x:c>
      <x:c r="M71" s="34" t="n">
        <x:f>MAX(0,MIN(M$8+1,'Fleet'!$O68)-MAX(M$7,'Fleet'!$G68))</x:f>
        <x:v>92</x:v>
      </x:c>
      <x:c r="N71" s="34" t="n">
        <x:f>MAX(0,MIN(N$8+1,'Fleet'!$O68)-MAX(N$7,'Fleet'!$G68))</x:f>
        <x:v>90</x:v>
      </x:c>
      <x:c r="O71" s="34" t="n">
        <x:f>MAX(0,MIN(O$8+1,'Fleet'!$O68)-MAX(O$7,'Fleet'!$G68))</x:f>
        <x:v>91</x:v>
      </x:c>
      <x:c r="P71" s="34" t="n">
        <x:f>MAX(0,MIN(P$8+1,'Fleet'!$O68)-MAX(P$7,'Fleet'!$G68))</x:f>
        <x:v>92</x:v>
      </x:c>
      <x:c r="Q71" s="34" t="n">
        <x:f>MAX(0,MIN(Q$8+1,'Fleet'!$O68)-MAX(Q$7,'Fleet'!$G68))</x:f>
        <x:v>365</x:v>
      </x:c>
      <x:c r="R71" s="34" t="n">
        <x:f>MAX(0,MIN(R$8+1,'Fleet'!$O68)-MAX(R$7,'Fleet'!$G68))</x:f>
        <x:v>365</x:v>
      </x:c>
      <x:c r="S71" s="34" t="n">
        <x:f>MAX(0,MIN(S$8+1,'Fleet'!$O68)-MAX(S$7,'Fleet'!$G68))</x:f>
        <x:v>366</x:v>
      </x:c>
      <x:c r="T71" s="34" t="n">
        <x:f>MAX(0,MIN(T$8+1,'Fleet'!$O68)-MAX(T$7,'Fleet'!$G68))</x:f>
        <x:v>365</x:v>
      </x:c>
      <x:c r="U71" s="34" t="n">
        <x:f>MAX(0,MIN(U$8+1,'Fleet'!$O68)-MAX(U$7,'Fleet'!$G68))</x:f>
        <x:v>365</x:v>
      </x:c>
      <x:c r="V71" s="34" t="n">
        <x:f>MAX(0,MIN(V$8+1,'Fleet'!$O68)-MAX(V$7,'Fleet'!$G68))</x:f>
        <x:v>365</x:v>
      </x:c>
      <x:c r="W71" s="34" t="n">
        <x:f>MAX(0,MIN(W$8+1,'Fleet'!$O68)-MAX(W$7,'Fleet'!$G68))</x:f>
        <x:v>366</x:v>
      </x:c>
      <x:c r="X71" s="34" t="n">
        <x:f>MAX(0,MIN(X$8+1,'Fleet'!$O68)-MAX(X$7,'Fleet'!$G68))</x:f>
        <x:v>365</x:v>
      </x:c>
      <x:c r="Y71" s="34" t="n">
        <x:f>MAX(0,MIN(Y$8+1,'Fleet'!$O68)-MAX(Y$7,'Fleet'!$G68))</x:f>
        <x:v>365</x:v>
      </x:c>
      <x:c r="Z71" s="34" t="n">
        <x:f>MAX(0,MIN(Z$8+1,'Fleet'!$O68)-MAX(Z$7,'Fleet'!$G68))</x:f>
        <x:v>365</x:v>
      </x:c>
      <x:c r="AA71" s="34" t="n">
        <x:f>MAX(0,MIN(AA$8+1,'Fleet'!$O68)-MAX(AA$7,'Fleet'!$G68))</x:f>
        <x:v>366</x:v>
      </x:c>
      <x:c r="AB71" s="34" t="n">
        <x:f>MAX(0,MIN(AB$8+1,'Fleet'!$O68)-MAX(AB$7,'Fleet'!$G68))</x:f>
        <x:v>365</x:v>
      </x:c>
      <x:c r="AC71" s="34" t="n">
        <x:f>MAX(0,MIN(AC$8+1,'Fleet'!$O68)-MAX(AC$7,'Fleet'!$G68))</x:f>
        <x:v>273</x:v>
      </x:c>
      <x:c r="AD71" s="34" t="n">
        <x:f>MAX(0,MIN(AD$8+1,'Fleet'!$O68)-MAX(AD$7,'Fleet'!$G68))</x:f>
        <x:v>0</x:v>
      </x:c>
      <x:c r="AE71" s="34" t="n">
        <x:f>MAX(0,MIN(AE$8+1,'Fleet'!$O68)-MAX(AE$7,'Fleet'!$G68))</x:f>
        <x:v>0</x:v>
      </x:c>
      <x:c r="AF71" s="34" t="n">
        <x:f>MAX(0,MIN(AF$8+1,'Fleet'!$O68)-MAX(AF$7,'Fleet'!$G68))</x:f>
        <x:v>0</x:v>
      </x:c>
      <x:c r="AG71" s="34" t="n">
        <x:f>MAX(0,MIN(AG$8+1,'Fleet'!$O68)-MAX(AG$7,'Fleet'!$G68))</x:f>
        <x:v>0</x:v>
      </x:c>
      <x:c r="AH71" s="34" t="n">
        <x:f>MAX(0,MIN(AH$8+1,'Fleet'!$O68)-MAX(AH$7,'Fleet'!$G68))</x:f>
        <x:v>0</x:v>
      </x:c>
      <x:c r="AI71" s="34" t="n">
        <x:f>MAX(0,MIN(AI$8+1,'Fleet'!$O68)-MAX(AI$7,'Fleet'!$G68))</x:f>
        <x:v>0</x:v>
      </x:c>
      <x:c r="AJ71" s="34" t="n">
        <x:f>MAX(0,MIN(AJ$8+1,'Fleet'!$O68)-MAX(AJ$7,'Fleet'!$G68))</x:f>
        <x:v>0</x:v>
      </x:c>
      <x:c r="AK71" s="34" t="n">
        <x:f>MAX(0,MIN(AK$8+1,'Fleet'!$O68)-MAX(AK$7,'Fleet'!$G68))</x:f>
        <x:v>0</x:v>
      </x:c>
      <x:c r="AL71" s="34" t="n">
        <x:f>MAX(0,MIN(AL$8+1,'Fleet'!$O68)-MAX(AL$7,'Fleet'!$G68))</x:f>
        <x:v>0</x:v>
      </x:c>
      <x:c r="AM71" s="34" t="n">
        <x:f>MAX(0,MIN(AM$8+1,'Fleet'!$O68)-MAX(AM$7,'Fleet'!$G68))</x:f>
        <x:v>0</x:v>
      </x:c>
      <x:c r="AN71" s="34" t="n">
        <x:f>MAX(0,MIN(AN$8+1,'Fleet'!$O68)-MAX(AN$7,'Fleet'!$G68))</x:f>
        <x:v>0</x:v>
      </x:c>
      <x:c r="AO71" s="34" t="n">
        <x:f>MAX(0,MIN(AO$8+1,'Fleet'!$O68)-MAX(AO$7,'Fleet'!$G68))</x:f>
        <x:v>0</x:v>
      </x:c>
      <x:c r="AP71" s="34" t="n">
        <x:f>MAX(0,MIN(AP$8+1,'Fleet'!$O68)-MAX(AP$7,'Fleet'!$G68))</x:f>
        <x:v>0</x:v>
      </x:c>
      <x:c r="AQ71" s="34" t="n">
        <x:f>MAX(0,MIN(AQ$8+1,'Fleet'!$O68)-MAX(AQ$7,'Fleet'!$G68))</x:f>
        <x:v>0</x:v>
      </x:c>
    </x:row>
    <x:row r="72" ht="21" customHeight="1">
      <x:c r="A72" s="2"/>
      <x:c r="B72" s="2"/>
      <x:c r="C72" s="5" t="str">
        <x:f>'Fleet'!C69</x:f>
        <x:v>Star Calypso</x:v>
      </x:c>
      <x:c r="D72" s="5" t="str">
        <x:f>'Fleet'!D69</x:f>
        <x:v>Kamsarmax</x:v>
      </x:c>
      <x:c r="E72" s="34" t="n">
        <x:f>MAX(0,MIN(E$8+1,'Fleet'!$O69)-MAX(E$7,'Fleet'!$G69))</x:f>
        <x:v>83</x:v>
      </x:c>
      <x:c r="F72" s="34" t="n">
        <x:f>MAX(0,MIN(F$8+1,'Fleet'!$O69)-MAX(F$7,'Fleet'!$G69))</x:f>
        <x:v>90</x:v>
      </x:c>
      <x:c r="G72" s="34" t="n">
        <x:f>MAX(0,MIN(G$8+1,'Fleet'!$O69)-MAX(G$7,'Fleet'!$G69))</x:f>
        <x:v>91</x:v>
      </x:c>
      <x:c r="H72" s="34" t="n">
        <x:f>MAX(0,MIN(H$8+1,'Fleet'!$O69)-MAX(H$7,'Fleet'!$G69))</x:f>
        <x:v>92</x:v>
      </x:c>
      <x:c r="I72" s="34" t="n">
        <x:f>MAX(0,MIN(I$8+1,'Fleet'!$O69)-MAX(I$7,'Fleet'!$G69))</x:f>
        <x:v>92</x:v>
      </x:c>
      <x:c r="J72" s="34" t="n">
        <x:f>MAX(0,MIN(J$8+1,'Fleet'!$O69)-MAX(J$7,'Fleet'!$G69))</x:f>
        <x:v>91</x:v>
      </x:c>
      <x:c r="K72" s="34" t="n">
        <x:f>MAX(0,MIN(K$8+1,'Fleet'!$O69)-MAX(K$7,'Fleet'!$G69))</x:f>
        <x:v>91</x:v>
      </x:c>
      <x:c r="L72" s="34" t="n">
        <x:f>MAX(0,MIN(L$8+1,'Fleet'!$O69)-MAX(L$7,'Fleet'!$G69))</x:f>
        <x:v>92</x:v>
      </x:c>
      <x:c r="M72" s="34" t="n">
        <x:f>MAX(0,MIN(M$8+1,'Fleet'!$O69)-MAX(M$7,'Fleet'!$G69))</x:f>
        <x:v>92</x:v>
      </x:c>
      <x:c r="N72" s="34" t="n">
        <x:f>MAX(0,MIN(N$8+1,'Fleet'!$O69)-MAX(N$7,'Fleet'!$G69))</x:f>
        <x:v>90</x:v>
      </x:c>
      <x:c r="O72" s="34" t="n">
        <x:f>MAX(0,MIN(O$8+1,'Fleet'!$O69)-MAX(O$7,'Fleet'!$G69))</x:f>
        <x:v>91</x:v>
      </x:c>
      <x:c r="P72" s="34" t="n">
        <x:f>MAX(0,MIN(P$8+1,'Fleet'!$O69)-MAX(P$7,'Fleet'!$G69))</x:f>
        <x:v>92</x:v>
      </x:c>
      <x:c r="Q72" s="34" t="n">
        <x:f>MAX(0,MIN(Q$8+1,'Fleet'!$O69)-MAX(Q$7,'Fleet'!$G69))</x:f>
        <x:v>365</x:v>
      </x:c>
      <x:c r="R72" s="34" t="n">
        <x:f>MAX(0,MIN(R$8+1,'Fleet'!$O69)-MAX(R$7,'Fleet'!$G69))</x:f>
        <x:v>365</x:v>
      </x:c>
      <x:c r="S72" s="34" t="n">
        <x:f>MAX(0,MIN(S$8+1,'Fleet'!$O69)-MAX(S$7,'Fleet'!$G69))</x:f>
        <x:v>366</x:v>
      </x:c>
      <x:c r="T72" s="34" t="n">
        <x:f>MAX(0,MIN(T$8+1,'Fleet'!$O69)-MAX(T$7,'Fleet'!$G69))</x:f>
        <x:v>365</x:v>
      </x:c>
      <x:c r="U72" s="34" t="n">
        <x:f>MAX(0,MIN(U$8+1,'Fleet'!$O69)-MAX(U$7,'Fleet'!$G69))</x:f>
        <x:v>365</x:v>
      </x:c>
      <x:c r="V72" s="34" t="n">
        <x:f>MAX(0,MIN(V$8+1,'Fleet'!$O69)-MAX(V$7,'Fleet'!$G69))</x:f>
        <x:v>365</x:v>
      </x:c>
      <x:c r="W72" s="34" t="n">
        <x:f>MAX(0,MIN(W$8+1,'Fleet'!$O69)-MAX(W$7,'Fleet'!$G69))</x:f>
        <x:v>366</x:v>
      </x:c>
      <x:c r="X72" s="34" t="n">
        <x:f>MAX(0,MIN(X$8+1,'Fleet'!$O69)-MAX(X$7,'Fleet'!$G69))</x:f>
        <x:v>365</x:v>
      </x:c>
      <x:c r="Y72" s="34" t="n">
        <x:f>MAX(0,MIN(Y$8+1,'Fleet'!$O69)-MAX(Y$7,'Fleet'!$G69))</x:f>
        <x:v>365</x:v>
      </x:c>
      <x:c r="Z72" s="34" t="n">
        <x:f>MAX(0,MIN(Z$8+1,'Fleet'!$O69)-MAX(Z$7,'Fleet'!$G69))</x:f>
        <x:v>273</x:v>
      </x:c>
      <x:c r="AA72" s="34" t="n">
        <x:f>MAX(0,MIN(AA$8+1,'Fleet'!$O69)-MAX(AA$7,'Fleet'!$G69))</x:f>
        <x:v>0</x:v>
      </x:c>
      <x:c r="AB72" s="34" t="n">
        <x:f>MAX(0,MIN(AB$8+1,'Fleet'!$O69)-MAX(AB$7,'Fleet'!$G69))</x:f>
        <x:v>0</x:v>
      </x:c>
      <x:c r="AC72" s="34" t="n">
        <x:f>MAX(0,MIN(AC$8+1,'Fleet'!$O69)-MAX(AC$7,'Fleet'!$G69))</x:f>
        <x:v>0</x:v>
      </x:c>
      <x:c r="AD72" s="34" t="n">
        <x:f>MAX(0,MIN(AD$8+1,'Fleet'!$O69)-MAX(AD$7,'Fleet'!$G69))</x:f>
        <x:v>0</x:v>
      </x:c>
      <x:c r="AE72" s="34" t="n">
        <x:f>MAX(0,MIN(AE$8+1,'Fleet'!$O69)-MAX(AE$7,'Fleet'!$G69))</x:f>
        <x:v>0</x:v>
      </x:c>
      <x:c r="AF72" s="34" t="n">
        <x:f>MAX(0,MIN(AF$8+1,'Fleet'!$O69)-MAX(AF$7,'Fleet'!$G69))</x:f>
        <x:v>0</x:v>
      </x:c>
      <x:c r="AG72" s="34" t="n">
        <x:f>MAX(0,MIN(AG$8+1,'Fleet'!$O69)-MAX(AG$7,'Fleet'!$G69))</x:f>
        <x:v>0</x:v>
      </x:c>
      <x:c r="AH72" s="34" t="n">
        <x:f>MAX(0,MIN(AH$8+1,'Fleet'!$O69)-MAX(AH$7,'Fleet'!$G69))</x:f>
        <x:v>0</x:v>
      </x:c>
      <x:c r="AI72" s="34" t="n">
        <x:f>MAX(0,MIN(AI$8+1,'Fleet'!$O69)-MAX(AI$7,'Fleet'!$G69))</x:f>
        <x:v>0</x:v>
      </x:c>
      <x:c r="AJ72" s="34" t="n">
        <x:f>MAX(0,MIN(AJ$8+1,'Fleet'!$O69)-MAX(AJ$7,'Fleet'!$G69))</x:f>
        <x:v>0</x:v>
      </x:c>
      <x:c r="AK72" s="34" t="n">
        <x:f>MAX(0,MIN(AK$8+1,'Fleet'!$O69)-MAX(AK$7,'Fleet'!$G69))</x:f>
        <x:v>0</x:v>
      </x:c>
      <x:c r="AL72" s="34" t="n">
        <x:f>MAX(0,MIN(AL$8+1,'Fleet'!$O69)-MAX(AL$7,'Fleet'!$G69))</x:f>
        <x:v>0</x:v>
      </x:c>
      <x:c r="AM72" s="34" t="n">
        <x:f>MAX(0,MIN(AM$8+1,'Fleet'!$O69)-MAX(AM$7,'Fleet'!$G69))</x:f>
        <x:v>0</x:v>
      </x:c>
      <x:c r="AN72" s="34" t="n">
        <x:f>MAX(0,MIN(AN$8+1,'Fleet'!$O69)-MAX(AN$7,'Fleet'!$G69))</x:f>
        <x:v>0</x:v>
      </x:c>
      <x:c r="AO72" s="34" t="n">
        <x:f>MAX(0,MIN(AO$8+1,'Fleet'!$O69)-MAX(AO$7,'Fleet'!$G69))</x:f>
        <x:v>0</x:v>
      </x:c>
      <x:c r="AP72" s="34" t="n">
        <x:f>MAX(0,MIN(AP$8+1,'Fleet'!$O69)-MAX(AP$7,'Fleet'!$G69))</x:f>
        <x:v>0</x:v>
      </x:c>
      <x:c r="AQ72" s="34" t="n">
        <x:f>MAX(0,MIN(AQ$8+1,'Fleet'!$O69)-MAX(AQ$7,'Fleet'!$G69))</x:f>
        <x:v>0</x:v>
      </x:c>
    </x:row>
    <x:row r="73" ht="21" customHeight="1">
      <x:c r="A73" s="2"/>
      <x:c r="B73" s="2"/>
      <x:c r="C73" s="5" t="str">
        <x:f>'Fleet'!C70</x:f>
        <x:v>Star Suzanna</x:v>
      </x:c>
      <x:c r="D73" s="5" t="str">
        <x:f>'Fleet'!D70</x:f>
        <x:v>Kamsarmax</x:v>
      </x:c>
      <x:c r="E73" s="34" t="n">
        <x:f>MAX(0,MIN(E$8+1,'Fleet'!$O70)-MAX(E$7,'Fleet'!$G70))</x:f>
        <x:v>83</x:v>
      </x:c>
      <x:c r="F73" s="34" t="n">
        <x:f>MAX(0,MIN(F$8+1,'Fleet'!$O70)-MAX(F$7,'Fleet'!$G70))</x:f>
        <x:v>90</x:v>
      </x:c>
      <x:c r="G73" s="34" t="n">
        <x:f>MAX(0,MIN(G$8+1,'Fleet'!$O70)-MAX(G$7,'Fleet'!$G70))</x:f>
        <x:v>91</x:v>
      </x:c>
      <x:c r="H73" s="34" t="n">
        <x:f>MAX(0,MIN(H$8+1,'Fleet'!$O70)-MAX(H$7,'Fleet'!$G70))</x:f>
        <x:v>92</x:v>
      </x:c>
      <x:c r="I73" s="34" t="n">
        <x:f>MAX(0,MIN(I$8+1,'Fleet'!$O70)-MAX(I$7,'Fleet'!$G70))</x:f>
        <x:v>92</x:v>
      </x:c>
      <x:c r="J73" s="34" t="n">
        <x:f>MAX(0,MIN(J$8+1,'Fleet'!$O70)-MAX(J$7,'Fleet'!$G70))</x:f>
        <x:v>91</x:v>
      </x:c>
      <x:c r="K73" s="34" t="n">
        <x:f>MAX(0,MIN(K$8+1,'Fleet'!$O70)-MAX(K$7,'Fleet'!$G70))</x:f>
        <x:v>91</x:v>
      </x:c>
      <x:c r="L73" s="34" t="n">
        <x:f>MAX(0,MIN(L$8+1,'Fleet'!$O70)-MAX(L$7,'Fleet'!$G70))</x:f>
        <x:v>92</x:v>
      </x:c>
      <x:c r="M73" s="34" t="n">
        <x:f>MAX(0,MIN(M$8+1,'Fleet'!$O70)-MAX(M$7,'Fleet'!$G70))</x:f>
        <x:v>92</x:v>
      </x:c>
      <x:c r="N73" s="34" t="n">
        <x:f>MAX(0,MIN(N$8+1,'Fleet'!$O70)-MAX(N$7,'Fleet'!$G70))</x:f>
        <x:v>90</x:v>
      </x:c>
      <x:c r="O73" s="34" t="n">
        <x:f>MAX(0,MIN(O$8+1,'Fleet'!$O70)-MAX(O$7,'Fleet'!$G70))</x:f>
        <x:v>91</x:v>
      </x:c>
      <x:c r="P73" s="34" t="n">
        <x:f>MAX(0,MIN(P$8+1,'Fleet'!$O70)-MAX(P$7,'Fleet'!$G70))</x:f>
        <x:v>92</x:v>
      </x:c>
      <x:c r="Q73" s="34" t="n">
        <x:f>MAX(0,MIN(Q$8+1,'Fleet'!$O70)-MAX(Q$7,'Fleet'!$G70))</x:f>
        <x:v>365</x:v>
      </x:c>
      <x:c r="R73" s="34" t="n">
        <x:f>MAX(0,MIN(R$8+1,'Fleet'!$O70)-MAX(R$7,'Fleet'!$G70))</x:f>
        <x:v>365</x:v>
      </x:c>
      <x:c r="S73" s="34" t="n">
        <x:f>MAX(0,MIN(S$8+1,'Fleet'!$O70)-MAX(S$7,'Fleet'!$G70))</x:f>
        <x:v>366</x:v>
      </x:c>
      <x:c r="T73" s="34" t="n">
        <x:f>MAX(0,MIN(T$8+1,'Fleet'!$O70)-MAX(T$7,'Fleet'!$G70))</x:f>
        <x:v>365</x:v>
      </x:c>
      <x:c r="U73" s="34" t="n">
        <x:f>MAX(0,MIN(U$8+1,'Fleet'!$O70)-MAX(U$7,'Fleet'!$G70))</x:f>
        <x:v>365</x:v>
      </x:c>
      <x:c r="V73" s="34" t="n">
        <x:f>MAX(0,MIN(V$8+1,'Fleet'!$O70)-MAX(V$7,'Fleet'!$G70))</x:f>
        <x:v>365</x:v>
      </x:c>
      <x:c r="W73" s="34" t="n">
        <x:f>MAX(0,MIN(W$8+1,'Fleet'!$O70)-MAX(W$7,'Fleet'!$G70))</x:f>
        <x:v>366</x:v>
      </x:c>
      <x:c r="X73" s="34" t="n">
        <x:f>MAX(0,MIN(X$8+1,'Fleet'!$O70)-MAX(X$7,'Fleet'!$G70))</x:f>
        <x:v>365</x:v>
      </x:c>
      <x:c r="Y73" s="34" t="n">
        <x:f>MAX(0,MIN(Y$8+1,'Fleet'!$O70)-MAX(Y$7,'Fleet'!$G70))</x:f>
        <x:v>273</x:v>
      </x:c>
      <x:c r="Z73" s="34" t="n">
        <x:f>MAX(0,MIN(Z$8+1,'Fleet'!$O70)-MAX(Z$7,'Fleet'!$G70))</x:f>
        <x:v>0</x:v>
      </x:c>
      <x:c r="AA73" s="34" t="n">
        <x:f>MAX(0,MIN(AA$8+1,'Fleet'!$O70)-MAX(AA$7,'Fleet'!$G70))</x:f>
        <x:v>0</x:v>
      </x:c>
      <x:c r="AB73" s="34" t="n">
        <x:f>MAX(0,MIN(AB$8+1,'Fleet'!$O70)-MAX(AB$7,'Fleet'!$G70))</x:f>
        <x:v>0</x:v>
      </x:c>
      <x:c r="AC73" s="34" t="n">
        <x:f>MAX(0,MIN(AC$8+1,'Fleet'!$O70)-MAX(AC$7,'Fleet'!$G70))</x:f>
        <x:v>0</x:v>
      </x:c>
      <x:c r="AD73" s="34" t="n">
        <x:f>MAX(0,MIN(AD$8+1,'Fleet'!$O70)-MAX(AD$7,'Fleet'!$G70))</x:f>
        <x:v>0</x:v>
      </x:c>
      <x:c r="AE73" s="34" t="n">
        <x:f>MAX(0,MIN(AE$8+1,'Fleet'!$O70)-MAX(AE$7,'Fleet'!$G70))</x:f>
        <x:v>0</x:v>
      </x:c>
      <x:c r="AF73" s="34" t="n">
        <x:f>MAX(0,MIN(AF$8+1,'Fleet'!$O70)-MAX(AF$7,'Fleet'!$G70))</x:f>
        <x:v>0</x:v>
      </x:c>
      <x:c r="AG73" s="34" t="n">
        <x:f>MAX(0,MIN(AG$8+1,'Fleet'!$O70)-MAX(AG$7,'Fleet'!$G70))</x:f>
        <x:v>0</x:v>
      </x:c>
      <x:c r="AH73" s="34" t="n">
        <x:f>MAX(0,MIN(AH$8+1,'Fleet'!$O70)-MAX(AH$7,'Fleet'!$G70))</x:f>
        <x:v>0</x:v>
      </x:c>
      <x:c r="AI73" s="34" t="n">
        <x:f>MAX(0,MIN(AI$8+1,'Fleet'!$O70)-MAX(AI$7,'Fleet'!$G70))</x:f>
        <x:v>0</x:v>
      </x:c>
      <x:c r="AJ73" s="34" t="n">
        <x:f>MAX(0,MIN(AJ$8+1,'Fleet'!$O70)-MAX(AJ$7,'Fleet'!$G70))</x:f>
        <x:v>0</x:v>
      </x:c>
      <x:c r="AK73" s="34" t="n">
        <x:f>MAX(0,MIN(AK$8+1,'Fleet'!$O70)-MAX(AK$7,'Fleet'!$G70))</x:f>
        <x:v>0</x:v>
      </x:c>
      <x:c r="AL73" s="34" t="n">
        <x:f>MAX(0,MIN(AL$8+1,'Fleet'!$O70)-MAX(AL$7,'Fleet'!$G70))</x:f>
        <x:v>0</x:v>
      </x:c>
      <x:c r="AM73" s="34" t="n">
        <x:f>MAX(0,MIN(AM$8+1,'Fleet'!$O70)-MAX(AM$7,'Fleet'!$G70))</x:f>
        <x:v>0</x:v>
      </x:c>
      <x:c r="AN73" s="34" t="n">
        <x:f>MAX(0,MIN(AN$8+1,'Fleet'!$O70)-MAX(AN$7,'Fleet'!$G70))</x:f>
        <x:v>0</x:v>
      </x:c>
      <x:c r="AO73" s="34" t="n">
        <x:f>MAX(0,MIN(AO$8+1,'Fleet'!$O70)-MAX(AO$7,'Fleet'!$G70))</x:f>
        <x:v>0</x:v>
      </x:c>
      <x:c r="AP73" s="34" t="n">
        <x:f>MAX(0,MIN(AP$8+1,'Fleet'!$O70)-MAX(AP$7,'Fleet'!$G70))</x:f>
        <x:v>0</x:v>
      </x:c>
      <x:c r="AQ73" s="34" t="n">
        <x:f>MAX(0,MIN(AQ$8+1,'Fleet'!$O70)-MAX(AQ$7,'Fleet'!$G70))</x:f>
        <x:v>0</x:v>
      </x:c>
    </x:row>
    <x:row r="74" ht="21" customHeight="1">
      <x:c r="A74" s="2"/>
      <x:c r="B74" s="2"/>
      <x:c r="C74" s="5" t="str">
        <x:f>'Fleet'!C71</x:f>
        <x:v>Star Charis</x:v>
      </x:c>
      <x:c r="D74" s="5" t="str">
        <x:f>'Fleet'!D71</x:f>
        <x:v>Kamsarmax</x:v>
      </x:c>
      <x:c r="E74" s="34" t="n">
        <x:f>MAX(0,MIN(E$8+1,'Fleet'!$O71)-MAX(E$7,'Fleet'!$G71))</x:f>
        <x:v>83</x:v>
      </x:c>
      <x:c r="F74" s="34" t="n">
        <x:f>MAX(0,MIN(F$8+1,'Fleet'!$O71)-MAX(F$7,'Fleet'!$G71))</x:f>
        <x:v>90</x:v>
      </x:c>
      <x:c r="G74" s="34" t="n">
        <x:f>MAX(0,MIN(G$8+1,'Fleet'!$O71)-MAX(G$7,'Fleet'!$G71))</x:f>
        <x:v>91</x:v>
      </x:c>
      <x:c r="H74" s="34" t="n">
        <x:f>MAX(0,MIN(H$8+1,'Fleet'!$O71)-MAX(H$7,'Fleet'!$G71))</x:f>
        <x:v>92</x:v>
      </x:c>
      <x:c r="I74" s="34" t="n">
        <x:f>MAX(0,MIN(I$8+1,'Fleet'!$O71)-MAX(I$7,'Fleet'!$G71))</x:f>
        <x:v>92</x:v>
      </x:c>
      <x:c r="J74" s="34" t="n">
        <x:f>MAX(0,MIN(J$8+1,'Fleet'!$O71)-MAX(J$7,'Fleet'!$G71))</x:f>
        <x:v>91</x:v>
      </x:c>
      <x:c r="K74" s="34" t="n">
        <x:f>MAX(0,MIN(K$8+1,'Fleet'!$O71)-MAX(K$7,'Fleet'!$G71))</x:f>
        <x:v>91</x:v>
      </x:c>
      <x:c r="L74" s="34" t="n">
        <x:f>MAX(0,MIN(L$8+1,'Fleet'!$O71)-MAX(L$7,'Fleet'!$G71))</x:f>
        <x:v>92</x:v>
      </x:c>
      <x:c r="M74" s="34" t="n">
        <x:f>MAX(0,MIN(M$8+1,'Fleet'!$O71)-MAX(M$7,'Fleet'!$G71))</x:f>
        <x:v>92</x:v>
      </x:c>
      <x:c r="N74" s="34" t="n">
        <x:f>MAX(0,MIN(N$8+1,'Fleet'!$O71)-MAX(N$7,'Fleet'!$G71))</x:f>
        <x:v>90</x:v>
      </x:c>
      <x:c r="O74" s="34" t="n">
        <x:f>MAX(0,MIN(O$8+1,'Fleet'!$O71)-MAX(O$7,'Fleet'!$G71))</x:f>
        <x:v>91</x:v>
      </x:c>
      <x:c r="P74" s="34" t="n">
        <x:f>MAX(0,MIN(P$8+1,'Fleet'!$O71)-MAX(P$7,'Fleet'!$G71))</x:f>
        <x:v>92</x:v>
      </x:c>
      <x:c r="Q74" s="34" t="n">
        <x:f>MAX(0,MIN(Q$8+1,'Fleet'!$O71)-MAX(Q$7,'Fleet'!$G71))</x:f>
        <x:v>365</x:v>
      </x:c>
      <x:c r="R74" s="34" t="n">
        <x:f>MAX(0,MIN(R$8+1,'Fleet'!$O71)-MAX(R$7,'Fleet'!$G71))</x:f>
        <x:v>365</x:v>
      </x:c>
      <x:c r="S74" s="34" t="n">
        <x:f>MAX(0,MIN(S$8+1,'Fleet'!$O71)-MAX(S$7,'Fleet'!$G71))</x:f>
        <x:v>366</x:v>
      </x:c>
      <x:c r="T74" s="34" t="n">
        <x:f>MAX(0,MIN(T$8+1,'Fleet'!$O71)-MAX(T$7,'Fleet'!$G71))</x:f>
        <x:v>365</x:v>
      </x:c>
      <x:c r="U74" s="34" t="n">
        <x:f>MAX(0,MIN(U$8+1,'Fleet'!$O71)-MAX(U$7,'Fleet'!$G71))</x:f>
        <x:v>365</x:v>
      </x:c>
      <x:c r="V74" s="34" t="n">
        <x:f>MAX(0,MIN(V$8+1,'Fleet'!$O71)-MAX(V$7,'Fleet'!$G71))</x:f>
        <x:v>365</x:v>
      </x:c>
      <x:c r="W74" s="34" t="n">
        <x:f>MAX(0,MIN(W$8+1,'Fleet'!$O71)-MAX(W$7,'Fleet'!$G71))</x:f>
        <x:v>366</x:v>
      </x:c>
      <x:c r="X74" s="34" t="n">
        <x:f>MAX(0,MIN(X$8+1,'Fleet'!$O71)-MAX(X$7,'Fleet'!$G71))</x:f>
        <x:v>365</x:v>
      </x:c>
      <x:c r="Y74" s="34" t="n">
        <x:f>MAX(0,MIN(Y$8+1,'Fleet'!$O71)-MAX(Y$7,'Fleet'!$G71))</x:f>
        <x:v>273</x:v>
      </x:c>
      <x:c r="Z74" s="34" t="n">
        <x:f>MAX(0,MIN(Z$8+1,'Fleet'!$O71)-MAX(Z$7,'Fleet'!$G71))</x:f>
        <x:v>0</x:v>
      </x:c>
      <x:c r="AA74" s="34" t="n">
        <x:f>MAX(0,MIN(AA$8+1,'Fleet'!$O71)-MAX(AA$7,'Fleet'!$G71))</x:f>
        <x:v>0</x:v>
      </x:c>
      <x:c r="AB74" s="34" t="n">
        <x:f>MAX(0,MIN(AB$8+1,'Fleet'!$O71)-MAX(AB$7,'Fleet'!$G71))</x:f>
        <x:v>0</x:v>
      </x:c>
      <x:c r="AC74" s="34" t="n">
        <x:f>MAX(0,MIN(AC$8+1,'Fleet'!$O71)-MAX(AC$7,'Fleet'!$G71))</x:f>
        <x:v>0</x:v>
      </x:c>
      <x:c r="AD74" s="34" t="n">
        <x:f>MAX(0,MIN(AD$8+1,'Fleet'!$O71)-MAX(AD$7,'Fleet'!$G71))</x:f>
        <x:v>0</x:v>
      </x:c>
      <x:c r="AE74" s="34" t="n">
        <x:f>MAX(0,MIN(AE$8+1,'Fleet'!$O71)-MAX(AE$7,'Fleet'!$G71))</x:f>
        <x:v>0</x:v>
      </x:c>
      <x:c r="AF74" s="34" t="n">
        <x:f>MAX(0,MIN(AF$8+1,'Fleet'!$O71)-MAX(AF$7,'Fleet'!$G71))</x:f>
        <x:v>0</x:v>
      </x:c>
      <x:c r="AG74" s="34" t="n">
        <x:f>MAX(0,MIN(AG$8+1,'Fleet'!$O71)-MAX(AG$7,'Fleet'!$G71))</x:f>
        <x:v>0</x:v>
      </x:c>
      <x:c r="AH74" s="34" t="n">
        <x:f>MAX(0,MIN(AH$8+1,'Fleet'!$O71)-MAX(AH$7,'Fleet'!$G71))</x:f>
        <x:v>0</x:v>
      </x:c>
      <x:c r="AI74" s="34" t="n">
        <x:f>MAX(0,MIN(AI$8+1,'Fleet'!$O71)-MAX(AI$7,'Fleet'!$G71))</x:f>
        <x:v>0</x:v>
      </x:c>
      <x:c r="AJ74" s="34" t="n">
        <x:f>MAX(0,MIN(AJ$8+1,'Fleet'!$O71)-MAX(AJ$7,'Fleet'!$G71))</x:f>
        <x:v>0</x:v>
      </x:c>
      <x:c r="AK74" s="34" t="n">
        <x:f>MAX(0,MIN(AK$8+1,'Fleet'!$O71)-MAX(AK$7,'Fleet'!$G71))</x:f>
        <x:v>0</x:v>
      </x:c>
      <x:c r="AL74" s="34" t="n">
        <x:f>MAX(0,MIN(AL$8+1,'Fleet'!$O71)-MAX(AL$7,'Fleet'!$G71))</x:f>
        <x:v>0</x:v>
      </x:c>
      <x:c r="AM74" s="34" t="n">
        <x:f>MAX(0,MIN(AM$8+1,'Fleet'!$O71)-MAX(AM$7,'Fleet'!$G71))</x:f>
        <x:v>0</x:v>
      </x:c>
      <x:c r="AN74" s="34" t="n">
        <x:f>MAX(0,MIN(AN$8+1,'Fleet'!$O71)-MAX(AN$7,'Fleet'!$G71))</x:f>
        <x:v>0</x:v>
      </x:c>
      <x:c r="AO74" s="34" t="n">
        <x:f>MAX(0,MIN(AO$8+1,'Fleet'!$O71)-MAX(AO$7,'Fleet'!$G71))</x:f>
        <x:v>0</x:v>
      </x:c>
      <x:c r="AP74" s="34" t="n">
        <x:f>MAX(0,MIN(AP$8+1,'Fleet'!$O71)-MAX(AP$7,'Fleet'!$G71))</x:f>
        <x:v>0</x:v>
      </x:c>
      <x:c r="AQ74" s="34" t="n">
        <x:f>MAX(0,MIN(AQ$8+1,'Fleet'!$O71)-MAX(AQ$7,'Fleet'!$G71))</x:f>
        <x:v>0</x:v>
      </x:c>
    </x:row>
    <x:row r="75" ht="21" customHeight="1">
      <x:c r="A75" s="2"/>
      <x:c r="B75" s="2"/>
      <x:c r="C75" s="5" t="str">
        <x:f>'Fleet'!C72</x:f>
        <x:v>Mercurial Virgo</x:v>
      </x:c>
      <x:c r="D75" s="5" t="str">
        <x:f>'Fleet'!D72</x:f>
        <x:v>Kamsarmax</x:v>
      </x:c>
      <x:c r="E75" s="34" t="n">
        <x:f>MAX(0,MIN(E$8+1,'Fleet'!$O72)-MAX(E$7,'Fleet'!$G72))</x:f>
        <x:v>83</x:v>
      </x:c>
      <x:c r="F75" s="34" t="n">
        <x:f>MAX(0,MIN(F$8+1,'Fleet'!$O72)-MAX(F$7,'Fleet'!$G72))</x:f>
        <x:v>90</x:v>
      </x:c>
      <x:c r="G75" s="34" t="n">
        <x:f>MAX(0,MIN(G$8+1,'Fleet'!$O72)-MAX(G$7,'Fleet'!$G72))</x:f>
        <x:v>91</x:v>
      </x:c>
      <x:c r="H75" s="34" t="n">
        <x:f>MAX(0,MIN(H$8+1,'Fleet'!$O72)-MAX(H$7,'Fleet'!$G72))</x:f>
        <x:v>92</x:v>
      </x:c>
      <x:c r="I75" s="34" t="n">
        <x:f>MAX(0,MIN(I$8+1,'Fleet'!$O72)-MAX(I$7,'Fleet'!$G72))</x:f>
        <x:v>92</x:v>
      </x:c>
      <x:c r="J75" s="34" t="n">
        <x:f>MAX(0,MIN(J$8+1,'Fleet'!$O72)-MAX(J$7,'Fleet'!$G72))</x:f>
        <x:v>91</x:v>
      </x:c>
      <x:c r="K75" s="34" t="n">
        <x:f>MAX(0,MIN(K$8+1,'Fleet'!$O72)-MAX(K$7,'Fleet'!$G72))</x:f>
        <x:v>91</x:v>
      </x:c>
      <x:c r="L75" s="34" t="n">
        <x:f>MAX(0,MIN(L$8+1,'Fleet'!$O72)-MAX(L$7,'Fleet'!$G72))</x:f>
        <x:v>92</x:v>
      </x:c>
      <x:c r="M75" s="34" t="n">
        <x:f>MAX(0,MIN(M$8+1,'Fleet'!$O72)-MAX(M$7,'Fleet'!$G72))</x:f>
        <x:v>92</x:v>
      </x:c>
      <x:c r="N75" s="34" t="n">
        <x:f>MAX(0,MIN(N$8+1,'Fleet'!$O72)-MAX(N$7,'Fleet'!$G72))</x:f>
        <x:v>90</x:v>
      </x:c>
      <x:c r="O75" s="34" t="n">
        <x:f>MAX(0,MIN(O$8+1,'Fleet'!$O72)-MAX(O$7,'Fleet'!$G72))</x:f>
        <x:v>91</x:v>
      </x:c>
      <x:c r="P75" s="34" t="n">
        <x:f>MAX(0,MIN(P$8+1,'Fleet'!$O72)-MAX(P$7,'Fleet'!$G72))</x:f>
        <x:v>92</x:v>
      </x:c>
      <x:c r="Q75" s="34" t="n">
        <x:f>MAX(0,MIN(Q$8+1,'Fleet'!$O72)-MAX(Q$7,'Fleet'!$G72))</x:f>
        <x:v>365</x:v>
      </x:c>
      <x:c r="R75" s="34" t="n">
        <x:f>MAX(0,MIN(R$8+1,'Fleet'!$O72)-MAX(R$7,'Fleet'!$G72))</x:f>
        <x:v>365</x:v>
      </x:c>
      <x:c r="S75" s="34" t="n">
        <x:f>MAX(0,MIN(S$8+1,'Fleet'!$O72)-MAX(S$7,'Fleet'!$G72))</x:f>
        <x:v>366</x:v>
      </x:c>
      <x:c r="T75" s="34" t="n">
        <x:f>MAX(0,MIN(T$8+1,'Fleet'!$O72)-MAX(T$7,'Fleet'!$G72))</x:f>
        <x:v>365</x:v>
      </x:c>
      <x:c r="U75" s="34" t="n">
        <x:f>MAX(0,MIN(U$8+1,'Fleet'!$O72)-MAX(U$7,'Fleet'!$G72))</x:f>
        <x:v>365</x:v>
      </x:c>
      <x:c r="V75" s="34" t="n">
        <x:f>MAX(0,MIN(V$8+1,'Fleet'!$O72)-MAX(V$7,'Fleet'!$G72))</x:f>
        <x:v>365</x:v>
      </x:c>
      <x:c r="W75" s="34" t="n">
        <x:f>MAX(0,MIN(W$8+1,'Fleet'!$O72)-MAX(W$7,'Fleet'!$G72))</x:f>
        <x:v>366</x:v>
      </x:c>
      <x:c r="X75" s="34" t="n">
        <x:f>MAX(0,MIN(X$8+1,'Fleet'!$O72)-MAX(X$7,'Fleet'!$G72))</x:f>
        <x:v>365</x:v>
      </x:c>
      <x:c r="Y75" s="34" t="n">
        <x:f>MAX(0,MIN(Y$8+1,'Fleet'!$O72)-MAX(Y$7,'Fleet'!$G72))</x:f>
        <x:v>273</x:v>
      </x:c>
      <x:c r="Z75" s="34" t="n">
        <x:f>MAX(0,MIN(Z$8+1,'Fleet'!$O72)-MAX(Z$7,'Fleet'!$G72))</x:f>
        <x:v>0</x:v>
      </x:c>
      <x:c r="AA75" s="34" t="n">
        <x:f>MAX(0,MIN(AA$8+1,'Fleet'!$O72)-MAX(AA$7,'Fleet'!$G72))</x:f>
        <x:v>0</x:v>
      </x:c>
      <x:c r="AB75" s="34" t="n">
        <x:f>MAX(0,MIN(AB$8+1,'Fleet'!$O72)-MAX(AB$7,'Fleet'!$G72))</x:f>
        <x:v>0</x:v>
      </x:c>
      <x:c r="AC75" s="34" t="n">
        <x:f>MAX(0,MIN(AC$8+1,'Fleet'!$O72)-MAX(AC$7,'Fleet'!$G72))</x:f>
        <x:v>0</x:v>
      </x:c>
      <x:c r="AD75" s="34" t="n">
        <x:f>MAX(0,MIN(AD$8+1,'Fleet'!$O72)-MAX(AD$7,'Fleet'!$G72))</x:f>
        <x:v>0</x:v>
      </x:c>
      <x:c r="AE75" s="34" t="n">
        <x:f>MAX(0,MIN(AE$8+1,'Fleet'!$O72)-MAX(AE$7,'Fleet'!$G72))</x:f>
        <x:v>0</x:v>
      </x:c>
      <x:c r="AF75" s="34" t="n">
        <x:f>MAX(0,MIN(AF$8+1,'Fleet'!$O72)-MAX(AF$7,'Fleet'!$G72))</x:f>
        <x:v>0</x:v>
      </x:c>
      <x:c r="AG75" s="34" t="n">
        <x:f>MAX(0,MIN(AG$8+1,'Fleet'!$O72)-MAX(AG$7,'Fleet'!$G72))</x:f>
        <x:v>0</x:v>
      </x:c>
      <x:c r="AH75" s="34" t="n">
        <x:f>MAX(0,MIN(AH$8+1,'Fleet'!$O72)-MAX(AH$7,'Fleet'!$G72))</x:f>
        <x:v>0</x:v>
      </x:c>
      <x:c r="AI75" s="34" t="n">
        <x:f>MAX(0,MIN(AI$8+1,'Fleet'!$O72)-MAX(AI$7,'Fleet'!$G72))</x:f>
        <x:v>0</x:v>
      </x:c>
      <x:c r="AJ75" s="34" t="n">
        <x:f>MAX(0,MIN(AJ$8+1,'Fleet'!$O72)-MAX(AJ$7,'Fleet'!$G72))</x:f>
        <x:v>0</x:v>
      </x:c>
      <x:c r="AK75" s="34" t="n">
        <x:f>MAX(0,MIN(AK$8+1,'Fleet'!$O72)-MAX(AK$7,'Fleet'!$G72))</x:f>
        <x:v>0</x:v>
      </x:c>
      <x:c r="AL75" s="34" t="n">
        <x:f>MAX(0,MIN(AL$8+1,'Fleet'!$O72)-MAX(AL$7,'Fleet'!$G72))</x:f>
        <x:v>0</x:v>
      </x:c>
      <x:c r="AM75" s="34" t="n">
        <x:f>MAX(0,MIN(AM$8+1,'Fleet'!$O72)-MAX(AM$7,'Fleet'!$G72))</x:f>
        <x:v>0</x:v>
      </x:c>
      <x:c r="AN75" s="34" t="n">
        <x:f>MAX(0,MIN(AN$8+1,'Fleet'!$O72)-MAX(AN$7,'Fleet'!$G72))</x:f>
        <x:v>0</x:v>
      </x:c>
      <x:c r="AO75" s="34" t="n">
        <x:f>MAX(0,MIN(AO$8+1,'Fleet'!$O72)-MAX(AO$7,'Fleet'!$G72))</x:f>
        <x:v>0</x:v>
      </x:c>
      <x:c r="AP75" s="34" t="n">
        <x:f>MAX(0,MIN(AP$8+1,'Fleet'!$O72)-MAX(AP$7,'Fleet'!$G72))</x:f>
        <x:v>0</x:v>
      </x:c>
      <x:c r="AQ75" s="34" t="n">
        <x:f>MAX(0,MIN(AQ$8+1,'Fleet'!$O72)-MAX(AQ$7,'Fleet'!$G72))</x:f>
        <x:v>0</x:v>
      </x:c>
    </x:row>
    <x:row r="76" ht="21" customHeight="1">
      <x:c r="A76" s="2"/>
      <x:c r="B76" s="2"/>
      <x:c r="C76" s="5" t="str">
        <x:f>'Fleet'!C73</x:f>
        <x:v>Stardust</x:v>
      </x:c>
      <x:c r="D76" s="5" t="str">
        <x:f>'Fleet'!D73</x:f>
        <x:v>Kamsarmax</x:v>
      </x:c>
      <x:c r="E76" s="34" t="n">
        <x:f>MAX(0,MIN(E$8+1,'Fleet'!$O73)-MAX(E$7,'Fleet'!$G73))</x:f>
        <x:v>83</x:v>
      </x:c>
      <x:c r="F76" s="34" t="n">
        <x:f>MAX(0,MIN(F$8+1,'Fleet'!$O73)-MAX(F$7,'Fleet'!$G73))</x:f>
        <x:v>90</x:v>
      </x:c>
      <x:c r="G76" s="34" t="n">
        <x:f>MAX(0,MIN(G$8+1,'Fleet'!$O73)-MAX(G$7,'Fleet'!$G73))</x:f>
        <x:v>91</x:v>
      </x:c>
      <x:c r="H76" s="34" t="n">
        <x:f>MAX(0,MIN(H$8+1,'Fleet'!$O73)-MAX(H$7,'Fleet'!$G73))</x:f>
        <x:v>92</x:v>
      </x:c>
      <x:c r="I76" s="34" t="n">
        <x:f>MAX(0,MIN(I$8+1,'Fleet'!$O73)-MAX(I$7,'Fleet'!$G73))</x:f>
        <x:v>92</x:v>
      </x:c>
      <x:c r="J76" s="34" t="n">
        <x:f>MAX(0,MIN(J$8+1,'Fleet'!$O73)-MAX(J$7,'Fleet'!$G73))</x:f>
        <x:v>91</x:v>
      </x:c>
      <x:c r="K76" s="34" t="n">
        <x:f>MAX(0,MIN(K$8+1,'Fleet'!$O73)-MAX(K$7,'Fleet'!$G73))</x:f>
        <x:v>91</x:v>
      </x:c>
      <x:c r="L76" s="34" t="n">
        <x:f>MAX(0,MIN(L$8+1,'Fleet'!$O73)-MAX(L$7,'Fleet'!$G73))</x:f>
        <x:v>92</x:v>
      </x:c>
      <x:c r="M76" s="34" t="n">
        <x:f>MAX(0,MIN(M$8+1,'Fleet'!$O73)-MAX(M$7,'Fleet'!$G73))</x:f>
        <x:v>92</x:v>
      </x:c>
      <x:c r="N76" s="34" t="n">
        <x:f>MAX(0,MIN(N$8+1,'Fleet'!$O73)-MAX(N$7,'Fleet'!$G73))</x:f>
        <x:v>90</x:v>
      </x:c>
      <x:c r="O76" s="34" t="n">
        <x:f>MAX(0,MIN(O$8+1,'Fleet'!$O73)-MAX(O$7,'Fleet'!$G73))</x:f>
        <x:v>91</x:v>
      </x:c>
      <x:c r="P76" s="34" t="n">
        <x:f>MAX(0,MIN(P$8+1,'Fleet'!$O73)-MAX(P$7,'Fleet'!$G73))</x:f>
        <x:v>92</x:v>
      </x:c>
      <x:c r="Q76" s="34" t="n">
        <x:f>MAX(0,MIN(Q$8+1,'Fleet'!$O73)-MAX(Q$7,'Fleet'!$G73))</x:f>
        <x:v>365</x:v>
      </x:c>
      <x:c r="R76" s="34" t="n">
        <x:f>MAX(0,MIN(R$8+1,'Fleet'!$O73)-MAX(R$7,'Fleet'!$G73))</x:f>
        <x:v>365</x:v>
      </x:c>
      <x:c r="S76" s="34" t="n">
        <x:f>MAX(0,MIN(S$8+1,'Fleet'!$O73)-MAX(S$7,'Fleet'!$G73))</x:f>
        <x:v>366</x:v>
      </x:c>
      <x:c r="T76" s="34" t="n">
        <x:f>MAX(0,MIN(T$8+1,'Fleet'!$O73)-MAX(T$7,'Fleet'!$G73))</x:f>
        <x:v>365</x:v>
      </x:c>
      <x:c r="U76" s="34" t="n">
        <x:f>MAX(0,MIN(U$8+1,'Fleet'!$O73)-MAX(U$7,'Fleet'!$G73))</x:f>
        <x:v>365</x:v>
      </x:c>
      <x:c r="V76" s="34" t="n">
        <x:f>MAX(0,MIN(V$8+1,'Fleet'!$O73)-MAX(V$7,'Fleet'!$G73))</x:f>
        <x:v>365</x:v>
      </x:c>
      <x:c r="W76" s="34" t="n">
        <x:f>MAX(0,MIN(W$8+1,'Fleet'!$O73)-MAX(W$7,'Fleet'!$G73))</x:f>
        <x:v>274</x:v>
      </x:c>
      <x:c r="X76" s="34" t="n">
        <x:f>MAX(0,MIN(X$8+1,'Fleet'!$O73)-MAX(X$7,'Fleet'!$G73))</x:f>
        <x:v>0</x:v>
      </x:c>
      <x:c r="Y76" s="34" t="n">
        <x:f>MAX(0,MIN(Y$8+1,'Fleet'!$O73)-MAX(Y$7,'Fleet'!$G73))</x:f>
        <x:v>0</x:v>
      </x:c>
      <x:c r="Z76" s="34" t="n">
        <x:f>MAX(0,MIN(Z$8+1,'Fleet'!$O73)-MAX(Z$7,'Fleet'!$G73))</x:f>
        <x:v>0</x:v>
      </x:c>
      <x:c r="AA76" s="34" t="n">
        <x:f>MAX(0,MIN(AA$8+1,'Fleet'!$O73)-MAX(AA$7,'Fleet'!$G73))</x:f>
        <x:v>0</x:v>
      </x:c>
      <x:c r="AB76" s="34" t="n">
        <x:f>MAX(0,MIN(AB$8+1,'Fleet'!$O73)-MAX(AB$7,'Fleet'!$G73))</x:f>
        <x:v>0</x:v>
      </x:c>
      <x:c r="AC76" s="34" t="n">
        <x:f>MAX(0,MIN(AC$8+1,'Fleet'!$O73)-MAX(AC$7,'Fleet'!$G73))</x:f>
        <x:v>0</x:v>
      </x:c>
      <x:c r="AD76" s="34" t="n">
        <x:f>MAX(0,MIN(AD$8+1,'Fleet'!$O73)-MAX(AD$7,'Fleet'!$G73))</x:f>
        <x:v>0</x:v>
      </x:c>
      <x:c r="AE76" s="34" t="n">
        <x:f>MAX(0,MIN(AE$8+1,'Fleet'!$O73)-MAX(AE$7,'Fleet'!$G73))</x:f>
        <x:v>0</x:v>
      </x:c>
      <x:c r="AF76" s="34" t="n">
        <x:f>MAX(0,MIN(AF$8+1,'Fleet'!$O73)-MAX(AF$7,'Fleet'!$G73))</x:f>
        <x:v>0</x:v>
      </x:c>
      <x:c r="AG76" s="34" t="n">
        <x:f>MAX(0,MIN(AG$8+1,'Fleet'!$O73)-MAX(AG$7,'Fleet'!$G73))</x:f>
        <x:v>0</x:v>
      </x:c>
      <x:c r="AH76" s="34" t="n">
        <x:f>MAX(0,MIN(AH$8+1,'Fleet'!$O73)-MAX(AH$7,'Fleet'!$G73))</x:f>
        <x:v>0</x:v>
      </x:c>
      <x:c r="AI76" s="34" t="n">
        <x:f>MAX(0,MIN(AI$8+1,'Fleet'!$O73)-MAX(AI$7,'Fleet'!$G73))</x:f>
        <x:v>0</x:v>
      </x:c>
      <x:c r="AJ76" s="34" t="n">
        <x:f>MAX(0,MIN(AJ$8+1,'Fleet'!$O73)-MAX(AJ$7,'Fleet'!$G73))</x:f>
        <x:v>0</x:v>
      </x:c>
      <x:c r="AK76" s="34" t="n">
        <x:f>MAX(0,MIN(AK$8+1,'Fleet'!$O73)-MAX(AK$7,'Fleet'!$G73))</x:f>
        <x:v>0</x:v>
      </x:c>
      <x:c r="AL76" s="34" t="n">
        <x:f>MAX(0,MIN(AL$8+1,'Fleet'!$O73)-MAX(AL$7,'Fleet'!$G73))</x:f>
        <x:v>0</x:v>
      </x:c>
      <x:c r="AM76" s="34" t="n">
        <x:f>MAX(0,MIN(AM$8+1,'Fleet'!$O73)-MAX(AM$7,'Fleet'!$G73))</x:f>
        <x:v>0</x:v>
      </x:c>
      <x:c r="AN76" s="34" t="n">
        <x:f>MAX(0,MIN(AN$8+1,'Fleet'!$O73)-MAX(AN$7,'Fleet'!$G73))</x:f>
        <x:v>0</x:v>
      </x:c>
      <x:c r="AO76" s="34" t="n">
        <x:f>MAX(0,MIN(AO$8+1,'Fleet'!$O73)-MAX(AO$7,'Fleet'!$G73))</x:f>
        <x:v>0</x:v>
      </x:c>
      <x:c r="AP76" s="34" t="n">
        <x:f>MAX(0,MIN(AP$8+1,'Fleet'!$O73)-MAX(AP$7,'Fleet'!$G73))</x:f>
        <x:v>0</x:v>
      </x:c>
      <x:c r="AQ76" s="34" t="n">
        <x:f>MAX(0,MIN(AQ$8+1,'Fleet'!$O73)-MAX(AQ$7,'Fleet'!$G73))</x:f>
        <x:v>0</x:v>
      </x:c>
    </x:row>
    <x:row r="77" ht="21" customHeight="1">
      <x:c r="A77" s="2"/>
      <x:c r="B77" s="2"/>
      <x:c r="C77" s="5" t="str">
        <x:f>'Fleet'!C74</x:f>
        <x:v>Star Sky</x:v>
      </x:c>
      <x:c r="D77" s="5" t="str">
        <x:f>'Fleet'!D74</x:f>
        <x:v>Kamsarmax</x:v>
      </x:c>
      <x:c r="E77" s="34" t="n">
        <x:f>MAX(0,MIN(E$8+1,'Fleet'!$O74)-MAX(E$7,'Fleet'!$G74))</x:f>
        <x:v>83</x:v>
      </x:c>
      <x:c r="F77" s="34" t="n">
        <x:f>MAX(0,MIN(F$8+1,'Fleet'!$O74)-MAX(F$7,'Fleet'!$G74))</x:f>
        <x:v>90</x:v>
      </x:c>
      <x:c r="G77" s="34" t="n">
        <x:f>MAX(0,MIN(G$8+1,'Fleet'!$O74)-MAX(G$7,'Fleet'!$G74))</x:f>
        <x:v>91</x:v>
      </x:c>
      <x:c r="H77" s="34" t="n">
        <x:f>MAX(0,MIN(H$8+1,'Fleet'!$O74)-MAX(H$7,'Fleet'!$G74))</x:f>
        <x:v>92</x:v>
      </x:c>
      <x:c r="I77" s="34" t="n">
        <x:f>MAX(0,MIN(I$8+1,'Fleet'!$O74)-MAX(I$7,'Fleet'!$G74))</x:f>
        <x:v>92</x:v>
      </x:c>
      <x:c r="J77" s="34" t="n">
        <x:f>MAX(0,MIN(J$8+1,'Fleet'!$O74)-MAX(J$7,'Fleet'!$G74))</x:f>
        <x:v>91</x:v>
      </x:c>
      <x:c r="K77" s="34" t="n">
        <x:f>MAX(0,MIN(K$8+1,'Fleet'!$O74)-MAX(K$7,'Fleet'!$G74))</x:f>
        <x:v>91</x:v>
      </x:c>
      <x:c r="L77" s="34" t="n">
        <x:f>MAX(0,MIN(L$8+1,'Fleet'!$O74)-MAX(L$7,'Fleet'!$G74))</x:f>
        <x:v>92</x:v>
      </x:c>
      <x:c r="M77" s="34" t="n">
        <x:f>MAX(0,MIN(M$8+1,'Fleet'!$O74)-MAX(M$7,'Fleet'!$G74))</x:f>
        <x:v>92</x:v>
      </x:c>
      <x:c r="N77" s="34" t="n">
        <x:f>MAX(0,MIN(N$8+1,'Fleet'!$O74)-MAX(N$7,'Fleet'!$G74))</x:f>
        <x:v>90</x:v>
      </x:c>
      <x:c r="O77" s="34" t="n">
        <x:f>MAX(0,MIN(O$8+1,'Fleet'!$O74)-MAX(O$7,'Fleet'!$G74))</x:f>
        <x:v>91</x:v>
      </x:c>
      <x:c r="P77" s="34" t="n">
        <x:f>MAX(0,MIN(P$8+1,'Fleet'!$O74)-MAX(P$7,'Fleet'!$G74))</x:f>
        <x:v>92</x:v>
      </x:c>
      <x:c r="Q77" s="34" t="n">
        <x:f>MAX(0,MIN(Q$8+1,'Fleet'!$O74)-MAX(Q$7,'Fleet'!$G74))</x:f>
        <x:v>365</x:v>
      </x:c>
      <x:c r="R77" s="34" t="n">
        <x:f>MAX(0,MIN(R$8+1,'Fleet'!$O74)-MAX(R$7,'Fleet'!$G74))</x:f>
        <x:v>365</x:v>
      </x:c>
      <x:c r="S77" s="34" t="n">
        <x:f>MAX(0,MIN(S$8+1,'Fleet'!$O74)-MAX(S$7,'Fleet'!$G74))</x:f>
        <x:v>366</x:v>
      </x:c>
      <x:c r="T77" s="34" t="n">
        <x:f>MAX(0,MIN(T$8+1,'Fleet'!$O74)-MAX(T$7,'Fleet'!$G74))</x:f>
        <x:v>365</x:v>
      </x:c>
      <x:c r="U77" s="34" t="n">
        <x:f>MAX(0,MIN(U$8+1,'Fleet'!$O74)-MAX(U$7,'Fleet'!$G74))</x:f>
        <x:v>365</x:v>
      </x:c>
      <x:c r="V77" s="34" t="n">
        <x:f>MAX(0,MIN(V$8+1,'Fleet'!$O74)-MAX(V$7,'Fleet'!$G74))</x:f>
        <x:v>273</x:v>
      </x:c>
      <x:c r="W77" s="34" t="n">
        <x:f>MAX(0,MIN(W$8+1,'Fleet'!$O74)-MAX(W$7,'Fleet'!$G74))</x:f>
        <x:v>0</x:v>
      </x:c>
      <x:c r="X77" s="34" t="n">
        <x:f>MAX(0,MIN(X$8+1,'Fleet'!$O74)-MAX(X$7,'Fleet'!$G74))</x:f>
        <x:v>0</x:v>
      </x:c>
      <x:c r="Y77" s="34" t="n">
        <x:f>MAX(0,MIN(Y$8+1,'Fleet'!$O74)-MAX(Y$7,'Fleet'!$G74))</x:f>
        <x:v>0</x:v>
      </x:c>
      <x:c r="Z77" s="34" t="n">
        <x:f>MAX(0,MIN(Z$8+1,'Fleet'!$O74)-MAX(Z$7,'Fleet'!$G74))</x:f>
        <x:v>0</x:v>
      </x:c>
      <x:c r="AA77" s="34" t="n">
        <x:f>MAX(0,MIN(AA$8+1,'Fleet'!$O74)-MAX(AA$7,'Fleet'!$G74))</x:f>
        <x:v>0</x:v>
      </x:c>
      <x:c r="AB77" s="34" t="n">
        <x:f>MAX(0,MIN(AB$8+1,'Fleet'!$O74)-MAX(AB$7,'Fleet'!$G74))</x:f>
        <x:v>0</x:v>
      </x:c>
      <x:c r="AC77" s="34" t="n">
        <x:f>MAX(0,MIN(AC$8+1,'Fleet'!$O74)-MAX(AC$7,'Fleet'!$G74))</x:f>
        <x:v>0</x:v>
      </x:c>
      <x:c r="AD77" s="34" t="n">
        <x:f>MAX(0,MIN(AD$8+1,'Fleet'!$O74)-MAX(AD$7,'Fleet'!$G74))</x:f>
        <x:v>0</x:v>
      </x:c>
      <x:c r="AE77" s="34" t="n">
        <x:f>MAX(0,MIN(AE$8+1,'Fleet'!$O74)-MAX(AE$7,'Fleet'!$G74))</x:f>
        <x:v>0</x:v>
      </x:c>
      <x:c r="AF77" s="34" t="n">
        <x:f>MAX(0,MIN(AF$8+1,'Fleet'!$O74)-MAX(AF$7,'Fleet'!$G74))</x:f>
        <x:v>0</x:v>
      </x:c>
      <x:c r="AG77" s="34" t="n">
        <x:f>MAX(0,MIN(AG$8+1,'Fleet'!$O74)-MAX(AG$7,'Fleet'!$G74))</x:f>
        <x:v>0</x:v>
      </x:c>
      <x:c r="AH77" s="34" t="n">
        <x:f>MAX(0,MIN(AH$8+1,'Fleet'!$O74)-MAX(AH$7,'Fleet'!$G74))</x:f>
        <x:v>0</x:v>
      </x:c>
      <x:c r="AI77" s="34" t="n">
        <x:f>MAX(0,MIN(AI$8+1,'Fleet'!$O74)-MAX(AI$7,'Fleet'!$G74))</x:f>
        <x:v>0</x:v>
      </x:c>
      <x:c r="AJ77" s="34" t="n">
        <x:f>MAX(0,MIN(AJ$8+1,'Fleet'!$O74)-MAX(AJ$7,'Fleet'!$G74))</x:f>
        <x:v>0</x:v>
      </x:c>
      <x:c r="AK77" s="34" t="n">
        <x:f>MAX(0,MIN(AK$8+1,'Fleet'!$O74)-MAX(AK$7,'Fleet'!$G74))</x:f>
        <x:v>0</x:v>
      </x:c>
      <x:c r="AL77" s="34" t="n">
        <x:f>MAX(0,MIN(AL$8+1,'Fleet'!$O74)-MAX(AL$7,'Fleet'!$G74))</x:f>
        <x:v>0</x:v>
      </x:c>
      <x:c r="AM77" s="34" t="n">
        <x:f>MAX(0,MIN(AM$8+1,'Fleet'!$O74)-MAX(AM$7,'Fleet'!$G74))</x:f>
        <x:v>0</x:v>
      </x:c>
      <x:c r="AN77" s="34" t="n">
        <x:f>MAX(0,MIN(AN$8+1,'Fleet'!$O74)-MAX(AN$7,'Fleet'!$G74))</x:f>
        <x:v>0</x:v>
      </x:c>
      <x:c r="AO77" s="34" t="n">
        <x:f>MAX(0,MIN(AO$8+1,'Fleet'!$O74)-MAX(AO$7,'Fleet'!$G74))</x:f>
        <x:v>0</x:v>
      </x:c>
      <x:c r="AP77" s="34" t="n">
        <x:f>MAX(0,MIN(AP$8+1,'Fleet'!$O74)-MAX(AP$7,'Fleet'!$G74))</x:f>
        <x:v>0</x:v>
      </x:c>
      <x:c r="AQ77" s="34" t="n">
        <x:f>MAX(0,MIN(AQ$8+1,'Fleet'!$O74)-MAX(AQ$7,'Fleet'!$G74))</x:f>
        <x:v>0</x:v>
      </x:c>
    </x:row>
    <x:row r="78" ht="21" customHeight="1">
      <x:c r="A78" s="2"/>
      <x:c r="B78" s="2"/>
      <x:c r="C78" s="5" t="str">
        <x:f>'Fleet'!C75</x:f>
        <x:v>Star Lambada</x:v>
      </x:c>
      <x:c r="D78" s="5" t="str">
        <x:f>'Fleet'!D75</x:f>
        <x:v>Kamsarmax</x:v>
      </x:c>
      <x:c r="E78" s="34" t="n">
        <x:f>MAX(0,MIN(E$8+1,'Fleet'!$O75)-MAX(E$7,'Fleet'!$G75))</x:f>
        <x:v>83</x:v>
      </x:c>
      <x:c r="F78" s="34" t="n">
        <x:f>MAX(0,MIN(F$8+1,'Fleet'!$O75)-MAX(F$7,'Fleet'!$G75))</x:f>
        <x:v>90</x:v>
      </x:c>
      <x:c r="G78" s="34" t="n">
        <x:f>MAX(0,MIN(G$8+1,'Fleet'!$O75)-MAX(G$7,'Fleet'!$G75))</x:f>
        <x:v>91</x:v>
      </x:c>
      <x:c r="H78" s="34" t="n">
        <x:f>MAX(0,MIN(H$8+1,'Fleet'!$O75)-MAX(H$7,'Fleet'!$G75))</x:f>
        <x:v>92</x:v>
      </x:c>
      <x:c r="I78" s="34" t="n">
        <x:f>MAX(0,MIN(I$8+1,'Fleet'!$O75)-MAX(I$7,'Fleet'!$G75))</x:f>
        <x:v>92</x:v>
      </x:c>
      <x:c r="J78" s="34" t="n">
        <x:f>MAX(0,MIN(J$8+1,'Fleet'!$O75)-MAX(J$7,'Fleet'!$G75))</x:f>
        <x:v>91</x:v>
      </x:c>
      <x:c r="K78" s="34" t="n">
        <x:f>MAX(0,MIN(K$8+1,'Fleet'!$O75)-MAX(K$7,'Fleet'!$G75))</x:f>
        <x:v>91</x:v>
      </x:c>
      <x:c r="L78" s="34" t="n">
        <x:f>MAX(0,MIN(L$8+1,'Fleet'!$O75)-MAX(L$7,'Fleet'!$G75))</x:f>
        <x:v>92</x:v>
      </x:c>
      <x:c r="M78" s="34" t="n">
        <x:f>MAX(0,MIN(M$8+1,'Fleet'!$O75)-MAX(M$7,'Fleet'!$G75))</x:f>
        <x:v>92</x:v>
      </x:c>
      <x:c r="N78" s="34" t="n">
        <x:f>MAX(0,MIN(N$8+1,'Fleet'!$O75)-MAX(N$7,'Fleet'!$G75))</x:f>
        <x:v>90</x:v>
      </x:c>
      <x:c r="O78" s="34" t="n">
        <x:f>MAX(0,MIN(O$8+1,'Fleet'!$O75)-MAX(O$7,'Fleet'!$G75))</x:f>
        <x:v>91</x:v>
      </x:c>
      <x:c r="P78" s="34" t="n">
        <x:f>MAX(0,MIN(P$8+1,'Fleet'!$O75)-MAX(P$7,'Fleet'!$G75))</x:f>
        <x:v>92</x:v>
      </x:c>
      <x:c r="Q78" s="34" t="n">
        <x:f>MAX(0,MIN(Q$8+1,'Fleet'!$O75)-MAX(Q$7,'Fleet'!$G75))</x:f>
        <x:v>365</x:v>
      </x:c>
      <x:c r="R78" s="34" t="n">
        <x:f>MAX(0,MIN(R$8+1,'Fleet'!$O75)-MAX(R$7,'Fleet'!$G75))</x:f>
        <x:v>365</x:v>
      </x:c>
      <x:c r="S78" s="34" t="n">
        <x:f>MAX(0,MIN(S$8+1,'Fleet'!$O75)-MAX(S$7,'Fleet'!$G75))</x:f>
        <x:v>366</x:v>
      </x:c>
      <x:c r="T78" s="34" t="n">
        <x:f>MAX(0,MIN(T$8+1,'Fleet'!$O75)-MAX(T$7,'Fleet'!$G75))</x:f>
        <x:v>365</x:v>
      </x:c>
      <x:c r="U78" s="34" t="n">
        <x:f>MAX(0,MIN(U$8+1,'Fleet'!$O75)-MAX(U$7,'Fleet'!$G75))</x:f>
        <x:v>365</x:v>
      </x:c>
      <x:c r="V78" s="34" t="n">
        <x:f>MAX(0,MIN(V$8+1,'Fleet'!$O75)-MAX(V$7,'Fleet'!$G75))</x:f>
        <x:v>365</x:v>
      </x:c>
      <x:c r="W78" s="34" t="n">
        <x:f>MAX(0,MIN(W$8+1,'Fleet'!$O75)-MAX(W$7,'Fleet'!$G75))</x:f>
        <x:v>366</x:v>
      </x:c>
      <x:c r="X78" s="34" t="n">
        <x:f>MAX(0,MIN(X$8+1,'Fleet'!$O75)-MAX(X$7,'Fleet'!$G75))</x:f>
        <x:v>365</x:v>
      </x:c>
      <x:c r="Y78" s="34" t="n">
        <x:f>MAX(0,MIN(Y$8+1,'Fleet'!$O75)-MAX(Y$7,'Fleet'!$G75))</x:f>
        <x:v>365</x:v>
      </x:c>
      <x:c r="Z78" s="34" t="n">
        <x:f>MAX(0,MIN(Z$8+1,'Fleet'!$O75)-MAX(Z$7,'Fleet'!$G75))</x:f>
        <x:v>365</x:v>
      </x:c>
      <x:c r="AA78" s="34" t="n">
        <x:f>MAX(0,MIN(AA$8+1,'Fleet'!$O75)-MAX(AA$7,'Fleet'!$G75))</x:f>
        <x:v>366</x:v>
      </x:c>
      <x:c r="AB78" s="34" t="n">
        <x:f>MAX(0,MIN(AB$8+1,'Fleet'!$O75)-MAX(AB$7,'Fleet'!$G75))</x:f>
        <x:v>273</x:v>
      </x:c>
      <x:c r="AC78" s="34" t="n">
        <x:f>MAX(0,MIN(AC$8+1,'Fleet'!$O75)-MAX(AC$7,'Fleet'!$G75))</x:f>
        <x:v>0</x:v>
      </x:c>
      <x:c r="AD78" s="34" t="n">
        <x:f>MAX(0,MIN(AD$8+1,'Fleet'!$O75)-MAX(AD$7,'Fleet'!$G75))</x:f>
        <x:v>0</x:v>
      </x:c>
      <x:c r="AE78" s="34" t="n">
        <x:f>MAX(0,MIN(AE$8+1,'Fleet'!$O75)-MAX(AE$7,'Fleet'!$G75))</x:f>
        <x:v>0</x:v>
      </x:c>
      <x:c r="AF78" s="34" t="n">
        <x:f>MAX(0,MIN(AF$8+1,'Fleet'!$O75)-MAX(AF$7,'Fleet'!$G75))</x:f>
        <x:v>0</x:v>
      </x:c>
      <x:c r="AG78" s="34" t="n">
        <x:f>MAX(0,MIN(AG$8+1,'Fleet'!$O75)-MAX(AG$7,'Fleet'!$G75))</x:f>
        <x:v>0</x:v>
      </x:c>
      <x:c r="AH78" s="34" t="n">
        <x:f>MAX(0,MIN(AH$8+1,'Fleet'!$O75)-MAX(AH$7,'Fleet'!$G75))</x:f>
        <x:v>0</x:v>
      </x:c>
      <x:c r="AI78" s="34" t="n">
        <x:f>MAX(0,MIN(AI$8+1,'Fleet'!$O75)-MAX(AI$7,'Fleet'!$G75))</x:f>
        <x:v>0</x:v>
      </x:c>
      <x:c r="AJ78" s="34" t="n">
        <x:f>MAX(0,MIN(AJ$8+1,'Fleet'!$O75)-MAX(AJ$7,'Fleet'!$G75))</x:f>
        <x:v>0</x:v>
      </x:c>
      <x:c r="AK78" s="34" t="n">
        <x:f>MAX(0,MIN(AK$8+1,'Fleet'!$O75)-MAX(AK$7,'Fleet'!$G75))</x:f>
        <x:v>0</x:v>
      </x:c>
      <x:c r="AL78" s="34" t="n">
        <x:f>MAX(0,MIN(AL$8+1,'Fleet'!$O75)-MAX(AL$7,'Fleet'!$G75))</x:f>
        <x:v>0</x:v>
      </x:c>
      <x:c r="AM78" s="34" t="n">
        <x:f>MAX(0,MIN(AM$8+1,'Fleet'!$O75)-MAX(AM$7,'Fleet'!$G75))</x:f>
        <x:v>0</x:v>
      </x:c>
      <x:c r="AN78" s="34" t="n">
        <x:f>MAX(0,MIN(AN$8+1,'Fleet'!$O75)-MAX(AN$7,'Fleet'!$G75))</x:f>
        <x:v>0</x:v>
      </x:c>
      <x:c r="AO78" s="34" t="n">
        <x:f>MAX(0,MIN(AO$8+1,'Fleet'!$O75)-MAX(AO$7,'Fleet'!$G75))</x:f>
        <x:v>0</x:v>
      </x:c>
      <x:c r="AP78" s="34" t="n">
        <x:f>MAX(0,MIN(AP$8+1,'Fleet'!$O75)-MAX(AP$7,'Fleet'!$G75))</x:f>
        <x:v>0</x:v>
      </x:c>
      <x:c r="AQ78" s="34" t="n">
        <x:f>MAX(0,MIN(AQ$8+1,'Fleet'!$O75)-MAX(AQ$7,'Fleet'!$G75))</x:f>
        <x:v>0</x:v>
      </x:c>
    </x:row>
    <x:row r="79" ht="21" customHeight="1">
      <x:c r="A79" s="2"/>
      <x:c r="B79" s="2"/>
      <x:c r="C79" s="5" t="str">
        <x:f>'Fleet'!C76</x:f>
        <x:v>Star Carioca</x:v>
      </x:c>
      <x:c r="D79" s="5" t="str">
        <x:f>'Fleet'!D76</x:f>
        <x:v>Kamsarmax</x:v>
      </x:c>
      <x:c r="E79" s="34" t="n">
        <x:f>MAX(0,MIN(E$8+1,'Fleet'!$O76)-MAX(E$7,'Fleet'!$G76))</x:f>
        <x:v>83</x:v>
      </x:c>
      <x:c r="F79" s="34" t="n">
        <x:f>MAX(0,MIN(F$8+1,'Fleet'!$O76)-MAX(F$7,'Fleet'!$G76))</x:f>
        <x:v>90</x:v>
      </x:c>
      <x:c r="G79" s="34" t="n">
        <x:f>MAX(0,MIN(G$8+1,'Fleet'!$O76)-MAX(G$7,'Fleet'!$G76))</x:f>
        <x:v>91</x:v>
      </x:c>
      <x:c r="H79" s="34" t="n">
        <x:f>MAX(0,MIN(H$8+1,'Fleet'!$O76)-MAX(H$7,'Fleet'!$G76))</x:f>
        <x:v>92</x:v>
      </x:c>
      <x:c r="I79" s="34" t="n">
        <x:f>MAX(0,MIN(I$8+1,'Fleet'!$O76)-MAX(I$7,'Fleet'!$G76))</x:f>
        <x:v>92</x:v>
      </x:c>
      <x:c r="J79" s="34" t="n">
        <x:f>MAX(0,MIN(J$8+1,'Fleet'!$O76)-MAX(J$7,'Fleet'!$G76))</x:f>
        <x:v>91</x:v>
      </x:c>
      <x:c r="K79" s="34" t="n">
        <x:f>MAX(0,MIN(K$8+1,'Fleet'!$O76)-MAX(K$7,'Fleet'!$G76))</x:f>
        <x:v>91</x:v>
      </x:c>
      <x:c r="L79" s="34" t="n">
        <x:f>MAX(0,MIN(L$8+1,'Fleet'!$O76)-MAX(L$7,'Fleet'!$G76))</x:f>
        <x:v>92</x:v>
      </x:c>
      <x:c r="M79" s="34" t="n">
        <x:f>MAX(0,MIN(M$8+1,'Fleet'!$O76)-MAX(M$7,'Fleet'!$G76))</x:f>
        <x:v>92</x:v>
      </x:c>
      <x:c r="N79" s="34" t="n">
        <x:f>MAX(0,MIN(N$8+1,'Fleet'!$O76)-MAX(N$7,'Fleet'!$G76))</x:f>
        <x:v>90</x:v>
      </x:c>
      <x:c r="O79" s="34" t="n">
        <x:f>MAX(0,MIN(O$8+1,'Fleet'!$O76)-MAX(O$7,'Fleet'!$G76))</x:f>
        <x:v>91</x:v>
      </x:c>
      <x:c r="P79" s="34" t="n">
        <x:f>MAX(0,MIN(P$8+1,'Fleet'!$O76)-MAX(P$7,'Fleet'!$G76))</x:f>
        <x:v>92</x:v>
      </x:c>
      <x:c r="Q79" s="34" t="n">
        <x:f>MAX(0,MIN(Q$8+1,'Fleet'!$O76)-MAX(Q$7,'Fleet'!$G76))</x:f>
        <x:v>365</x:v>
      </x:c>
      <x:c r="R79" s="34" t="n">
        <x:f>MAX(0,MIN(R$8+1,'Fleet'!$O76)-MAX(R$7,'Fleet'!$G76))</x:f>
        <x:v>365</x:v>
      </x:c>
      <x:c r="S79" s="34" t="n">
        <x:f>MAX(0,MIN(S$8+1,'Fleet'!$O76)-MAX(S$7,'Fleet'!$G76))</x:f>
        <x:v>366</x:v>
      </x:c>
      <x:c r="T79" s="34" t="n">
        <x:f>MAX(0,MIN(T$8+1,'Fleet'!$O76)-MAX(T$7,'Fleet'!$G76))</x:f>
        <x:v>365</x:v>
      </x:c>
      <x:c r="U79" s="34" t="n">
        <x:f>MAX(0,MIN(U$8+1,'Fleet'!$O76)-MAX(U$7,'Fleet'!$G76))</x:f>
        <x:v>365</x:v>
      </x:c>
      <x:c r="V79" s="34" t="n">
        <x:f>MAX(0,MIN(V$8+1,'Fleet'!$O76)-MAX(V$7,'Fleet'!$G76))</x:f>
        <x:v>365</x:v>
      </x:c>
      <x:c r="W79" s="34" t="n">
        <x:f>MAX(0,MIN(W$8+1,'Fleet'!$O76)-MAX(W$7,'Fleet'!$G76))</x:f>
        <x:v>366</x:v>
      </x:c>
      <x:c r="X79" s="34" t="n">
        <x:f>MAX(0,MIN(X$8+1,'Fleet'!$O76)-MAX(X$7,'Fleet'!$G76))</x:f>
        <x:v>365</x:v>
      </x:c>
      <x:c r="Y79" s="34" t="n">
        <x:f>MAX(0,MIN(Y$8+1,'Fleet'!$O76)-MAX(Y$7,'Fleet'!$G76))</x:f>
        <x:v>365</x:v>
      </x:c>
      <x:c r="Z79" s="34" t="n">
        <x:f>MAX(0,MIN(Z$8+1,'Fleet'!$O76)-MAX(Z$7,'Fleet'!$G76))</x:f>
        <x:v>365</x:v>
      </x:c>
      <x:c r="AA79" s="34" t="n">
        <x:f>MAX(0,MIN(AA$8+1,'Fleet'!$O76)-MAX(AA$7,'Fleet'!$G76))</x:f>
        <x:v>274</x:v>
      </x:c>
      <x:c r="AB79" s="34" t="n">
        <x:f>MAX(0,MIN(AB$8+1,'Fleet'!$O76)-MAX(AB$7,'Fleet'!$G76))</x:f>
        <x:v>0</x:v>
      </x:c>
      <x:c r="AC79" s="34" t="n">
        <x:f>MAX(0,MIN(AC$8+1,'Fleet'!$O76)-MAX(AC$7,'Fleet'!$G76))</x:f>
        <x:v>0</x:v>
      </x:c>
      <x:c r="AD79" s="34" t="n">
        <x:f>MAX(0,MIN(AD$8+1,'Fleet'!$O76)-MAX(AD$7,'Fleet'!$G76))</x:f>
        <x:v>0</x:v>
      </x:c>
      <x:c r="AE79" s="34" t="n">
        <x:f>MAX(0,MIN(AE$8+1,'Fleet'!$O76)-MAX(AE$7,'Fleet'!$G76))</x:f>
        <x:v>0</x:v>
      </x:c>
      <x:c r="AF79" s="34" t="n">
        <x:f>MAX(0,MIN(AF$8+1,'Fleet'!$O76)-MAX(AF$7,'Fleet'!$G76))</x:f>
        <x:v>0</x:v>
      </x:c>
      <x:c r="AG79" s="34" t="n">
        <x:f>MAX(0,MIN(AG$8+1,'Fleet'!$O76)-MAX(AG$7,'Fleet'!$G76))</x:f>
        <x:v>0</x:v>
      </x:c>
      <x:c r="AH79" s="34" t="n">
        <x:f>MAX(0,MIN(AH$8+1,'Fleet'!$O76)-MAX(AH$7,'Fleet'!$G76))</x:f>
        <x:v>0</x:v>
      </x:c>
      <x:c r="AI79" s="34" t="n">
        <x:f>MAX(0,MIN(AI$8+1,'Fleet'!$O76)-MAX(AI$7,'Fleet'!$G76))</x:f>
        <x:v>0</x:v>
      </x:c>
      <x:c r="AJ79" s="34" t="n">
        <x:f>MAX(0,MIN(AJ$8+1,'Fleet'!$O76)-MAX(AJ$7,'Fleet'!$G76))</x:f>
        <x:v>0</x:v>
      </x:c>
      <x:c r="AK79" s="34" t="n">
        <x:f>MAX(0,MIN(AK$8+1,'Fleet'!$O76)-MAX(AK$7,'Fleet'!$G76))</x:f>
        <x:v>0</x:v>
      </x:c>
      <x:c r="AL79" s="34" t="n">
        <x:f>MAX(0,MIN(AL$8+1,'Fleet'!$O76)-MAX(AL$7,'Fleet'!$G76))</x:f>
        <x:v>0</x:v>
      </x:c>
      <x:c r="AM79" s="34" t="n">
        <x:f>MAX(0,MIN(AM$8+1,'Fleet'!$O76)-MAX(AM$7,'Fleet'!$G76))</x:f>
        <x:v>0</x:v>
      </x:c>
      <x:c r="AN79" s="34" t="n">
        <x:f>MAX(0,MIN(AN$8+1,'Fleet'!$O76)-MAX(AN$7,'Fleet'!$G76))</x:f>
        <x:v>0</x:v>
      </x:c>
      <x:c r="AO79" s="34" t="n">
        <x:f>MAX(0,MIN(AO$8+1,'Fleet'!$O76)-MAX(AO$7,'Fleet'!$G76))</x:f>
        <x:v>0</x:v>
      </x:c>
      <x:c r="AP79" s="34" t="n">
        <x:f>MAX(0,MIN(AP$8+1,'Fleet'!$O76)-MAX(AP$7,'Fleet'!$G76))</x:f>
        <x:v>0</x:v>
      </x:c>
      <x:c r="AQ79" s="34" t="n">
        <x:f>MAX(0,MIN(AQ$8+1,'Fleet'!$O76)-MAX(AQ$7,'Fleet'!$G76))</x:f>
        <x:v>0</x:v>
      </x:c>
    </x:row>
    <x:row r="80" ht="21" customHeight="1">
      <x:c r="A80" s="2"/>
      <x:c r="B80" s="2"/>
      <x:c r="C80" s="5" t="str">
        <x:f>'Fleet'!C77</x:f>
        <x:v>Star Capoeira</x:v>
      </x:c>
      <x:c r="D80" s="5" t="str">
        <x:f>'Fleet'!D77</x:f>
        <x:v>Kamsarmax</x:v>
      </x:c>
      <x:c r="E80" s="34" t="n">
        <x:f>MAX(0,MIN(E$8+1,'Fleet'!$O77)-MAX(E$7,'Fleet'!$G77))</x:f>
        <x:v>83</x:v>
      </x:c>
      <x:c r="F80" s="34" t="n">
        <x:f>MAX(0,MIN(F$8+1,'Fleet'!$O77)-MAX(F$7,'Fleet'!$G77))</x:f>
        <x:v>90</x:v>
      </x:c>
      <x:c r="G80" s="34" t="n">
        <x:f>MAX(0,MIN(G$8+1,'Fleet'!$O77)-MAX(G$7,'Fleet'!$G77))</x:f>
        <x:v>91</x:v>
      </x:c>
      <x:c r="H80" s="34" t="n">
        <x:f>MAX(0,MIN(H$8+1,'Fleet'!$O77)-MAX(H$7,'Fleet'!$G77))</x:f>
        <x:v>92</x:v>
      </x:c>
      <x:c r="I80" s="34" t="n">
        <x:f>MAX(0,MIN(I$8+1,'Fleet'!$O77)-MAX(I$7,'Fleet'!$G77))</x:f>
        <x:v>92</x:v>
      </x:c>
      <x:c r="J80" s="34" t="n">
        <x:f>MAX(0,MIN(J$8+1,'Fleet'!$O77)-MAX(J$7,'Fleet'!$G77))</x:f>
        <x:v>91</x:v>
      </x:c>
      <x:c r="K80" s="34" t="n">
        <x:f>MAX(0,MIN(K$8+1,'Fleet'!$O77)-MAX(K$7,'Fleet'!$G77))</x:f>
        <x:v>91</x:v>
      </x:c>
      <x:c r="L80" s="34" t="n">
        <x:f>MAX(0,MIN(L$8+1,'Fleet'!$O77)-MAX(L$7,'Fleet'!$G77))</x:f>
        <x:v>92</x:v>
      </x:c>
      <x:c r="M80" s="34" t="n">
        <x:f>MAX(0,MIN(M$8+1,'Fleet'!$O77)-MAX(M$7,'Fleet'!$G77))</x:f>
        <x:v>92</x:v>
      </x:c>
      <x:c r="N80" s="34" t="n">
        <x:f>MAX(0,MIN(N$8+1,'Fleet'!$O77)-MAX(N$7,'Fleet'!$G77))</x:f>
        <x:v>90</x:v>
      </x:c>
      <x:c r="O80" s="34" t="n">
        <x:f>MAX(0,MIN(O$8+1,'Fleet'!$O77)-MAX(O$7,'Fleet'!$G77))</x:f>
        <x:v>91</x:v>
      </x:c>
      <x:c r="P80" s="34" t="n">
        <x:f>MAX(0,MIN(P$8+1,'Fleet'!$O77)-MAX(P$7,'Fleet'!$G77))</x:f>
        <x:v>92</x:v>
      </x:c>
      <x:c r="Q80" s="34" t="n">
        <x:f>MAX(0,MIN(Q$8+1,'Fleet'!$O77)-MAX(Q$7,'Fleet'!$G77))</x:f>
        <x:v>365</x:v>
      </x:c>
      <x:c r="R80" s="34" t="n">
        <x:f>MAX(0,MIN(R$8+1,'Fleet'!$O77)-MAX(R$7,'Fleet'!$G77))</x:f>
        <x:v>365</x:v>
      </x:c>
      <x:c r="S80" s="34" t="n">
        <x:f>MAX(0,MIN(S$8+1,'Fleet'!$O77)-MAX(S$7,'Fleet'!$G77))</x:f>
        <x:v>366</x:v>
      </x:c>
      <x:c r="T80" s="34" t="n">
        <x:f>MAX(0,MIN(T$8+1,'Fleet'!$O77)-MAX(T$7,'Fleet'!$G77))</x:f>
        <x:v>365</x:v>
      </x:c>
      <x:c r="U80" s="34" t="n">
        <x:f>MAX(0,MIN(U$8+1,'Fleet'!$O77)-MAX(U$7,'Fleet'!$G77))</x:f>
        <x:v>365</x:v>
      </x:c>
      <x:c r="V80" s="34" t="n">
        <x:f>MAX(0,MIN(V$8+1,'Fleet'!$O77)-MAX(V$7,'Fleet'!$G77))</x:f>
        <x:v>365</x:v>
      </x:c>
      <x:c r="W80" s="34" t="n">
        <x:f>MAX(0,MIN(W$8+1,'Fleet'!$O77)-MAX(W$7,'Fleet'!$G77))</x:f>
        <x:v>366</x:v>
      </x:c>
      <x:c r="X80" s="34" t="n">
        <x:f>MAX(0,MIN(X$8+1,'Fleet'!$O77)-MAX(X$7,'Fleet'!$G77))</x:f>
        <x:v>365</x:v>
      </x:c>
      <x:c r="Y80" s="34" t="n">
        <x:f>MAX(0,MIN(Y$8+1,'Fleet'!$O77)-MAX(Y$7,'Fleet'!$G77))</x:f>
        <x:v>365</x:v>
      </x:c>
      <x:c r="Z80" s="34" t="n">
        <x:f>MAX(0,MIN(Z$8+1,'Fleet'!$O77)-MAX(Z$7,'Fleet'!$G77))</x:f>
        <x:v>365</x:v>
      </x:c>
      <x:c r="AA80" s="34" t="n">
        <x:f>MAX(0,MIN(AA$8+1,'Fleet'!$O77)-MAX(AA$7,'Fleet'!$G77))</x:f>
        <x:v>274</x:v>
      </x:c>
      <x:c r="AB80" s="34" t="n">
        <x:f>MAX(0,MIN(AB$8+1,'Fleet'!$O77)-MAX(AB$7,'Fleet'!$G77))</x:f>
        <x:v>0</x:v>
      </x:c>
      <x:c r="AC80" s="34" t="n">
        <x:f>MAX(0,MIN(AC$8+1,'Fleet'!$O77)-MAX(AC$7,'Fleet'!$G77))</x:f>
        <x:v>0</x:v>
      </x:c>
      <x:c r="AD80" s="34" t="n">
        <x:f>MAX(0,MIN(AD$8+1,'Fleet'!$O77)-MAX(AD$7,'Fleet'!$G77))</x:f>
        <x:v>0</x:v>
      </x:c>
      <x:c r="AE80" s="34" t="n">
        <x:f>MAX(0,MIN(AE$8+1,'Fleet'!$O77)-MAX(AE$7,'Fleet'!$G77))</x:f>
        <x:v>0</x:v>
      </x:c>
      <x:c r="AF80" s="34" t="n">
        <x:f>MAX(0,MIN(AF$8+1,'Fleet'!$O77)-MAX(AF$7,'Fleet'!$G77))</x:f>
        <x:v>0</x:v>
      </x:c>
      <x:c r="AG80" s="34" t="n">
        <x:f>MAX(0,MIN(AG$8+1,'Fleet'!$O77)-MAX(AG$7,'Fleet'!$G77))</x:f>
        <x:v>0</x:v>
      </x:c>
      <x:c r="AH80" s="34" t="n">
        <x:f>MAX(0,MIN(AH$8+1,'Fleet'!$O77)-MAX(AH$7,'Fleet'!$G77))</x:f>
        <x:v>0</x:v>
      </x:c>
      <x:c r="AI80" s="34" t="n">
        <x:f>MAX(0,MIN(AI$8+1,'Fleet'!$O77)-MAX(AI$7,'Fleet'!$G77))</x:f>
        <x:v>0</x:v>
      </x:c>
      <x:c r="AJ80" s="34" t="n">
        <x:f>MAX(0,MIN(AJ$8+1,'Fleet'!$O77)-MAX(AJ$7,'Fleet'!$G77))</x:f>
        <x:v>0</x:v>
      </x:c>
      <x:c r="AK80" s="34" t="n">
        <x:f>MAX(0,MIN(AK$8+1,'Fleet'!$O77)-MAX(AK$7,'Fleet'!$G77))</x:f>
        <x:v>0</x:v>
      </x:c>
      <x:c r="AL80" s="34" t="n">
        <x:f>MAX(0,MIN(AL$8+1,'Fleet'!$O77)-MAX(AL$7,'Fleet'!$G77))</x:f>
        <x:v>0</x:v>
      </x:c>
      <x:c r="AM80" s="34" t="n">
        <x:f>MAX(0,MIN(AM$8+1,'Fleet'!$O77)-MAX(AM$7,'Fleet'!$G77))</x:f>
        <x:v>0</x:v>
      </x:c>
      <x:c r="AN80" s="34" t="n">
        <x:f>MAX(0,MIN(AN$8+1,'Fleet'!$O77)-MAX(AN$7,'Fleet'!$G77))</x:f>
        <x:v>0</x:v>
      </x:c>
      <x:c r="AO80" s="34" t="n">
        <x:f>MAX(0,MIN(AO$8+1,'Fleet'!$O77)-MAX(AO$7,'Fleet'!$G77))</x:f>
        <x:v>0</x:v>
      </x:c>
      <x:c r="AP80" s="34" t="n">
        <x:f>MAX(0,MIN(AP$8+1,'Fleet'!$O77)-MAX(AP$7,'Fleet'!$G77))</x:f>
        <x:v>0</x:v>
      </x:c>
      <x:c r="AQ80" s="34" t="n">
        <x:f>MAX(0,MIN(AQ$8+1,'Fleet'!$O77)-MAX(AQ$7,'Fleet'!$G77))</x:f>
        <x:v>0</x:v>
      </x:c>
    </x:row>
    <x:row r="81" ht="21" customHeight="1">
      <x:c r="A81" s="2"/>
      <x:c r="B81" s="2"/>
      <x:c r="C81" s="5" t="str">
        <x:f>'Fleet'!C78</x:f>
        <x:v>Star Macarena</x:v>
      </x:c>
      <x:c r="D81" s="5" t="str">
        <x:f>'Fleet'!D78</x:f>
        <x:v>Kamsarmax</x:v>
      </x:c>
      <x:c r="E81" s="34" t="n">
        <x:f>MAX(0,MIN(E$8+1,'Fleet'!$O78)-MAX(E$7,'Fleet'!$G78))</x:f>
        <x:v>83</x:v>
      </x:c>
      <x:c r="F81" s="34" t="n">
        <x:f>MAX(0,MIN(F$8+1,'Fleet'!$O78)-MAX(F$7,'Fleet'!$G78))</x:f>
        <x:v>90</x:v>
      </x:c>
      <x:c r="G81" s="34" t="n">
        <x:f>MAX(0,MIN(G$8+1,'Fleet'!$O78)-MAX(G$7,'Fleet'!$G78))</x:f>
        <x:v>91</x:v>
      </x:c>
      <x:c r="H81" s="34" t="n">
        <x:f>MAX(0,MIN(H$8+1,'Fleet'!$O78)-MAX(H$7,'Fleet'!$G78))</x:f>
        <x:v>92</x:v>
      </x:c>
      <x:c r="I81" s="34" t="n">
        <x:f>MAX(0,MIN(I$8+1,'Fleet'!$O78)-MAX(I$7,'Fleet'!$G78))</x:f>
        <x:v>92</x:v>
      </x:c>
      <x:c r="J81" s="34" t="n">
        <x:f>MAX(0,MIN(J$8+1,'Fleet'!$O78)-MAX(J$7,'Fleet'!$G78))</x:f>
        <x:v>91</x:v>
      </x:c>
      <x:c r="K81" s="34" t="n">
        <x:f>MAX(0,MIN(K$8+1,'Fleet'!$O78)-MAX(K$7,'Fleet'!$G78))</x:f>
        <x:v>91</x:v>
      </x:c>
      <x:c r="L81" s="34" t="n">
        <x:f>MAX(0,MIN(L$8+1,'Fleet'!$O78)-MAX(L$7,'Fleet'!$G78))</x:f>
        <x:v>92</x:v>
      </x:c>
      <x:c r="M81" s="34" t="n">
        <x:f>MAX(0,MIN(M$8+1,'Fleet'!$O78)-MAX(M$7,'Fleet'!$G78))</x:f>
        <x:v>92</x:v>
      </x:c>
      <x:c r="N81" s="34" t="n">
        <x:f>MAX(0,MIN(N$8+1,'Fleet'!$O78)-MAX(N$7,'Fleet'!$G78))</x:f>
        <x:v>90</x:v>
      </x:c>
      <x:c r="O81" s="34" t="n">
        <x:f>MAX(0,MIN(O$8+1,'Fleet'!$O78)-MAX(O$7,'Fleet'!$G78))</x:f>
        <x:v>91</x:v>
      </x:c>
      <x:c r="P81" s="34" t="n">
        <x:f>MAX(0,MIN(P$8+1,'Fleet'!$O78)-MAX(P$7,'Fleet'!$G78))</x:f>
        <x:v>92</x:v>
      </x:c>
      <x:c r="Q81" s="34" t="n">
        <x:f>MAX(0,MIN(Q$8+1,'Fleet'!$O78)-MAX(Q$7,'Fleet'!$G78))</x:f>
        <x:v>365</x:v>
      </x:c>
      <x:c r="R81" s="34" t="n">
        <x:f>MAX(0,MIN(R$8+1,'Fleet'!$O78)-MAX(R$7,'Fleet'!$G78))</x:f>
        <x:v>365</x:v>
      </x:c>
      <x:c r="S81" s="34" t="n">
        <x:f>MAX(0,MIN(S$8+1,'Fleet'!$O78)-MAX(S$7,'Fleet'!$G78))</x:f>
        <x:v>366</x:v>
      </x:c>
      <x:c r="T81" s="34" t="n">
        <x:f>MAX(0,MIN(T$8+1,'Fleet'!$O78)-MAX(T$7,'Fleet'!$G78))</x:f>
        <x:v>365</x:v>
      </x:c>
      <x:c r="U81" s="34" t="n">
        <x:f>MAX(0,MIN(U$8+1,'Fleet'!$O78)-MAX(U$7,'Fleet'!$G78))</x:f>
        <x:v>365</x:v>
      </x:c>
      <x:c r="V81" s="34" t="n">
        <x:f>MAX(0,MIN(V$8+1,'Fleet'!$O78)-MAX(V$7,'Fleet'!$G78))</x:f>
        <x:v>365</x:v>
      </x:c>
      <x:c r="W81" s="34" t="n">
        <x:f>MAX(0,MIN(W$8+1,'Fleet'!$O78)-MAX(W$7,'Fleet'!$G78))</x:f>
        <x:v>366</x:v>
      </x:c>
      <x:c r="X81" s="34" t="n">
        <x:f>MAX(0,MIN(X$8+1,'Fleet'!$O78)-MAX(X$7,'Fleet'!$G78))</x:f>
        <x:v>365</x:v>
      </x:c>
      <x:c r="Y81" s="34" t="n">
        <x:f>MAX(0,MIN(Y$8+1,'Fleet'!$O78)-MAX(Y$7,'Fleet'!$G78))</x:f>
        <x:v>365</x:v>
      </x:c>
      <x:c r="Z81" s="34" t="n">
        <x:f>MAX(0,MIN(Z$8+1,'Fleet'!$O78)-MAX(Z$7,'Fleet'!$G78))</x:f>
        <x:v>365</x:v>
      </x:c>
      <x:c r="AA81" s="34" t="n">
        <x:f>MAX(0,MIN(AA$8+1,'Fleet'!$O78)-MAX(AA$7,'Fleet'!$G78))</x:f>
        <x:v>366</x:v>
      </x:c>
      <x:c r="AB81" s="34" t="n">
        <x:f>MAX(0,MIN(AB$8+1,'Fleet'!$O78)-MAX(AB$7,'Fleet'!$G78))</x:f>
        <x:v>273</x:v>
      </x:c>
      <x:c r="AC81" s="34" t="n">
        <x:f>MAX(0,MIN(AC$8+1,'Fleet'!$O78)-MAX(AC$7,'Fleet'!$G78))</x:f>
        <x:v>0</x:v>
      </x:c>
      <x:c r="AD81" s="34" t="n">
        <x:f>MAX(0,MIN(AD$8+1,'Fleet'!$O78)-MAX(AD$7,'Fleet'!$G78))</x:f>
        <x:v>0</x:v>
      </x:c>
      <x:c r="AE81" s="34" t="n">
        <x:f>MAX(0,MIN(AE$8+1,'Fleet'!$O78)-MAX(AE$7,'Fleet'!$G78))</x:f>
        <x:v>0</x:v>
      </x:c>
      <x:c r="AF81" s="34" t="n">
        <x:f>MAX(0,MIN(AF$8+1,'Fleet'!$O78)-MAX(AF$7,'Fleet'!$G78))</x:f>
        <x:v>0</x:v>
      </x:c>
      <x:c r="AG81" s="34" t="n">
        <x:f>MAX(0,MIN(AG$8+1,'Fleet'!$O78)-MAX(AG$7,'Fleet'!$G78))</x:f>
        <x:v>0</x:v>
      </x:c>
      <x:c r="AH81" s="34" t="n">
        <x:f>MAX(0,MIN(AH$8+1,'Fleet'!$O78)-MAX(AH$7,'Fleet'!$G78))</x:f>
        <x:v>0</x:v>
      </x:c>
      <x:c r="AI81" s="34" t="n">
        <x:f>MAX(0,MIN(AI$8+1,'Fleet'!$O78)-MAX(AI$7,'Fleet'!$G78))</x:f>
        <x:v>0</x:v>
      </x:c>
      <x:c r="AJ81" s="34" t="n">
        <x:f>MAX(0,MIN(AJ$8+1,'Fleet'!$O78)-MAX(AJ$7,'Fleet'!$G78))</x:f>
        <x:v>0</x:v>
      </x:c>
      <x:c r="AK81" s="34" t="n">
        <x:f>MAX(0,MIN(AK$8+1,'Fleet'!$O78)-MAX(AK$7,'Fleet'!$G78))</x:f>
        <x:v>0</x:v>
      </x:c>
      <x:c r="AL81" s="34" t="n">
        <x:f>MAX(0,MIN(AL$8+1,'Fleet'!$O78)-MAX(AL$7,'Fleet'!$G78))</x:f>
        <x:v>0</x:v>
      </x:c>
      <x:c r="AM81" s="34" t="n">
        <x:f>MAX(0,MIN(AM$8+1,'Fleet'!$O78)-MAX(AM$7,'Fleet'!$G78))</x:f>
        <x:v>0</x:v>
      </x:c>
      <x:c r="AN81" s="34" t="n">
        <x:f>MAX(0,MIN(AN$8+1,'Fleet'!$O78)-MAX(AN$7,'Fleet'!$G78))</x:f>
        <x:v>0</x:v>
      </x:c>
      <x:c r="AO81" s="34" t="n">
        <x:f>MAX(0,MIN(AO$8+1,'Fleet'!$O78)-MAX(AO$7,'Fleet'!$G78))</x:f>
        <x:v>0</x:v>
      </x:c>
      <x:c r="AP81" s="34" t="n">
        <x:f>MAX(0,MIN(AP$8+1,'Fleet'!$O78)-MAX(AP$7,'Fleet'!$G78))</x:f>
        <x:v>0</x:v>
      </x:c>
      <x:c r="AQ81" s="34" t="n">
        <x:f>MAX(0,MIN(AQ$8+1,'Fleet'!$O78)-MAX(AQ$7,'Fleet'!$G78))</x:f>
        <x:v>0</x:v>
      </x:c>
    </x:row>
    <x:row r="82" ht="21" customHeight="1">
      <x:c r="A82" s="2"/>
      <x:c r="B82" s="2"/>
      <x:c r="C82" s="5" t="str">
        <x:f>'Fleet'!C79</x:f>
        <x:v>Star Lydia</x:v>
      </x:c>
      <x:c r="D82" s="5" t="str">
        <x:f>'Fleet'!D79</x:f>
        <x:v>Kamsarmax</x:v>
      </x:c>
      <x:c r="E82" s="34" t="n">
        <x:f>MAX(0,MIN(E$8+1,'Fleet'!$O79)-MAX(E$7,'Fleet'!$G79))</x:f>
        <x:v>83</x:v>
      </x:c>
      <x:c r="F82" s="34" t="n">
        <x:f>MAX(0,MIN(F$8+1,'Fleet'!$O79)-MAX(F$7,'Fleet'!$G79))</x:f>
        <x:v>90</x:v>
      </x:c>
      <x:c r="G82" s="34" t="n">
        <x:f>MAX(0,MIN(G$8+1,'Fleet'!$O79)-MAX(G$7,'Fleet'!$G79))</x:f>
        <x:v>91</x:v>
      </x:c>
      <x:c r="H82" s="34" t="n">
        <x:f>MAX(0,MIN(H$8+1,'Fleet'!$O79)-MAX(H$7,'Fleet'!$G79))</x:f>
        <x:v>92</x:v>
      </x:c>
      <x:c r="I82" s="34" t="n">
        <x:f>MAX(0,MIN(I$8+1,'Fleet'!$O79)-MAX(I$7,'Fleet'!$G79))</x:f>
        <x:v>92</x:v>
      </x:c>
      <x:c r="J82" s="34" t="n">
        <x:f>MAX(0,MIN(J$8+1,'Fleet'!$O79)-MAX(J$7,'Fleet'!$G79))</x:f>
        <x:v>91</x:v>
      </x:c>
      <x:c r="K82" s="34" t="n">
        <x:f>MAX(0,MIN(K$8+1,'Fleet'!$O79)-MAX(K$7,'Fleet'!$G79))</x:f>
        <x:v>91</x:v>
      </x:c>
      <x:c r="L82" s="34" t="n">
        <x:f>MAX(0,MIN(L$8+1,'Fleet'!$O79)-MAX(L$7,'Fleet'!$G79))</x:f>
        <x:v>92</x:v>
      </x:c>
      <x:c r="M82" s="34" t="n">
        <x:f>MAX(0,MIN(M$8+1,'Fleet'!$O79)-MAX(M$7,'Fleet'!$G79))</x:f>
        <x:v>92</x:v>
      </x:c>
      <x:c r="N82" s="34" t="n">
        <x:f>MAX(0,MIN(N$8+1,'Fleet'!$O79)-MAX(N$7,'Fleet'!$G79))</x:f>
        <x:v>90</x:v>
      </x:c>
      <x:c r="O82" s="34" t="n">
        <x:f>MAX(0,MIN(O$8+1,'Fleet'!$O79)-MAX(O$7,'Fleet'!$G79))</x:f>
        <x:v>91</x:v>
      </x:c>
      <x:c r="P82" s="34" t="n">
        <x:f>MAX(0,MIN(P$8+1,'Fleet'!$O79)-MAX(P$7,'Fleet'!$G79))</x:f>
        <x:v>92</x:v>
      </x:c>
      <x:c r="Q82" s="34" t="n">
        <x:f>MAX(0,MIN(Q$8+1,'Fleet'!$O79)-MAX(Q$7,'Fleet'!$G79))</x:f>
        <x:v>365</x:v>
      </x:c>
      <x:c r="R82" s="34" t="n">
        <x:f>MAX(0,MIN(R$8+1,'Fleet'!$O79)-MAX(R$7,'Fleet'!$G79))</x:f>
        <x:v>365</x:v>
      </x:c>
      <x:c r="S82" s="34" t="n">
        <x:f>MAX(0,MIN(S$8+1,'Fleet'!$O79)-MAX(S$7,'Fleet'!$G79))</x:f>
        <x:v>366</x:v>
      </x:c>
      <x:c r="T82" s="34" t="n">
        <x:f>MAX(0,MIN(T$8+1,'Fleet'!$O79)-MAX(T$7,'Fleet'!$G79))</x:f>
        <x:v>365</x:v>
      </x:c>
      <x:c r="U82" s="34" t="n">
        <x:f>MAX(0,MIN(U$8+1,'Fleet'!$O79)-MAX(U$7,'Fleet'!$G79))</x:f>
        <x:v>365</x:v>
      </x:c>
      <x:c r="V82" s="34" t="n">
        <x:f>MAX(0,MIN(V$8+1,'Fleet'!$O79)-MAX(V$7,'Fleet'!$G79))</x:f>
        <x:v>365</x:v>
      </x:c>
      <x:c r="W82" s="34" t="n">
        <x:f>MAX(0,MIN(W$8+1,'Fleet'!$O79)-MAX(W$7,'Fleet'!$G79))</x:f>
        <x:v>366</x:v>
      </x:c>
      <x:c r="X82" s="34" t="n">
        <x:f>MAX(0,MIN(X$8+1,'Fleet'!$O79)-MAX(X$7,'Fleet'!$G79))</x:f>
        <x:v>365</x:v>
      </x:c>
      <x:c r="Y82" s="34" t="n">
        <x:f>MAX(0,MIN(Y$8+1,'Fleet'!$O79)-MAX(Y$7,'Fleet'!$G79))</x:f>
        <x:v>273</x:v>
      </x:c>
      <x:c r="Z82" s="34" t="n">
        <x:f>MAX(0,MIN(Z$8+1,'Fleet'!$O79)-MAX(Z$7,'Fleet'!$G79))</x:f>
        <x:v>0</x:v>
      </x:c>
      <x:c r="AA82" s="34" t="n">
        <x:f>MAX(0,MIN(AA$8+1,'Fleet'!$O79)-MAX(AA$7,'Fleet'!$G79))</x:f>
        <x:v>0</x:v>
      </x:c>
      <x:c r="AB82" s="34" t="n">
        <x:f>MAX(0,MIN(AB$8+1,'Fleet'!$O79)-MAX(AB$7,'Fleet'!$G79))</x:f>
        <x:v>0</x:v>
      </x:c>
      <x:c r="AC82" s="34" t="n">
        <x:f>MAX(0,MIN(AC$8+1,'Fleet'!$O79)-MAX(AC$7,'Fleet'!$G79))</x:f>
        <x:v>0</x:v>
      </x:c>
      <x:c r="AD82" s="34" t="n">
        <x:f>MAX(0,MIN(AD$8+1,'Fleet'!$O79)-MAX(AD$7,'Fleet'!$G79))</x:f>
        <x:v>0</x:v>
      </x:c>
      <x:c r="AE82" s="34" t="n">
        <x:f>MAX(0,MIN(AE$8+1,'Fleet'!$O79)-MAX(AE$7,'Fleet'!$G79))</x:f>
        <x:v>0</x:v>
      </x:c>
      <x:c r="AF82" s="34" t="n">
        <x:f>MAX(0,MIN(AF$8+1,'Fleet'!$O79)-MAX(AF$7,'Fleet'!$G79))</x:f>
        <x:v>0</x:v>
      </x:c>
      <x:c r="AG82" s="34" t="n">
        <x:f>MAX(0,MIN(AG$8+1,'Fleet'!$O79)-MAX(AG$7,'Fleet'!$G79))</x:f>
        <x:v>0</x:v>
      </x:c>
      <x:c r="AH82" s="34" t="n">
        <x:f>MAX(0,MIN(AH$8+1,'Fleet'!$O79)-MAX(AH$7,'Fleet'!$G79))</x:f>
        <x:v>0</x:v>
      </x:c>
      <x:c r="AI82" s="34" t="n">
        <x:f>MAX(0,MIN(AI$8+1,'Fleet'!$O79)-MAX(AI$7,'Fleet'!$G79))</x:f>
        <x:v>0</x:v>
      </x:c>
      <x:c r="AJ82" s="34" t="n">
        <x:f>MAX(0,MIN(AJ$8+1,'Fleet'!$O79)-MAX(AJ$7,'Fleet'!$G79))</x:f>
        <x:v>0</x:v>
      </x:c>
      <x:c r="AK82" s="34" t="n">
        <x:f>MAX(0,MIN(AK$8+1,'Fleet'!$O79)-MAX(AK$7,'Fleet'!$G79))</x:f>
        <x:v>0</x:v>
      </x:c>
      <x:c r="AL82" s="34" t="n">
        <x:f>MAX(0,MIN(AL$8+1,'Fleet'!$O79)-MAX(AL$7,'Fleet'!$G79))</x:f>
        <x:v>0</x:v>
      </x:c>
      <x:c r="AM82" s="34" t="n">
        <x:f>MAX(0,MIN(AM$8+1,'Fleet'!$O79)-MAX(AM$7,'Fleet'!$G79))</x:f>
        <x:v>0</x:v>
      </x:c>
      <x:c r="AN82" s="34" t="n">
        <x:f>MAX(0,MIN(AN$8+1,'Fleet'!$O79)-MAX(AN$7,'Fleet'!$G79))</x:f>
        <x:v>0</x:v>
      </x:c>
      <x:c r="AO82" s="34" t="n">
        <x:f>MAX(0,MIN(AO$8+1,'Fleet'!$O79)-MAX(AO$7,'Fleet'!$G79))</x:f>
        <x:v>0</x:v>
      </x:c>
      <x:c r="AP82" s="34" t="n">
        <x:f>MAX(0,MIN(AP$8+1,'Fleet'!$O79)-MAX(AP$7,'Fleet'!$G79))</x:f>
        <x:v>0</x:v>
      </x:c>
      <x:c r="AQ82" s="34" t="n">
        <x:f>MAX(0,MIN(AQ$8+1,'Fleet'!$O79)-MAX(AQ$7,'Fleet'!$G79))</x:f>
        <x:v>0</x:v>
      </x:c>
    </x:row>
    <x:row r="83" ht="21" customHeight="1">
      <x:c r="A83" s="2"/>
      <x:c r="B83" s="2"/>
      <x:c r="C83" s="5" t="str">
        <x:f>'Fleet'!C80</x:f>
        <x:v>Star Nicole</x:v>
      </x:c>
      <x:c r="D83" s="5" t="str">
        <x:f>'Fleet'!D80</x:f>
        <x:v>Kamsarmax</x:v>
      </x:c>
      <x:c r="E83" s="34" t="n">
        <x:f>MAX(0,MIN(E$8+1,'Fleet'!$O80)-MAX(E$7,'Fleet'!$G80))</x:f>
        <x:v>83</x:v>
      </x:c>
      <x:c r="F83" s="34" t="n">
        <x:f>MAX(0,MIN(F$8+1,'Fleet'!$O80)-MAX(F$7,'Fleet'!$G80))</x:f>
        <x:v>90</x:v>
      </x:c>
      <x:c r="G83" s="34" t="n">
        <x:f>MAX(0,MIN(G$8+1,'Fleet'!$O80)-MAX(G$7,'Fleet'!$G80))</x:f>
        <x:v>91</x:v>
      </x:c>
      <x:c r="H83" s="34" t="n">
        <x:f>MAX(0,MIN(H$8+1,'Fleet'!$O80)-MAX(H$7,'Fleet'!$G80))</x:f>
        <x:v>92</x:v>
      </x:c>
      <x:c r="I83" s="34" t="n">
        <x:f>MAX(0,MIN(I$8+1,'Fleet'!$O80)-MAX(I$7,'Fleet'!$G80))</x:f>
        <x:v>92</x:v>
      </x:c>
      <x:c r="J83" s="34" t="n">
        <x:f>MAX(0,MIN(J$8+1,'Fleet'!$O80)-MAX(J$7,'Fleet'!$G80))</x:f>
        <x:v>91</x:v>
      </x:c>
      <x:c r="K83" s="34" t="n">
        <x:f>MAX(0,MIN(K$8+1,'Fleet'!$O80)-MAX(K$7,'Fleet'!$G80))</x:f>
        <x:v>91</x:v>
      </x:c>
      <x:c r="L83" s="34" t="n">
        <x:f>MAX(0,MIN(L$8+1,'Fleet'!$O80)-MAX(L$7,'Fleet'!$G80))</x:f>
        <x:v>92</x:v>
      </x:c>
      <x:c r="M83" s="34" t="n">
        <x:f>MAX(0,MIN(M$8+1,'Fleet'!$O80)-MAX(M$7,'Fleet'!$G80))</x:f>
        <x:v>92</x:v>
      </x:c>
      <x:c r="N83" s="34" t="n">
        <x:f>MAX(0,MIN(N$8+1,'Fleet'!$O80)-MAX(N$7,'Fleet'!$G80))</x:f>
        <x:v>90</x:v>
      </x:c>
      <x:c r="O83" s="34" t="n">
        <x:f>MAX(0,MIN(O$8+1,'Fleet'!$O80)-MAX(O$7,'Fleet'!$G80))</x:f>
        <x:v>91</x:v>
      </x:c>
      <x:c r="P83" s="34" t="n">
        <x:f>MAX(0,MIN(P$8+1,'Fleet'!$O80)-MAX(P$7,'Fleet'!$G80))</x:f>
        <x:v>92</x:v>
      </x:c>
      <x:c r="Q83" s="34" t="n">
        <x:f>MAX(0,MIN(Q$8+1,'Fleet'!$O80)-MAX(Q$7,'Fleet'!$G80))</x:f>
        <x:v>365</x:v>
      </x:c>
      <x:c r="R83" s="34" t="n">
        <x:f>MAX(0,MIN(R$8+1,'Fleet'!$O80)-MAX(R$7,'Fleet'!$G80))</x:f>
        <x:v>365</x:v>
      </x:c>
      <x:c r="S83" s="34" t="n">
        <x:f>MAX(0,MIN(S$8+1,'Fleet'!$O80)-MAX(S$7,'Fleet'!$G80))</x:f>
        <x:v>366</x:v>
      </x:c>
      <x:c r="T83" s="34" t="n">
        <x:f>MAX(0,MIN(T$8+1,'Fleet'!$O80)-MAX(T$7,'Fleet'!$G80))</x:f>
        <x:v>365</x:v>
      </x:c>
      <x:c r="U83" s="34" t="n">
        <x:f>MAX(0,MIN(U$8+1,'Fleet'!$O80)-MAX(U$7,'Fleet'!$G80))</x:f>
        <x:v>365</x:v>
      </x:c>
      <x:c r="V83" s="34" t="n">
        <x:f>MAX(0,MIN(V$8+1,'Fleet'!$O80)-MAX(V$7,'Fleet'!$G80))</x:f>
        <x:v>365</x:v>
      </x:c>
      <x:c r="W83" s="34" t="n">
        <x:f>MAX(0,MIN(W$8+1,'Fleet'!$O80)-MAX(W$7,'Fleet'!$G80))</x:f>
        <x:v>366</x:v>
      </x:c>
      <x:c r="X83" s="34" t="n">
        <x:f>MAX(0,MIN(X$8+1,'Fleet'!$O80)-MAX(X$7,'Fleet'!$G80))</x:f>
        <x:v>365</x:v>
      </x:c>
      <x:c r="Y83" s="34" t="n">
        <x:f>MAX(0,MIN(Y$8+1,'Fleet'!$O80)-MAX(Y$7,'Fleet'!$G80))</x:f>
        <x:v>273</x:v>
      </x:c>
      <x:c r="Z83" s="34" t="n">
        <x:f>MAX(0,MIN(Z$8+1,'Fleet'!$O80)-MAX(Z$7,'Fleet'!$G80))</x:f>
        <x:v>0</x:v>
      </x:c>
      <x:c r="AA83" s="34" t="n">
        <x:f>MAX(0,MIN(AA$8+1,'Fleet'!$O80)-MAX(AA$7,'Fleet'!$G80))</x:f>
        <x:v>0</x:v>
      </x:c>
      <x:c r="AB83" s="34" t="n">
        <x:f>MAX(0,MIN(AB$8+1,'Fleet'!$O80)-MAX(AB$7,'Fleet'!$G80))</x:f>
        <x:v>0</x:v>
      </x:c>
      <x:c r="AC83" s="34" t="n">
        <x:f>MAX(0,MIN(AC$8+1,'Fleet'!$O80)-MAX(AC$7,'Fleet'!$G80))</x:f>
        <x:v>0</x:v>
      </x:c>
      <x:c r="AD83" s="34" t="n">
        <x:f>MAX(0,MIN(AD$8+1,'Fleet'!$O80)-MAX(AD$7,'Fleet'!$G80))</x:f>
        <x:v>0</x:v>
      </x:c>
      <x:c r="AE83" s="34" t="n">
        <x:f>MAX(0,MIN(AE$8+1,'Fleet'!$O80)-MAX(AE$7,'Fleet'!$G80))</x:f>
        <x:v>0</x:v>
      </x:c>
      <x:c r="AF83" s="34" t="n">
        <x:f>MAX(0,MIN(AF$8+1,'Fleet'!$O80)-MAX(AF$7,'Fleet'!$G80))</x:f>
        <x:v>0</x:v>
      </x:c>
      <x:c r="AG83" s="34" t="n">
        <x:f>MAX(0,MIN(AG$8+1,'Fleet'!$O80)-MAX(AG$7,'Fleet'!$G80))</x:f>
        <x:v>0</x:v>
      </x:c>
      <x:c r="AH83" s="34" t="n">
        <x:f>MAX(0,MIN(AH$8+1,'Fleet'!$O80)-MAX(AH$7,'Fleet'!$G80))</x:f>
        <x:v>0</x:v>
      </x:c>
      <x:c r="AI83" s="34" t="n">
        <x:f>MAX(0,MIN(AI$8+1,'Fleet'!$O80)-MAX(AI$7,'Fleet'!$G80))</x:f>
        <x:v>0</x:v>
      </x:c>
      <x:c r="AJ83" s="34" t="n">
        <x:f>MAX(0,MIN(AJ$8+1,'Fleet'!$O80)-MAX(AJ$7,'Fleet'!$G80))</x:f>
        <x:v>0</x:v>
      </x:c>
      <x:c r="AK83" s="34" t="n">
        <x:f>MAX(0,MIN(AK$8+1,'Fleet'!$O80)-MAX(AK$7,'Fleet'!$G80))</x:f>
        <x:v>0</x:v>
      </x:c>
      <x:c r="AL83" s="34" t="n">
        <x:f>MAX(0,MIN(AL$8+1,'Fleet'!$O80)-MAX(AL$7,'Fleet'!$G80))</x:f>
        <x:v>0</x:v>
      </x:c>
      <x:c r="AM83" s="34" t="n">
        <x:f>MAX(0,MIN(AM$8+1,'Fleet'!$O80)-MAX(AM$7,'Fleet'!$G80))</x:f>
        <x:v>0</x:v>
      </x:c>
      <x:c r="AN83" s="34" t="n">
        <x:f>MAX(0,MIN(AN$8+1,'Fleet'!$O80)-MAX(AN$7,'Fleet'!$G80))</x:f>
        <x:v>0</x:v>
      </x:c>
      <x:c r="AO83" s="34" t="n">
        <x:f>MAX(0,MIN(AO$8+1,'Fleet'!$O80)-MAX(AO$7,'Fleet'!$G80))</x:f>
        <x:v>0</x:v>
      </x:c>
      <x:c r="AP83" s="34" t="n">
        <x:f>MAX(0,MIN(AP$8+1,'Fleet'!$O80)-MAX(AP$7,'Fleet'!$G80))</x:f>
        <x:v>0</x:v>
      </x:c>
      <x:c r="AQ83" s="34" t="n">
        <x:f>MAX(0,MIN(AQ$8+1,'Fleet'!$O80)-MAX(AQ$7,'Fleet'!$G80))</x:f>
        <x:v>0</x:v>
      </x:c>
    </x:row>
    <x:row r="84" ht="21" customHeight="1">
      <x:c r="A84" s="2"/>
      <x:c r="B84" s="2"/>
      <x:c r="C84" s="5" t="str">
        <x:f>'Fleet'!C81</x:f>
        <x:v>Star Virginia</x:v>
      </x:c>
      <x:c r="D84" s="5" t="str">
        <x:f>'Fleet'!D81</x:f>
        <x:v>Kamsarmax</x:v>
      </x:c>
      <x:c r="E84" s="34" t="n">
        <x:f>MAX(0,MIN(E$8+1,'Fleet'!$O81)-MAX(E$7,'Fleet'!$G81))</x:f>
        <x:v>83</x:v>
      </x:c>
      <x:c r="F84" s="34" t="n">
        <x:f>MAX(0,MIN(F$8+1,'Fleet'!$O81)-MAX(F$7,'Fleet'!$G81))</x:f>
        <x:v>90</x:v>
      </x:c>
      <x:c r="G84" s="34" t="n">
        <x:f>MAX(0,MIN(G$8+1,'Fleet'!$O81)-MAX(G$7,'Fleet'!$G81))</x:f>
        <x:v>91</x:v>
      </x:c>
      <x:c r="H84" s="34" t="n">
        <x:f>MAX(0,MIN(H$8+1,'Fleet'!$O81)-MAX(H$7,'Fleet'!$G81))</x:f>
        <x:v>92</x:v>
      </x:c>
      <x:c r="I84" s="34" t="n">
        <x:f>MAX(0,MIN(I$8+1,'Fleet'!$O81)-MAX(I$7,'Fleet'!$G81))</x:f>
        <x:v>92</x:v>
      </x:c>
      <x:c r="J84" s="34" t="n">
        <x:f>MAX(0,MIN(J$8+1,'Fleet'!$O81)-MAX(J$7,'Fleet'!$G81))</x:f>
        <x:v>91</x:v>
      </x:c>
      <x:c r="K84" s="34" t="n">
        <x:f>MAX(0,MIN(K$8+1,'Fleet'!$O81)-MAX(K$7,'Fleet'!$G81))</x:f>
        <x:v>91</x:v>
      </x:c>
      <x:c r="L84" s="34" t="n">
        <x:f>MAX(0,MIN(L$8+1,'Fleet'!$O81)-MAX(L$7,'Fleet'!$G81))</x:f>
        <x:v>92</x:v>
      </x:c>
      <x:c r="M84" s="34" t="n">
        <x:f>MAX(0,MIN(M$8+1,'Fleet'!$O81)-MAX(M$7,'Fleet'!$G81))</x:f>
        <x:v>92</x:v>
      </x:c>
      <x:c r="N84" s="34" t="n">
        <x:f>MAX(0,MIN(N$8+1,'Fleet'!$O81)-MAX(N$7,'Fleet'!$G81))</x:f>
        <x:v>90</x:v>
      </x:c>
      <x:c r="O84" s="34" t="n">
        <x:f>MAX(0,MIN(O$8+1,'Fleet'!$O81)-MAX(O$7,'Fleet'!$G81))</x:f>
        <x:v>91</x:v>
      </x:c>
      <x:c r="P84" s="34" t="n">
        <x:f>MAX(0,MIN(P$8+1,'Fleet'!$O81)-MAX(P$7,'Fleet'!$G81))</x:f>
        <x:v>92</x:v>
      </x:c>
      <x:c r="Q84" s="34" t="n">
        <x:f>MAX(0,MIN(Q$8+1,'Fleet'!$O81)-MAX(Q$7,'Fleet'!$G81))</x:f>
        <x:v>365</x:v>
      </x:c>
      <x:c r="R84" s="34" t="n">
        <x:f>MAX(0,MIN(R$8+1,'Fleet'!$O81)-MAX(R$7,'Fleet'!$G81))</x:f>
        <x:v>365</x:v>
      </x:c>
      <x:c r="S84" s="34" t="n">
        <x:f>MAX(0,MIN(S$8+1,'Fleet'!$O81)-MAX(S$7,'Fleet'!$G81))</x:f>
        <x:v>366</x:v>
      </x:c>
      <x:c r="T84" s="34" t="n">
        <x:f>MAX(0,MIN(T$8+1,'Fleet'!$O81)-MAX(T$7,'Fleet'!$G81))</x:f>
        <x:v>365</x:v>
      </x:c>
      <x:c r="U84" s="34" t="n">
        <x:f>MAX(0,MIN(U$8+1,'Fleet'!$O81)-MAX(U$7,'Fleet'!$G81))</x:f>
        <x:v>365</x:v>
      </x:c>
      <x:c r="V84" s="34" t="n">
        <x:f>MAX(0,MIN(V$8+1,'Fleet'!$O81)-MAX(V$7,'Fleet'!$G81))</x:f>
        <x:v>365</x:v>
      </x:c>
      <x:c r="W84" s="34" t="n">
        <x:f>MAX(0,MIN(W$8+1,'Fleet'!$O81)-MAX(W$7,'Fleet'!$G81))</x:f>
        <x:v>366</x:v>
      </x:c>
      <x:c r="X84" s="34" t="n">
        <x:f>MAX(0,MIN(X$8+1,'Fleet'!$O81)-MAX(X$7,'Fleet'!$G81))</x:f>
        <x:v>365</x:v>
      </x:c>
      <x:c r="Y84" s="34" t="n">
        <x:f>MAX(0,MIN(Y$8+1,'Fleet'!$O81)-MAX(Y$7,'Fleet'!$G81))</x:f>
        <x:v>365</x:v>
      </x:c>
      <x:c r="Z84" s="34" t="n">
        <x:f>MAX(0,MIN(Z$8+1,'Fleet'!$O81)-MAX(Z$7,'Fleet'!$G81))</x:f>
        <x:v>365</x:v>
      </x:c>
      <x:c r="AA84" s="34" t="n">
        <x:f>MAX(0,MIN(AA$8+1,'Fleet'!$O81)-MAX(AA$7,'Fleet'!$G81))</x:f>
        <x:v>274</x:v>
      </x:c>
      <x:c r="AB84" s="34" t="n">
        <x:f>MAX(0,MIN(AB$8+1,'Fleet'!$O81)-MAX(AB$7,'Fleet'!$G81))</x:f>
        <x:v>0</x:v>
      </x:c>
      <x:c r="AC84" s="34" t="n">
        <x:f>MAX(0,MIN(AC$8+1,'Fleet'!$O81)-MAX(AC$7,'Fleet'!$G81))</x:f>
        <x:v>0</x:v>
      </x:c>
      <x:c r="AD84" s="34" t="n">
        <x:f>MAX(0,MIN(AD$8+1,'Fleet'!$O81)-MAX(AD$7,'Fleet'!$G81))</x:f>
        <x:v>0</x:v>
      </x:c>
      <x:c r="AE84" s="34" t="n">
        <x:f>MAX(0,MIN(AE$8+1,'Fleet'!$O81)-MAX(AE$7,'Fleet'!$G81))</x:f>
        <x:v>0</x:v>
      </x:c>
      <x:c r="AF84" s="34" t="n">
        <x:f>MAX(0,MIN(AF$8+1,'Fleet'!$O81)-MAX(AF$7,'Fleet'!$G81))</x:f>
        <x:v>0</x:v>
      </x:c>
      <x:c r="AG84" s="34" t="n">
        <x:f>MAX(0,MIN(AG$8+1,'Fleet'!$O81)-MAX(AG$7,'Fleet'!$G81))</x:f>
        <x:v>0</x:v>
      </x:c>
      <x:c r="AH84" s="34" t="n">
        <x:f>MAX(0,MIN(AH$8+1,'Fleet'!$O81)-MAX(AH$7,'Fleet'!$G81))</x:f>
        <x:v>0</x:v>
      </x:c>
      <x:c r="AI84" s="34" t="n">
        <x:f>MAX(0,MIN(AI$8+1,'Fleet'!$O81)-MAX(AI$7,'Fleet'!$G81))</x:f>
        <x:v>0</x:v>
      </x:c>
      <x:c r="AJ84" s="34" t="n">
        <x:f>MAX(0,MIN(AJ$8+1,'Fleet'!$O81)-MAX(AJ$7,'Fleet'!$G81))</x:f>
        <x:v>0</x:v>
      </x:c>
      <x:c r="AK84" s="34" t="n">
        <x:f>MAX(0,MIN(AK$8+1,'Fleet'!$O81)-MAX(AK$7,'Fleet'!$G81))</x:f>
        <x:v>0</x:v>
      </x:c>
      <x:c r="AL84" s="34" t="n">
        <x:f>MAX(0,MIN(AL$8+1,'Fleet'!$O81)-MAX(AL$7,'Fleet'!$G81))</x:f>
        <x:v>0</x:v>
      </x:c>
      <x:c r="AM84" s="34" t="n">
        <x:f>MAX(0,MIN(AM$8+1,'Fleet'!$O81)-MAX(AM$7,'Fleet'!$G81))</x:f>
        <x:v>0</x:v>
      </x:c>
      <x:c r="AN84" s="34" t="n">
        <x:f>MAX(0,MIN(AN$8+1,'Fleet'!$O81)-MAX(AN$7,'Fleet'!$G81))</x:f>
        <x:v>0</x:v>
      </x:c>
      <x:c r="AO84" s="34" t="n">
        <x:f>MAX(0,MIN(AO$8+1,'Fleet'!$O81)-MAX(AO$7,'Fleet'!$G81))</x:f>
        <x:v>0</x:v>
      </x:c>
      <x:c r="AP84" s="34" t="n">
        <x:f>MAX(0,MIN(AP$8+1,'Fleet'!$O81)-MAX(AP$7,'Fleet'!$G81))</x:f>
        <x:v>0</x:v>
      </x:c>
      <x:c r="AQ84" s="34" t="n">
        <x:f>MAX(0,MIN(AQ$8+1,'Fleet'!$O81)-MAX(AQ$7,'Fleet'!$G81))</x:f>
        <x:v>0</x:v>
      </x:c>
    </x:row>
    <x:row r="85" ht="21" customHeight="1">
      <x:c r="A85" s="2"/>
      <x:c r="B85" s="2"/>
      <x:c r="C85" s="5" t="str">
        <x:f>'Fleet'!C82</x:f>
        <x:v>Star Genesis</x:v>
      </x:c>
      <x:c r="D85" s="5" t="str">
        <x:f>'Fleet'!D82</x:f>
        <x:v>Kamsarmax</x:v>
      </x:c>
      <x:c r="E85" s="34" t="n">
        <x:f>MAX(0,MIN(E$8+1,'Fleet'!$O82)-MAX(E$7,'Fleet'!$G82))</x:f>
        <x:v>83</x:v>
      </x:c>
      <x:c r="F85" s="34" t="n">
        <x:f>MAX(0,MIN(F$8+1,'Fleet'!$O82)-MAX(F$7,'Fleet'!$G82))</x:f>
        <x:v>90</x:v>
      </x:c>
      <x:c r="G85" s="34" t="n">
        <x:f>MAX(0,MIN(G$8+1,'Fleet'!$O82)-MAX(G$7,'Fleet'!$G82))</x:f>
        <x:v>91</x:v>
      </x:c>
      <x:c r="H85" s="34" t="n">
        <x:f>MAX(0,MIN(H$8+1,'Fleet'!$O82)-MAX(H$7,'Fleet'!$G82))</x:f>
        <x:v>92</x:v>
      </x:c>
      <x:c r="I85" s="34" t="n">
        <x:f>MAX(0,MIN(I$8+1,'Fleet'!$O82)-MAX(I$7,'Fleet'!$G82))</x:f>
        <x:v>92</x:v>
      </x:c>
      <x:c r="J85" s="34" t="n">
        <x:f>MAX(0,MIN(J$8+1,'Fleet'!$O82)-MAX(J$7,'Fleet'!$G82))</x:f>
        <x:v>91</x:v>
      </x:c>
      <x:c r="K85" s="34" t="n">
        <x:f>MAX(0,MIN(K$8+1,'Fleet'!$O82)-MAX(K$7,'Fleet'!$G82))</x:f>
        <x:v>91</x:v>
      </x:c>
      <x:c r="L85" s="34" t="n">
        <x:f>MAX(0,MIN(L$8+1,'Fleet'!$O82)-MAX(L$7,'Fleet'!$G82))</x:f>
        <x:v>92</x:v>
      </x:c>
      <x:c r="M85" s="34" t="n">
        <x:f>MAX(0,MIN(M$8+1,'Fleet'!$O82)-MAX(M$7,'Fleet'!$G82))</x:f>
        <x:v>92</x:v>
      </x:c>
      <x:c r="N85" s="34" t="n">
        <x:f>MAX(0,MIN(N$8+1,'Fleet'!$O82)-MAX(N$7,'Fleet'!$G82))</x:f>
        <x:v>90</x:v>
      </x:c>
      <x:c r="O85" s="34" t="n">
        <x:f>MAX(0,MIN(O$8+1,'Fleet'!$O82)-MAX(O$7,'Fleet'!$G82))</x:f>
        <x:v>91</x:v>
      </x:c>
      <x:c r="P85" s="34" t="n">
        <x:f>MAX(0,MIN(P$8+1,'Fleet'!$O82)-MAX(P$7,'Fleet'!$G82))</x:f>
        <x:v>92</x:v>
      </x:c>
      <x:c r="Q85" s="34" t="n">
        <x:f>MAX(0,MIN(Q$8+1,'Fleet'!$O82)-MAX(Q$7,'Fleet'!$G82))</x:f>
        <x:v>365</x:v>
      </x:c>
      <x:c r="R85" s="34" t="n">
        <x:f>MAX(0,MIN(R$8+1,'Fleet'!$O82)-MAX(R$7,'Fleet'!$G82))</x:f>
        <x:v>365</x:v>
      </x:c>
      <x:c r="S85" s="34" t="n">
        <x:f>MAX(0,MIN(S$8+1,'Fleet'!$O82)-MAX(S$7,'Fleet'!$G82))</x:f>
        <x:v>366</x:v>
      </x:c>
      <x:c r="T85" s="34" t="n">
        <x:f>MAX(0,MIN(T$8+1,'Fleet'!$O82)-MAX(T$7,'Fleet'!$G82))</x:f>
        <x:v>365</x:v>
      </x:c>
      <x:c r="U85" s="34" t="n">
        <x:f>MAX(0,MIN(U$8+1,'Fleet'!$O82)-MAX(U$7,'Fleet'!$G82))</x:f>
        <x:v>365</x:v>
      </x:c>
      <x:c r="V85" s="34" t="n">
        <x:f>MAX(0,MIN(V$8+1,'Fleet'!$O82)-MAX(V$7,'Fleet'!$G82))</x:f>
        <x:v>273</x:v>
      </x:c>
      <x:c r="W85" s="34" t="n">
        <x:f>MAX(0,MIN(W$8+1,'Fleet'!$O82)-MAX(W$7,'Fleet'!$G82))</x:f>
        <x:v>0</x:v>
      </x:c>
      <x:c r="X85" s="34" t="n">
        <x:f>MAX(0,MIN(X$8+1,'Fleet'!$O82)-MAX(X$7,'Fleet'!$G82))</x:f>
        <x:v>0</x:v>
      </x:c>
      <x:c r="Y85" s="34" t="n">
        <x:f>MAX(0,MIN(Y$8+1,'Fleet'!$O82)-MAX(Y$7,'Fleet'!$G82))</x:f>
        <x:v>0</x:v>
      </x:c>
      <x:c r="Z85" s="34" t="n">
        <x:f>MAX(0,MIN(Z$8+1,'Fleet'!$O82)-MAX(Z$7,'Fleet'!$G82))</x:f>
        <x:v>0</x:v>
      </x:c>
      <x:c r="AA85" s="34" t="n">
        <x:f>MAX(0,MIN(AA$8+1,'Fleet'!$O82)-MAX(AA$7,'Fleet'!$G82))</x:f>
        <x:v>0</x:v>
      </x:c>
      <x:c r="AB85" s="34" t="n">
        <x:f>MAX(0,MIN(AB$8+1,'Fleet'!$O82)-MAX(AB$7,'Fleet'!$G82))</x:f>
        <x:v>0</x:v>
      </x:c>
      <x:c r="AC85" s="34" t="n">
        <x:f>MAX(0,MIN(AC$8+1,'Fleet'!$O82)-MAX(AC$7,'Fleet'!$G82))</x:f>
        <x:v>0</x:v>
      </x:c>
      <x:c r="AD85" s="34" t="n">
        <x:f>MAX(0,MIN(AD$8+1,'Fleet'!$O82)-MAX(AD$7,'Fleet'!$G82))</x:f>
        <x:v>0</x:v>
      </x:c>
      <x:c r="AE85" s="34" t="n">
        <x:f>MAX(0,MIN(AE$8+1,'Fleet'!$O82)-MAX(AE$7,'Fleet'!$G82))</x:f>
        <x:v>0</x:v>
      </x:c>
      <x:c r="AF85" s="34" t="n">
        <x:f>MAX(0,MIN(AF$8+1,'Fleet'!$O82)-MAX(AF$7,'Fleet'!$G82))</x:f>
        <x:v>0</x:v>
      </x:c>
      <x:c r="AG85" s="34" t="n">
        <x:f>MAX(0,MIN(AG$8+1,'Fleet'!$O82)-MAX(AG$7,'Fleet'!$G82))</x:f>
        <x:v>0</x:v>
      </x:c>
      <x:c r="AH85" s="34" t="n">
        <x:f>MAX(0,MIN(AH$8+1,'Fleet'!$O82)-MAX(AH$7,'Fleet'!$G82))</x:f>
        <x:v>0</x:v>
      </x:c>
      <x:c r="AI85" s="34" t="n">
        <x:f>MAX(0,MIN(AI$8+1,'Fleet'!$O82)-MAX(AI$7,'Fleet'!$G82))</x:f>
        <x:v>0</x:v>
      </x:c>
      <x:c r="AJ85" s="34" t="n">
        <x:f>MAX(0,MIN(AJ$8+1,'Fleet'!$O82)-MAX(AJ$7,'Fleet'!$G82))</x:f>
        <x:v>0</x:v>
      </x:c>
      <x:c r="AK85" s="34" t="n">
        <x:f>MAX(0,MIN(AK$8+1,'Fleet'!$O82)-MAX(AK$7,'Fleet'!$G82))</x:f>
        <x:v>0</x:v>
      </x:c>
      <x:c r="AL85" s="34" t="n">
        <x:f>MAX(0,MIN(AL$8+1,'Fleet'!$O82)-MAX(AL$7,'Fleet'!$G82))</x:f>
        <x:v>0</x:v>
      </x:c>
      <x:c r="AM85" s="34" t="n">
        <x:f>MAX(0,MIN(AM$8+1,'Fleet'!$O82)-MAX(AM$7,'Fleet'!$G82))</x:f>
        <x:v>0</x:v>
      </x:c>
      <x:c r="AN85" s="34" t="n">
        <x:f>MAX(0,MIN(AN$8+1,'Fleet'!$O82)-MAX(AN$7,'Fleet'!$G82))</x:f>
        <x:v>0</x:v>
      </x:c>
      <x:c r="AO85" s="34" t="n">
        <x:f>MAX(0,MIN(AO$8+1,'Fleet'!$O82)-MAX(AO$7,'Fleet'!$G82))</x:f>
        <x:v>0</x:v>
      </x:c>
      <x:c r="AP85" s="34" t="n">
        <x:f>MAX(0,MIN(AP$8+1,'Fleet'!$O82)-MAX(AP$7,'Fleet'!$G82))</x:f>
        <x:v>0</x:v>
      </x:c>
      <x:c r="AQ85" s="34" t="n">
        <x:f>MAX(0,MIN(AQ$8+1,'Fleet'!$O82)-MAX(AQ$7,'Fleet'!$G82))</x:f>
        <x:v>0</x:v>
      </x:c>
    </x:row>
    <x:row r="86" ht="21" customHeight="1">
      <x:c r="A86" s="2"/>
      <x:c r="B86" s="2"/>
      <x:c r="C86" s="5" t="str">
        <x:f>'Fleet'!C83</x:f>
        <x:v>Star Flame</x:v>
      </x:c>
      <x:c r="D86" s="5" t="str">
        <x:f>'Fleet'!D83</x:f>
        <x:v>Kamsarmax</x:v>
      </x:c>
      <x:c r="E86" s="34" t="n">
        <x:f>MAX(0,MIN(E$8+1,'Fleet'!$O83)-MAX(E$7,'Fleet'!$G83))</x:f>
        <x:v>83</x:v>
      </x:c>
      <x:c r="F86" s="34" t="n">
        <x:f>MAX(0,MIN(F$8+1,'Fleet'!$O83)-MAX(F$7,'Fleet'!$G83))</x:f>
        <x:v>90</x:v>
      </x:c>
      <x:c r="G86" s="34" t="n">
        <x:f>MAX(0,MIN(G$8+1,'Fleet'!$O83)-MAX(G$7,'Fleet'!$G83))</x:f>
        <x:v>91</x:v>
      </x:c>
      <x:c r="H86" s="34" t="n">
        <x:f>MAX(0,MIN(H$8+1,'Fleet'!$O83)-MAX(H$7,'Fleet'!$G83))</x:f>
        <x:v>92</x:v>
      </x:c>
      <x:c r="I86" s="34" t="n">
        <x:f>MAX(0,MIN(I$8+1,'Fleet'!$O83)-MAX(I$7,'Fleet'!$G83))</x:f>
        <x:v>92</x:v>
      </x:c>
      <x:c r="J86" s="34" t="n">
        <x:f>MAX(0,MIN(J$8+1,'Fleet'!$O83)-MAX(J$7,'Fleet'!$G83))</x:f>
        <x:v>91</x:v>
      </x:c>
      <x:c r="K86" s="34" t="n">
        <x:f>MAX(0,MIN(K$8+1,'Fleet'!$O83)-MAX(K$7,'Fleet'!$G83))</x:f>
        <x:v>91</x:v>
      </x:c>
      <x:c r="L86" s="34" t="n">
        <x:f>MAX(0,MIN(L$8+1,'Fleet'!$O83)-MAX(L$7,'Fleet'!$G83))</x:f>
        <x:v>92</x:v>
      </x:c>
      <x:c r="M86" s="34" t="n">
        <x:f>MAX(0,MIN(M$8+1,'Fleet'!$O83)-MAX(M$7,'Fleet'!$G83))</x:f>
        <x:v>92</x:v>
      </x:c>
      <x:c r="N86" s="34" t="n">
        <x:f>MAX(0,MIN(N$8+1,'Fleet'!$O83)-MAX(N$7,'Fleet'!$G83))</x:f>
        <x:v>90</x:v>
      </x:c>
      <x:c r="O86" s="34" t="n">
        <x:f>MAX(0,MIN(O$8+1,'Fleet'!$O83)-MAX(O$7,'Fleet'!$G83))</x:f>
        <x:v>91</x:v>
      </x:c>
      <x:c r="P86" s="34" t="n">
        <x:f>MAX(0,MIN(P$8+1,'Fleet'!$O83)-MAX(P$7,'Fleet'!$G83))</x:f>
        <x:v>92</x:v>
      </x:c>
      <x:c r="Q86" s="34" t="n">
        <x:f>MAX(0,MIN(Q$8+1,'Fleet'!$O83)-MAX(Q$7,'Fleet'!$G83))</x:f>
        <x:v>365</x:v>
      </x:c>
      <x:c r="R86" s="34" t="n">
        <x:f>MAX(0,MIN(R$8+1,'Fleet'!$O83)-MAX(R$7,'Fleet'!$G83))</x:f>
        <x:v>365</x:v>
      </x:c>
      <x:c r="S86" s="34" t="n">
        <x:f>MAX(0,MIN(S$8+1,'Fleet'!$O83)-MAX(S$7,'Fleet'!$G83))</x:f>
        <x:v>366</x:v>
      </x:c>
      <x:c r="T86" s="34" t="n">
        <x:f>MAX(0,MIN(T$8+1,'Fleet'!$O83)-MAX(T$7,'Fleet'!$G83))</x:f>
        <x:v>365</x:v>
      </x:c>
      <x:c r="U86" s="34" t="n">
        <x:f>MAX(0,MIN(U$8+1,'Fleet'!$O83)-MAX(U$7,'Fleet'!$G83))</x:f>
        <x:v>365</x:v>
      </x:c>
      <x:c r="V86" s="34" t="n">
        <x:f>MAX(0,MIN(V$8+1,'Fleet'!$O83)-MAX(V$7,'Fleet'!$G83))</x:f>
        <x:v>365</x:v>
      </x:c>
      <x:c r="W86" s="34" t="n">
        <x:f>MAX(0,MIN(W$8+1,'Fleet'!$O83)-MAX(W$7,'Fleet'!$G83))</x:f>
        <x:v>274</x:v>
      </x:c>
      <x:c r="X86" s="34" t="n">
        <x:f>MAX(0,MIN(X$8+1,'Fleet'!$O83)-MAX(X$7,'Fleet'!$G83))</x:f>
        <x:v>0</x:v>
      </x:c>
      <x:c r="Y86" s="34" t="n">
        <x:f>MAX(0,MIN(Y$8+1,'Fleet'!$O83)-MAX(Y$7,'Fleet'!$G83))</x:f>
        <x:v>0</x:v>
      </x:c>
      <x:c r="Z86" s="34" t="n">
        <x:f>MAX(0,MIN(Z$8+1,'Fleet'!$O83)-MAX(Z$7,'Fleet'!$G83))</x:f>
        <x:v>0</x:v>
      </x:c>
      <x:c r="AA86" s="34" t="n">
        <x:f>MAX(0,MIN(AA$8+1,'Fleet'!$O83)-MAX(AA$7,'Fleet'!$G83))</x:f>
        <x:v>0</x:v>
      </x:c>
      <x:c r="AB86" s="34" t="n">
        <x:f>MAX(0,MIN(AB$8+1,'Fleet'!$O83)-MAX(AB$7,'Fleet'!$G83))</x:f>
        <x:v>0</x:v>
      </x:c>
      <x:c r="AC86" s="34" t="n">
        <x:f>MAX(0,MIN(AC$8+1,'Fleet'!$O83)-MAX(AC$7,'Fleet'!$G83))</x:f>
        <x:v>0</x:v>
      </x:c>
      <x:c r="AD86" s="34" t="n">
        <x:f>MAX(0,MIN(AD$8+1,'Fleet'!$O83)-MAX(AD$7,'Fleet'!$G83))</x:f>
        <x:v>0</x:v>
      </x:c>
      <x:c r="AE86" s="34" t="n">
        <x:f>MAX(0,MIN(AE$8+1,'Fleet'!$O83)-MAX(AE$7,'Fleet'!$G83))</x:f>
        <x:v>0</x:v>
      </x:c>
      <x:c r="AF86" s="34" t="n">
        <x:f>MAX(0,MIN(AF$8+1,'Fleet'!$O83)-MAX(AF$7,'Fleet'!$G83))</x:f>
        <x:v>0</x:v>
      </x:c>
      <x:c r="AG86" s="34" t="n">
        <x:f>MAX(0,MIN(AG$8+1,'Fleet'!$O83)-MAX(AG$7,'Fleet'!$G83))</x:f>
        <x:v>0</x:v>
      </x:c>
      <x:c r="AH86" s="34" t="n">
        <x:f>MAX(0,MIN(AH$8+1,'Fleet'!$O83)-MAX(AH$7,'Fleet'!$G83))</x:f>
        <x:v>0</x:v>
      </x:c>
      <x:c r="AI86" s="34" t="n">
        <x:f>MAX(0,MIN(AI$8+1,'Fleet'!$O83)-MAX(AI$7,'Fleet'!$G83))</x:f>
        <x:v>0</x:v>
      </x:c>
      <x:c r="AJ86" s="34" t="n">
        <x:f>MAX(0,MIN(AJ$8+1,'Fleet'!$O83)-MAX(AJ$7,'Fleet'!$G83))</x:f>
        <x:v>0</x:v>
      </x:c>
      <x:c r="AK86" s="34" t="n">
        <x:f>MAX(0,MIN(AK$8+1,'Fleet'!$O83)-MAX(AK$7,'Fleet'!$G83))</x:f>
        <x:v>0</x:v>
      </x:c>
      <x:c r="AL86" s="34" t="n">
        <x:f>MAX(0,MIN(AL$8+1,'Fleet'!$O83)-MAX(AL$7,'Fleet'!$G83))</x:f>
        <x:v>0</x:v>
      </x:c>
      <x:c r="AM86" s="34" t="n">
        <x:f>MAX(0,MIN(AM$8+1,'Fleet'!$O83)-MAX(AM$7,'Fleet'!$G83))</x:f>
        <x:v>0</x:v>
      </x:c>
      <x:c r="AN86" s="34" t="n">
        <x:f>MAX(0,MIN(AN$8+1,'Fleet'!$O83)-MAX(AN$7,'Fleet'!$G83))</x:f>
        <x:v>0</x:v>
      </x:c>
      <x:c r="AO86" s="34" t="n">
        <x:f>MAX(0,MIN(AO$8+1,'Fleet'!$O83)-MAX(AO$7,'Fleet'!$G83))</x:f>
        <x:v>0</x:v>
      </x:c>
      <x:c r="AP86" s="34" t="n">
        <x:f>MAX(0,MIN(AP$8+1,'Fleet'!$O83)-MAX(AP$7,'Fleet'!$G83))</x:f>
        <x:v>0</x:v>
      </x:c>
      <x:c r="AQ86" s="34" t="n">
        <x:f>MAX(0,MIN(AQ$8+1,'Fleet'!$O83)-MAX(AQ$7,'Fleet'!$G83))</x:f>
        <x:v>0</x:v>
      </x:c>
    </x:row>
    <x:row r="87" ht="21" customHeight="1">
      <x:c r="A87" s="2"/>
      <x:c r="B87" s="2"/>
      <x:c r="C87" s="5" t="str">
        <x:f>'Fleet'!C84</x:f>
        <x:v>Star Cape Town</x:v>
      </x:c>
      <x:c r="D87" s="5" t="str">
        <x:f>'Fleet'!D84</x:f>
        <x:v>Ultramax</x:v>
      </x:c>
      <x:c r="E87" s="34" t="n">
        <x:f>MAX(0,MIN(E$8+1,'Fleet'!$O84)-MAX(E$7,'Fleet'!$G84))</x:f>
        <x:v>83</x:v>
      </x:c>
      <x:c r="F87" s="34" t="n">
        <x:f>MAX(0,MIN(F$8+1,'Fleet'!$O84)-MAX(F$7,'Fleet'!$G84))</x:f>
        <x:v>90</x:v>
      </x:c>
      <x:c r="G87" s="34" t="n">
        <x:f>MAX(0,MIN(G$8+1,'Fleet'!$O84)-MAX(G$7,'Fleet'!$G84))</x:f>
        <x:v>91</x:v>
      </x:c>
      <x:c r="H87" s="34" t="n">
        <x:f>MAX(0,MIN(H$8+1,'Fleet'!$O84)-MAX(H$7,'Fleet'!$G84))</x:f>
        <x:v>92</x:v>
      </x:c>
      <x:c r="I87" s="34" t="n">
        <x:f>MAX(0,MIN(I$8+1,'Fleet'!$O84)-MAX(I$7,'Fleet'!$G84))</x:f>
        <x:v>92</x:v>
      </x:c>
      <x:c r="J87" s="34" t="n">
        <x:f>MAX(0,MIN(J$8+1,'Fleet'!$O84)-MAX(J$7,'Fleet'!$G84))</x:f>
        <x:v>91</x:v>
      </x:c>
      <x:c r="K87" s="34" t="n">
        <x:f>MAX(0,MIN(K$8+1,'Fleet'!$O84)-MAX(K$7,'Fleet'!$G84))</x:f>
        <x:v>91</x:v>
      </x:c>
      <x:c r="L87" s="34" t="n">
        <x:f>MAX(0,MIN(L$8+1,'Fleet'!$O84)-MAX(L$7,'Fleet'!$G84))</x:f>
        <x:v>92</x:v>
      </x:c>
      <x:c r="M87" s="34" t="n">
        <x:f>MAX(0,MIN(M$8+1,'Fleet'!$O84)-MAX(M$7,'Fleet'!$G84))</x:f>
        <x:v>92</x:v>
      </x:c>
      <x:c r="N87" s="34" t="n">
        <x:f>MAX(0,MIN(N$8+1,'Fleet'!$O84)-MAX(N$7,'Fleet'!$G84))</x:f>
        <x:v>90</x:v>
      </x:c>
      <x:c r="O87" s="34" t="n">
        <x:f>MAX(0,MIN(O$8+1,'Fleet'!$O84)-MAX(O$7,'Fleet'!$G84))</x:f>
        <x:v>91</x:v>
      </x:c>
      <x:c r="P87" s="34" t="n">
        <x:f>MAX(0,MIN(P$8+1,'Fleet'!$O84)-MAX(P$7,'Fleet'!$G84))</x:f>
        <x:v>92</x:v>
      </x:c>
      <x:c r="Q87" s="34" t="n">
        <x:f>MAX(0,MIN(Q$8+1,'Fleet'!$O84)-MAX(Q$7,'Fleet'!$G84))</x:f>
        <x:v>365</x:v>
      </x:c>
      <x:c r="R87" s="34" t="n">
        <x:f>MAX(0,MIN(R$8+1,'Fleet'!$O84)-MAX(R$7,'Fleet'!$G84))</x:f>
        <x:v>365</x:v>
      </x:c>
      <x:c r="S87" s="34" t="n">
        <x:f>MAX(0,MIN(S$8+1,'Fleet'!$O84)-MAX(S$7,'Fleet'!$G84))</x:f>
        <x:v>366</x:v>
      </x:c>
      <x:c r="T87" s="34" t="n">
        <x:f>MAX(0,MIN(T$8+1,'Fleet'!$O84)-MAX(T$7,'Fleet'!$G84))</x:f>
        <x:v>365</x:v>
      </x:c>
      <x:c r="U87" s="34" t="n">
        <x:f>MAX(0,MIN(U$8+1,'Fleet'!$O84)-MAX(U$7,'Fleet'!$G84))</x:f>
        <x:v>365</x:v>
      </x:c>
      <x:c r="V87" s="34" t="n">
        <x:f>MAX(0,MIN(V$8+1,'Fleet'!$O84)-MAX(V$7,'Fleet'!$G84))</x:f>
        <x:v>365</x:v>
      </x:c>
      <x:c r="W87" s="34" t="n">
        <x:f>MAX(0,MIN(W$8+1,'Fleet'!$O84)-MAX(W$7,'Fleet'!$G84))</x:f>
        <x:v>366</x:v>
      </x:c>
      <x:c r="X87" s="34" t="n">
        <x:f>MAX(0,MIN(X$8+1,'Fleet'!$O84)-MAX(X$7,'Fleet'!$G84))</x:f>
        <x:v>365</x:v>
      </x:c>
      <x:c r="Y87" s="34" t="n">
        <x:f>MAX(0,MIN(Y$8+1,'Fleet'!$O84)-MAX(Y$7,'Fleet'!$G84))</x:f>
        <x:v>365</x:v>
      </x:c>
      <x:c r="Z87" s="34" t="n">
        <x:f>MAX(0,MIN(Z$8+1,'Fleet'!$O84)-MAX(Z$7,'Fleet'!$G84))</x:f>
        <x:v>365</x:v>
      </x:c>
      <x:c r="AA87" s="34" t="n">
        <x:f>MAX(0,MIN(AA$8+1,'Fleet'!$O84)-MAX(AA$7,'Fleet'!$G84))</x:f>
        <x:v>274</x:v>
      </x:c>
      <x:c r="AB87" s="34" t="n">
        <x:f>MAX(0,MIN(AB$8+1,'Fleet'!$O84)-MAX(AB$7,'Fleet'!$G84))</x:f>
        <x:v>0</x:v>
      </x:c>
      <x:c r="AC87" s="34" t="n">
        <x:f>MAX(0,MIN(AC$8+1,'Fleet'!$O84)-MAX(AC$7,'Fleet'!$G84))</x:f>
        <x:v>0</x:v>
      </x:c>
      <x:c r="AD87" s="34" t="n">
        <x:f>MAX(0,MIN(AD$8+1,'Fleet'!$O84)-MAX(AD$7,'Fleet'!$G84))</x:f>
        <x:v>0</x:v>
      </x:c>
      <x:c r="AE87" s="34" t="n">
        <x:f>MAX(0,MIN(AE$8+1,'Fleet'!$O84)-MAX(AE$7,'Fleet'!$G84))</x:f>
        <x:v>0</x:v>
      </x:c>
      <x:c r="AF87" s="34" t="n">
        <x:f>MAX(0,MIN(AF$8+1,'Fleet'!$O84)-MAX(AF$7,'Fleet'!$G84))</x:f>
        <x:v>0</x:v>
      </x:c>
      <x:c r="AG87" s="34" t="n">
        <x:f>MAX(0,MIN(AG$8+1,'Fleet'!$O84)-MAX(AG$7,'Fleet'!$G84))</x:f>
        <x:v>0</x:v>
      </x:c>
      <x:c r="AH87" s="34" t="n">
        <x:f>MAX(0,MIN(AH$8+1,'Fleet'!$O84)-MAX(AH$7,'Fleet'!$G84))</x:f>
        <x:v>0</x:v>
      </x:c>
      <x:c r="AI87" s="34" t="n">
        <x:f>MAX(0,MIN(AI$8+1,'Fleet'!$O84)-MAX(AI$7,'Fleet'!$G84))</x:f>
        <x:v>0</x:v>
      </x:c>
      <x:c r="AJ87" s="34" t="n">
        <x:f>MAX(0,MIN(AJ$8+1,'Fleet'!$O84)-MAX(AJ$7,'Fleet'!$G84))</x:f>
        <x:v>0</x:v>
      </x:c>
      <x:c r="AK87" s="34" t="n">
        <x:f>MAX(0,MIN(AK$8+1,'Fleet'!$O84)-MAX(AK$7,'Fleet'!$G84))</x:f>
        <x:v>0</x:v>
      </x:c>
      <x:c r="AL87" s="34" t="n">
        <x:f>MAX(0,MIN(AL$8+1,'Fleet'!$O84)-MAX(AL$7,'Fleet'!$G84))</x:f>
        <x:v>0</x:v>
      </x:c>
      <x:c r="AM87" s="34" t="n">
        <x:f>MAX(0,MIN(AM$8+1,'Fleet'!$O84)-MAX(AM$7,'Fleet'!$G84))</x:f>
        <x:v>0</x:v>
      </x:c>
      <x:c r="AN87" s="34" t="n">
        <x:f>MAX(0,MIN(AN$8+1,'Fleet'!$O84)-MAX(AN$7,'Fleet'!$G84))</x:f>
        <x:v>0</x:v>
      </x:c>
      <x:c r="AO87" s="34" t="n">
        <x:f>MAX(0,MIN(AO$8+1,'Fleet'!$O84)-MAX(AO$7,'Fleet'!$G84))</x:f>
        <x:v>0</x:v>
      </x:c>
      <x:c r="AP87" s="34" t="n">
        <x:f>MAX(0,MIN(AP$8+1,'Fleet'!$O84)-MAX(AP$7,'Fleet'!$G84))</x:f>
        <x:v>0</x:v>
      </x:c>
      <x:c r="AQ87" s="34" t="n">
        <x:f>MAX(0,MIN(AQ$8+1,'Fleet'!$O84)-MAX(AQ$7,'Fleet'!$G84))</x:f>
        <x:v>0</x:v>
      </x:c>
    </x:row>
    <x:row r="88" ht="21" customHeight="1">
      <x:c r="A88" s="2"/>
      <x:c r="B88" s="2"/>
      <x:c r="C88" s="5" t="str">
        <x:f>'Fleet'!C85</x:f>
        <x:v>Star Vancouver</x:v>
      </x:c>
      <x:c r="D88" s="5" t="str">
        <x:f>'Fleet'!D85</x:f>
        <x:v>Ultramax</x:v>
      </x:c>
      <x:c r="E88" s="34" t="n">
        <x:f>MAX(0,MIN(E$8+1,'Fleet'!$O85)-MAX(E$7,'Fleet'!$G85))</x:f>
        <x:v>83</x:v>
      </x:c>
      <x:c r="F88" s="34" t="n">
        <x:f>MAX(0,MIN(F$8+1,'Fleet'!$O85)-MAX(F$7,'Fleet'!$G85))</x:f>
        <x:v>90</x:v>
      </x:c>
      <x:c r="G88" s="34" t="n">
        <x:f>MAX(0,MIN(G$8+1,'Fleet'!$O85)-MAX(G$7,'Fleet'!$G85))</x:f>
        <x:v>91</x:v>
      </x:c>
      <x:c r="H88" s="34" t="n">
        <x:f>MAX(0,MIN(H$8+1,'Fleet'!$O85)-MAX(H$7,'Fleet'!$G85))</x:f>
        <x:v>92</x:v>
      </x:c>
      <x:c r="I88" s="34" t="n">
        <x:f>MAX(0,MIN(I$8+1,'Fleet'!$O85)-MAX(I$7,'Fleet'!$G85))</x:f>
        <x:v>92</x:v>
      </x:c>
      <x:c r="J88" s="34" t="n">
        <x:f>MAX(0,MIN(J$8+1,'Fleet'!$O85)-MAX(J$7,'Fleet'!$G85))</x:f>
        <x:v>91</x:v>
      </x:c>
      <x:c r="K88" s="34" t="n">
        <x:f>MAX(0,MIN(K$8+1,'Fleet'!$O85)-MAX(K$7,'Fleet'!$G85))</x:f>
        <x:v>91</x:v>
      </x:c>
      <x:c r="L88" s="34" t="n">
        <x:f>MAX(0,MIN(L$8+1,'Fleet'!$O85)-MAX(L$7,'Fleet'!$G85))</x:f>
        <x:v>92</x:v>
      </x:c>
      <x:c r="M88" s="34" t="n">
        <x:f>MAX(0,MIN(M$8+1,'Fleet'!$O85)-MAX(M$7,'Fleet'!$G85))</x:f>
        <x:v>92</x:v>
      </x:c>
      <x:c r="N88" s="34" t="n">
        <x:f>MAX(0,MIN(N$8+1,'Fleet'!$O85)-MAX(N$7,'Fleet'!$G85))</x:f>
        <x:v>90</x:v>
      </x:c>
      <x:c r="O88" s="34" t="n">
        <x:f>MAX(0,MIN(O$8+1,'Fleet'!$O85)-MAX(O$7,'Fleet'!$G85))</x:f>
        <x:v>91</x:v>
      </x:c>
      <x:c r="P88" s="34" t="n">
        <x:f>MAX(0,MIN(P$8+1,'Fleet'!$O85)-MAX(P$7,'Fleet'!$G85))</x:f>
        <x:v>92</x:v>
      </x:c>
      <x:c r="Q88" s="34" t="n">
        <x:f>MAX(0,MIN(Q$8+1,'Fleet'!$O85)-MAX(Q$7,'Fleet'!$G85))</x:f>
        <x:v>365</x:v>
      </x:c>
      <x:c r="R88" s="34" t="n">
        <x:f>MAX(0,MIN(R$8+1,'Fleet'!$O85)-MAX(R$7,'Fleet'!$G85))</x:f>
        <x:v>365</x:v>
      </x:c>
      <x:c r="S88" s="34" t="n">
        <x:f>MAX(0,MIN(S$8+1,'Fleet'!$O85)-MAX(S$7,'Fleet'!$G85))</x:f>
        <x:v>366</x:v>
      </x:c>
      <x:c r="T88" s="34" t="n">
        <x:f>MAX(0,MIN(T$8+1,'Fleet'!$O85)-MAX(T$7,'Fleet'!$G85))</x:f>
        <x:v>365</x:v>
      </x:c>
      <x:c r="U88" s="34" t="n">
        <x:f>MAX(0,MIN(U$8+1,'Fleet'!$O85)-MAX(U$7,'Fleet'!$G85))</x:f>
        <x:v>365</x:v>
      </x:c>
      <x:c r="V88" s="34" t="n">
        <x:f>MAX(0,MIN(V$8+1,'Fleet'!$O85)-MAX(V$7,'Fleet'!$G85))</x:f>
        <x:v>365</x:v>
      </x:c>
      <x:c r="W88" s="34" t="n">
        <x:f>MAX(0,MIN(W$8+1,'Fleet'!$O85)-MAX(W$7,'Fleet'!$G85))</x:f>
        <x:v>366</x:v>
      </x:c>
      <x:c r="X88" s="34" t="n">
        <x:f>MAX(0,MIN(X$8+1,'Fleet'!$O85)-MAX(X$7,'Fleet'!$G85))</x:f>
        <x:v>365</x:v>
      </x:c>
      <x:c r="Y88" s="34" t="n">
        <x:f>MAX(0,MIN(Y$8+1,'Fleet'!$O85)-MAX(Y$7,'Fleet'!$G85))</x:f>
        <x:v>365</x:v>
      </x:c>
      <x:c r="Z88" s="34" t="n">
        <x:f>MAX(0,MIN(Z$8+1,'Fleet'!$O85)-MAX(Z$7,'Fleet'!$G85))</x:f>
        <x:v>365</x:v>
      </x:c>
      <x:c r="AA88" s="34" t="n">
        <x:f>MAX(0,MIN(AA$8+1,'Fleet'!$O85)-MAX(AA$7,'Fleet'!$G85))</x:f>
        <x:v>366</x:v>
      </x:c>
      <x:c r="AB88" s="34" t="n">
        <x:f>MAX(0,MIN(AB$8+1,'Fleet'!$O85)-MAX(AB$7,'Fleet'!$G85))</x:f>
        <x:v>365</x:v>
      </x:c>
      <x:c r="AC88" s="34" t="n">
        <x:f>MAX(0,MIN(AC$8+1,'Fleet'!$O85)-MAX(AC$7,'Fleet'!$G85))</x:f>
        <x:v>365</x:v>
      </x:c>
      <x:c r="AD88" s="34" t="n">
        <x:f>MAX(0,MIN(AD$8+1,'Fleet'!$O85)-MAX(AD$7,'Fleet'!$G85))</x:f>
        <x:v>365</x:v>
      </x:c>
      <x:c r="AE88" s="34" t="n">
        <x:f>MAX(0,MIN(AE$8+1,'Fleet'!$O85)-MAX(AE$7,'Fleet'!$G85))</x:f>
        <x:v>366</x:v>
      </x:c>
      <x:c r="AF88" s="34" t="n">
        <x:f>MAX(0,MIN(AF$8+1,'Fleet'!$O85)-MAX(AF$7,'Fleet'!$G85))</x:f>
        <x:v>273</x:v>
      </x:c>
      <x:c r="AG88" s="34" t="n">
        <x:f>MAX(0,MIN(AG$8+1,'Fleet'!$O85)-MAX(AG$7,'Fleet'!$G85))</x:f>
        <x:v>0</x:v>
      </x:c>
      <x:c r="AH88" s="34" t="n">
        <x:f>MAX(0,MIN(AH$8+1,'Fleet'!$O85)-MAX(AH$7,'Fleet'!$G85))</x:f>
        <x:v>0</x:v>
      </x:c>
      <x:c r="AI88" s="34" t="n">
        <x:f>MAX(0,MIN(AI$8+1,'Fleet'!$O85)-MAX(AI$7,'Fleet'!$G85))</x:f>
        <x:v>0</x:v>
      </x:c>
      <x:c r="AJ88" s="34" t="n">
        <x:f>MAX(0,MIN(AJ$8+1,'Fleet'!$O85)-MAX(AJ$7,'Fleet'!$G85))</x:f>
        <x:v>0</x:v>
      </x:c>
      <x:c r="AK88" s="34" t="n">
        <x:f>MAX(0,MIN(AK$8+1,'Fleet'!$O85)-MAX(AK$7,'Fleet'!$G85))</x:f>
        <x:v>0</x:v>
      </x:c>
      <x:c r="AL88" s="34" t="n">
        <x:f>MAX(0,MIN(AL$8+1,'Fleet'!$O85)-MAX(AL$7,'Fleet'!$G85))</x:f>
        <x:v>0</x:v>
      </x:c>
      <x:c r="AM88" s="34" t="n">
        <x:f>MAX(0,MIN(AM$8+1,'Fleet'!$O85)-MAX(AM$7,'Fleet'!$G85))</x:f>
        <x:v>0</x:v>
      </x:c>
      <x:c r="AN88" s="34" t="n">
        <x:f>MAX(0,MIN(AN$8+1,'Fleet'!$O85)-MAX(AN$7,'Fleet'!$G85))</x:f>
        <x:v>0</x:v>
      </x:c>
      <x:c r="AO88" s="34" t="n">
        <x:f>MAX(0,MIN(AO$8+1,'Fleet'!$O85)-MAX(AO$7,'Fleet'!$G85))</x:f>
        <x:v>0</x:v>
      </x:c>
      <x:c r="AP88" s="34" t="n">
        <x:f>MAX(0,MIN(AP$8+1,'Fleet'!$O85)-MAX(AP$7,'Fleet'!$G85))</x:f>
        <x:v>0</x:v>
      </x:c>
      <x:c r="AQ88" s="34" t="n">
        <x:f>MAX(0,MIN(AQ$8+1,'Fleet'!$O85)-MAX(AQ$7,'Fleet'!$G85))</x:f>
        <x:v>0</x:v>
      </x:c>
    </x:row>
    <x:row r="89" ht="21" customHeight="1">
      <x:c r="A89" s="2"/>
      <x:c r="B89" s="2"/>
      <x:c r="C89" s="5" t="str">
        <x:f>'Fleet'!C86</x:f>
        <x:v>Star Oslo</x:v>
      </x:c>
      <x:c r="D89" s="5" t="str">
        <x:f>'Fleet'!D86</x:f>
        <x:v>Ultramax</x:v>
      </x:c>
      <x:c r="E89" s="34" t="n">
        <x:f>MAX(0,MIN(E$8+1,'Fleet'!$O86)-MAX(E$7,'Fleet'!$G86))</x:f>
        <x:v>83</x:v>
      </x:c>
      <x:c r="F89" s="34" t="n">
        <x:f>MAX(0,MIN(F$8+1,'Fleet'!$O86)-MAX(F$7,'Fleet'!$G86))</x:f>
        <x:v>90</x:v>
      </x:c>
      <x:c r="G89" s="34" t="n">
        <x:f>MAX(0,MIN(G$8+1,'Fleet'!$O86)-MAX(G$7,'Fleet'!$G86))</x:f>
        <x:v>91</x:v>
      </x:c>
      <x:c r="H89" s="34" t="n">
        <x:f>MAX(0,MIN(H$8+1,'Fleet'!$O86)-MAX(H$7,'Fleet'!$G86))</x:f>
        <x:v>92</x:v>
      </x:c>
      <x:c r="I89" s="34" t="n">
        <x:f>MAX(0,MIN(I$8+1,'Fleet'!$O86)-MAX(I$7,'Fleet'!$G86))</x:f>
        <x:v>92</x:v>
      </x:c>
      <x:c r="J89" s="34" t="n">
        <x:f>MAX(0,MIN(J$8+1,'Fleet'!$O86)-MAX(J$7,'Fleet'!$G86))</x:f>
        <x:v>91</x:v>
      </x:c>
      <x:c r="K89" s="34" t="n">
        <x:f>MAX(0,MIN(K$8+1,'Fleet'!$O86)-MAX(K$7,'Fleet'!$G86))</x:f>
        <x:v>91</x:v>
      </x:c>
      <x:c r="L89" s="34" t="n">
        <x:f>MAX(0,MIN(L$8+1,'Fleet'!$O86)-MAX(L$7,'Fleet'!$G86))</x:f>
        <x:v>92</x:v>
      </x:c>
      <x:c r="M89" s="34" t="n">
        <x:f>MAX(0,MIN(M$8+1,'Fleet'!$O86)-MAX(M$7,'Fleet'!$G86))</x:f>
        <x:v>92</x:v>
      </x:c>
      <x:c r="N89" s="34" t="n">
        <x:f>MAX(0,MIN(N$8+1,'Fleet'!$O86)-MAX(N$7,'Fleet'!$G86))</x:f>
        <x:v>90</x:v>
      </x:c>
      <x:c r="O89" s="34" t="n">
        <x:f>MAX(0,MIN(O$8+1,'Fleet'!$O86)-MAX(O$7,'Fleet'!$G86))</x:f>
        <x:v>91</x:v>
      </x:c>
      <x:c r="P89" s="34" t="n">
        <x:f>MAX(0,MIN(P$8+1,'Fleet'!$O86)-MAX(P$7,'Fleet'!$G86))</x:f>
        <x:v>92</x:v>
      </x:c>
      <x:c r="Q89" s="34" t="n">
        <x:f>MAX(0,MIN(Q$8+1,'Fleet'!$O86)-MAX(Q$7,'Fleet'!$G86))</x:f>
        <x:v>365</x:v>
      </x:c>
      <x:c r="R89" s="34" t="n">
        <x:f>MAX(0,MIN(R$8+1,'Fleet'!$O86)-MAX(R$7,'Fleet'!$G86))</x:f>
        <x:v>365</x:v>
      </x:c>
      <x:c r="S89" s="34" t="n">
        <x:f>MAX(0,MIN(S$8+1,'Fleet'!$O86)-MAX(S$7,'Fleet'!$G86))</x:f>
        <x:v>366</x:v>
      </x:c>
      <x:c r="T89" s="34" t="n">
        <x:f>MAX(0,MIN(T$8+1,'Fleet'!$O86)-MAX(T$7,'Fleet'!$G86))</x:f>
        <x:v>365</x:v>
      </x:c>
      <x:c r="U89" s="34" t="n">
        <x:f>MAX(0,MIN(U$8+1,'Fleet'!$O86)-MAX(U$7,'Fleet'!$G86))</x:f>
        <x:v>365</x:v>
      </x:c>
      <x:c r="V89" s="34" t="n">
        <x:f>MAX(0,MIN(V$8+1,'Fleet'!$O86)-MAX(V$7,'Fleet'!$G86))</x:f>
        <x:v>365</x:v>
      </x:c>
      <x:c r="W89" s="34" t="n">
        <x:f>MAX(0,MIN(W$8+1,'Fleet'!$O86)-MAX(W$7,'Fleet'!$G86))</x:f>
        <x:v>366</x:v>
      </x:c>
      <x:c r="X89" s="34" t="n">
        <x:f>MAX(0,MIN(X$8+1,'Fleet'!$O86)-MAX(X$7,'Fleet'!$G86))</x:f>
        <x:v>365</x:v>
      </x:c>
      <x:c r="Y89" s="34" t="n">
        <x:f>MAX(0,MIN(Y$8+1,'Fleet'!$O86)-MAX(Y$7,'Fleet'!$G86))</x:f>
        <x:v>365</x:v>
      </x:c>
      <x:c r="Z89" s="34" t="n">
        <x:f>MAX(0,MIN(Z$8+1,'Fleet'!$O86)-MAX(Z$7,'Fleet'!$G86))</x:f>
        <x:v>365</x:v>
      </x:c>
      <x:c r="AA89" s="34" t="n">
        <x:f>MAX(0,MIN(AA$8+1,'Fleet'!$O86)-MAX(AA$7,'Fleet'!$G86))</x:f>
        <x:v>274</x:v>
      </x:c>
      <x:c r="AB89" s="34" t="n">
        <x:f>MAX(0,MIN(AB$8+1,'Fleet'!$O86)-MAX(AB$7,'Fleet'!$G86))</x:f>
        <x:v>0</x:v>
      </x:c>
      <x:c r="AC89" s="34" t="n">
        <x:f>MAX(0,MIN(AC$8+1,'Fleet'!$O86)-MAX(AC$7,'Fleet'!$G86))</x:f>
        <x:v>0</x:v>
      </x:c>
      <x:c r="AD89" s="34" t="n">
        <x:f>MAX(0,MIN(AD$8+1,'Fleet'!$O86)-MAX(AD$7,'Fleet'!$G86))</x:f>
        <x:v>0</x:v>
      </x:c>
      <x:c r="AE89" s="34" t="n">
        <x:f>MAX(0,MIN(AE$8+1,'Fleet'!$O86)-MAX(AE$7,'Fleet'!$G86))</x:f>
        <x:v>0</x:v>
      </x:c>
      <x:c r="AF89" s="34" t="n">
        <x:f>MAX(0,MIN(AF$8+1,'Fleet'!$O86)-MAX(AF$7,'Fleet'!$G86))</x:f>
        <x:v>0</x:v>
      </x:c>
      <x:c r="AG89" s="34" t="n">
        <x:f>MAX(0,MIN(AG$8+1,'Fleet'!$O86)-MAX(AG$7,'Fleet'!$G86))</x:f>
        <x:v>0</x:v>
      </x:c>
      <x:c r="AH89" s="34" t="n">
        <x:f>MAX(0,MIN(AH$8+1,'Fleet'!$O86)-MAX(AH$7,'Fleet'!$G86))</x:f>
        <x:v>0</x:v>
      </x:c>
      <x:c r="AI89" s="34" t="n">
        <x:f>MAX(0,MIN(AI$8+1,'Fleet'!$O86)-MAX(AI$7,'Fleet'!$G86))</x:f>
        <x:v>0</x:v>
      </x:c>
      <x:c r="AJ89" s="34" t="n">
        <x:f>MAX(0,MIN(AJ$8+1,'Fleet'!$O86)-MAX(AJ$7,'Fleet'!$G86))</x:f>
        <x:v>0</x:v>
      </x:c>
      <x:c r="AK89" s="34" t="n">
        <x:f>MAX(0,MIN(AK$8+1,'Fleet'!$O86)-MAX(AK$7,'Fleet'!$G86))</x:f>
        <x:v>0</x:v>
      </x:c>
      <x:c r="AL89" s="34" t="n">
        <x:f>MAX(0,MIN(AL$8+1,'Fleet'!$O86)-MAX(AL$7,'Fleet'!$G86))</x:f>
        <x:v>0</x:v>
      </x:c>
      <x:c r="AM89" s="34" t="n">
        <x:f>MAX(0,MIN(AM$8+1,'Fleet'!$O86)-MAX(AM$7,'Fleet'!$G86))</x:f>
        <x:v>0</x:v>
      </x:c>
      <x:c r="AN89" s="34" t="n">
        <x:f>MAX(0,MIN(AN$8+1,'Fleet'!$O86)-MAX(AN$7,'Fleet'!$G86))</x:f>
        <x:v>0</x:v>
      </x:c>
      <x:c r="AO89" s="34" t="n">
        <x:f>MAX(0,MIN(AO$8+1,'Fleet'!$O86)-MAX(AO$7,'Fleet'!$G86))</x:f>
        <x:v>0</x:v>
      </x:c>
      <x:c r="AP89" s="34" t="n">
        <x:f>MAX(0,MIN(AP$8+1,'Fleet'!$O86)-MAX(AP$7,'Fleet'!$G86))</x:f>
        <x:v>0</x:v>
      </x:c>
      <x:c r="AQ89" s="34" t="n">
        <x:f>MAX(0,MIN(AQ$8+1,'Fleet'!$O86)-MAX(AQ$7,'Fleet'!$G86))</x:f>
        <x:v>0</x:v>
      </x:c>
    </x:row>
    <x:row r="90" ht="21" customHeight="1">
      <x:c r="A90" s="2"/>
      <x:c r="B90" s="2"/>
      <x:c r="C90" s="5" t="str">
        <x:f>'Fleet'!C87</x:f>
        <x:v>Star Rotterdam</x:v>
      </x:c>
      <x:c r="D90" s="5" t="str">
        <x:f>'Fleet'!D87</x:f>
        <x:v>Ultramax</x:v>
      </x:c>
      <x:c r="E90" s="34" t="n">
        <x:f>MAX(0,MIN(E$8+1,'Fleet'!$O87)-MAX(E$7,'Fleet'!$G87))</x:f>
        <x:v>83</x:v>
      </x:c>
      <x:c r="F90" s="34" t="n">
        <x:f>MAX(0,MIN(F$8+1,'Fleet'!$O87)-MAX(F$7,'Fleet'!$G87))</x:f>
        <x:v>90</x:v>
      </x:c>
      <x:c r="G90" s="34" t="n">
        <x:f>MAX(0,MIN(G$8+1,'Fleet'!$O87)-MAX(G$7,'Fleet'!$G87))</x:f>
        <x:v>91</x:v>
      </x:c>
      <x:c r="H90" s="34" t="n">
        <x:f>MAX(0,MIN(H$8+1,'Fleet'!$O87)-MAX(H$7,'Fleet'!$G87))</x:f>
        <x:v>92</x:v>
      </x:c>
      <x:c r="I90" s="34" t="n">
        <x:f>MAX(0,MIN(I$8+1,'Fleet'!$O87)-MAX(I$7,'Fleet'!$G87))</x:f>
        <x:v>92</x:v>
      </x:c>
      <x:c r="J90" s="34" t="n">
        <x:f>MAX(0,MIN(J$8+1,'Fleet'!$O87)-MAX(J$7,'Fleet'!$G87))</x:f>
        <x:v>91</x:v>
      </x:c>
      <x:c r="K90" s="34" t="n">
        <x:f>MAX(0,MIN(K$8+1,'Fleet'!$O87)-MAX(K$7,'Fleet'!$G87))</x:f>
        <x:v>91</x:v>
      </x:c>
      <x:c r="L90" s="34" t="n">
        <x:f>MAX(0,MIN(L$8+1,'Fleet'!$O87)-MAX(L$7,'Fleet'!$G87))</x:f>
        <x:v>92</x:v>
      </x:c>
      <x:c r="M90" s="34" t="n">
        <x:f>MAX(0,MIN(M$8+1,'Fleet'!$O87)-MAX(M$7,'Fleet'!$G87))</x:f>
        <x:v>92</x:v>
      </x:c>
      <x:c r="N90" s="34" t="n">
        <x:f>MAX(0,MIN(N$8+1,'Fleet'!$O87)-MAX(N$7,'Fleet'!$G87))</x:f>
        <x:v>90</x:v>
      </x:c>
      <x:c r="O90" s="34" t="n">
        <x:f>MAX(0,MIN(O$8+1,'Fleet'!$O87)-MAX(O$7,'Fleet'!$G87))</x:f>
        <x:v>91</x:v>
      </x:c>
      <x:c r="P90" s="34" t="n">
        <x:f>MAX(0,MIN(P$8+1,'Fleet'!$O87)-MAX(P$7,'Fleet'!$G87))</x:f>
        <x:v>92</x:v>
      </x:c>
      <x:c r="Q90" s="34" t="n">
        <x:f>MAX(0,MIN(Q$8+1,'Fleet'!$O87)-MAX(Q$7,'Fleet'!$G87))</x:f>
        <x:v>365</x:v>
      </x:c>
      <x:c r="R90" s="34" t="n">
        <x:f>MAX(0,MIN(R$8+1,'Fleet'!$O87)-MAX(R$7,'Fleet'!$G87))</x:f>
        <x:v>365</x:v>
      </x:c>
      <x:c r="S90" s="34" t="n">
        <x:f>MAX(0,MIN(S$8+1,'Fleet'!$O87)-MAX(S$7,'Fleet'!$G87))</x:f>
        <x:v>366</x:v>
      </x:c>
      <x:c r="T90" s="34" t="n">
        <x:f>MAX(0,MIN(T$8+1,'Fleet'!$O87)-MAX(T$7,'Fleet'!$G87))</x:f>
        <x:v>365</x:v>
      </x:c>
      <x:c r="U90" s="34" t="n">
        <x:f>MAX(0,MIN(U$8+1,'Fleet'!$O87)-MAX(U$7,'Fleet'!$G87))</x:f>
        <x:v>365</x:v>
      </x:c>
      <x:c r="V90" s="34" t="n">
        <x:f>MAX(0,MIN(V$8+1,'Fleet'!$O87)-MAX(V$7,'Fleet'!$G87))</x:f>
        <x:v>365</x:v>
      </x:c>
      <x:c r="W90" s="34" t="n">
        <x:f>MAX(0,MIN(W$8+1,'Fleet'!$O87)-MAX(W$7,'Fleet'!$G87))</x:f>
        <x:v>366</x:v>
      </x:c>
      <x:c r="X90" s="34" t="n">
        <x:f>MAX(0,MIN(X$8+1,'Fleet'!$O87)-MAX(X$7,'Fleet'!$G87))</x:f>
        <x:v>365</x:v>
      </x:c>
      <x:c r="Y90" s="34" t="n">
        <x:f>MAX(0,MIN(Y$8+1,'Fleet'!$O87)-MAX(Y$7,'Fleet'!$G87))</x:f>
        <x:v>365</x:v>
      </x:c>
      <x:c r="Z90" s="34" t="n">
        <x:f>MAX(0,MIN(Z$8+1,'Fleet'!$O87)-MAX(Z$7,'Fleet'!$G87))</x:f>
        <x:v>365</x:v>
      </x:c>
      <x:c r="AA90" s="34" t="n">
        <x:f>MAX(0,MIN(AA$8+1,'Fleet'!$O87)-MAX(AA$7,'Fleet'!$G87))</x:f>
        <x:v>366</x:v>
      </x:c>
      <x:c r="AB90" s="34" t="n">
        <x:f>MAX(0,MIN(AB$8+1,'Fleet'!$O87)-MAX(AB$7,'Fleet'!$G87))</x:f>
        <x:v>365</x:v>
      </x:c>
      <x:c r="AC90" s="34" t="n">
        <x:f>MAX(0,MIN(AC$8+1,'Fleet'!$O87)-MAX(AC$7,'Fleet'!$G87))</x:f>
        <x:v>273</x:v>
      </x:c>
      <x:c r="AD90" s="34" t="n">
        <x:f>MAX(0,MIN(AD$8+1,'Fleet'!$O87)-MAX(AD$7,'Fleet'!$G87))</x:f>
        <x:v>0</x:v>
      </x:c>
      <x:c r="AE90" s="34" t="n">
        <x:f>MAX(0,MIN(AE$8+1,'Fleet'!$O87)-MAX(AE$7,'Fleet'!$G87))</x:f>
        <x:v>0</x:v>
      </x:c>
      <x:c r="AF90" s="34" t="n">
        <x:f>MAX(0,MIN(AF$8+1,'Fleet'!$O87)-MAX(AF$7,'Fleet'!$G87))</x:f>
        <x:v>0</x:v>
      </x:c>
      <x:c r="AG90" s="34" t="n">
        <x:f>MAX(0,MIN(AG$8+1,'Fleet'!$O87)-MAX(AG$7,'Fleet'!$G87))</x:f>
        <x:v>0</x:v>
      </x:c>
      <x:c r="AH90" s="34" t="n">
        <x:f>MAX(0,MIN(AH$8+1,'Fleet'!$O87)-MAX(AH$7,'Fleet'!$G87))</x:f>
        <x:v>0</x:v>
      </x:c>
      <x:c r="AI90" s="34" t="n">
        <x:f>MAX(0,MIN(AI$8+1,'Fleet'!$O87)-MAX(AI$7,'Fleet'!$G87))</x:f>
        <x:v>0</x:v>
      </x:c>
      <x:c r="AJ90" s="34" t="n">
        <x:f>MAX(0,MIN(AJ$8+1,'Fleet'!$O87)-MAX(AJ$7,'Fleet'!$G87))</x:f>
        <x:v>0</x:v>
      </x:c>
      <x:c r="AK90" s="34" t="n">
        <x:f>MAX(0,MIN(AK$8+1,'Fleet'!$O87)-MAX(AK$7,'Fleet'!$G87))</x:f>
        <x:v>0</x:v>
      </x:c>
      <x:c r="AL90" s="34" t="n">
        <x:f>MAX(0,MIN(AL$8+1,'Fleet'!$O87)-MAX(AL$7,'Fleet'!$G87))</x:f>
        <x:v>0</x:v>
      </x:c>
      <x:c r="AM90" s="34" t="n">
        <x:f>MAX(0,MIN(AM$8+1,'Fleet'!$O87)-MAX(AM$7,'Fleet'!$G87))</x:f>
        <x:v>0</x:v>
      </x:c>
      <x:c r="AN90" s="34" t="n">
        <x:f>MAX(0,MIN(AN$8+1,'Fleet'!$O87)-MAX(AN$7,'Fleet'!$G87))</x:f>
        <x:v>0</x:v>
      </x:c>
      <x:c r="AO90" s="34" t="n">
        <x:f>MAX(0,MIN(AO$8+1,'Fleet'!$O87)-MAX(AO$7,'Fleet'!$G87))</x:f>
        <x:v>0</x:v>
      </x:c>
      <x:c r="AP90" s="34" t="n">
        <x:f>MAX(0,MIN(AP$8+1,'Fleet'!$O87)-MAX(AP$7,'Fleet'!$G87))</x:f>
        <x:v>0</x:v>
      </x:c>
      <x:c r="AQ90" s="34" t="n">
        <x:f>MAX(0,MIN(AQ$8+1,'Fleet'!$O87)-MAX(AQ$7,'Fleet'!$G87))</x:f>
        <x:v>0</x:v>
      </x:c>
    </x:row>
    <x:row r="91" ht="21" customHeight="1">
      <x:c r="A91" s="2"/>
      <x:c r="B91" s="2"/>
      <x:c r="C91" s="5" t="str">
        <x:f>'Fleet'!C88</x:f>
        <x:v>Star Halifax</x:v>
      </x:c>
      <x:c r="D91" s="5" t="str">
        <x:f>'Fleet'!D88</x:f>
        <x:v>Ultramax</x:v>
      </x:c>
      <x:c r="E91" s="34" t="n">
        <x:f>MAX(0,MIN(E$8+1,'Fleet'!$O88)-MAX(E$7,'Fleet'!$G88))</x:f>
        <x:v>83</x:v>
      </x:c>
      <x:c r="F91" s="34" t="n">
        <x:f>MAX(0,MIN(F$8+1,'Fleet'!$O88)-MAX(F$7,'Fleet'!$G88))</x:f>
        <x:v>90</x:v>
      </x:c>
      <x:c r="G91" s="34" t="n">
        <x:f>MAX(0,MIN(G$8+1,'Fleet'!$O88)-MAX(G$7,'Fleet'!$G88))</x:f>
        <x:v>91</x:v>
      </x:c>
      <x:c r="H91" s="34" t="n">
        <x:f>MAX(0,MIN(H$8+1,'Fleet'!$O88)-MAX(H$7,'Fleet'!$G88))</x:f>
        <x:v>92</x:v>
      </x:c>
      <x:c r="I91" s="34" t="n">
        <x:f>MAX(0,MIN(I$8+1,'Fleet'!$O88)-MAX(I$7,'Fleet'!$G88))</x:f>
        <x:v>92</x:v>
      </x:c>
      <x:c r="J91" s="34" t="n">
        <x:f>MAX(0,MIN(J$8+1,'Fleet'!$O88)-MAX(J$7,'Fleet'!$G88))</x:f>
        <x:v>91</x:v>
      </x:c>
      <x:c r="K91" s="34" t="n">
        <x:f>MAX(0,MIN(K$8+1,'Fleet'!$O88)-MAX(K$7,'Fleet'!$G88))</x:f>
        <x:v>91</x:v>
      </x:c>
      <x:c r="L91" s="34" t="n">
        <x:f>MAX(0,MIN(L$8+1,'Fleet'!$O88)-MAX(L$7,'Fleet'!$G88))</x:f>
        <x:v>92</x:v>
      </x:c>
      <x:c r="M91" s="34" t="n">
        <x:f>MAX(0,MIN(M$8+1,'Fleet'!$O88)-MAX(M$7,'Fleet'!$G88))</x:f>
        <x:v>92</x:v>
      </x:c>
      <x:c r="N91" s="34" t="n">
        <x:f>MAX(0,MIN(N$8+1,'Fleet'!$O88)-MAX(N$7,'Fleet'!$G88))</x:f>
        <x:v>90</x:v>
      </x:c>
      <x:c r="O91" s="34" t="n">
        <x:f>MAX(0,MIN(O$8+1,'Fleet'!$O88)-MAX(O$7,'Fleet'!$G88))</x:f>
        <x:v>91</x:v>
      </x:c>
      <x:c r="P91" s="34" t="n">
        <x:f>MAX(0,MIN(P$8+1,'Fleet'!$O88)-MAX(P$7,'Fleet'!$G88))</x:f>
        <x:v>92</x:v>
      </x:c>
      <x:c r="Q91" s="34" t="n">
        <x:f>MAX(0,MIN(Q$8+1,'Fleet'!$O88)-MAX(Q$7,'Fleet'!$G88))</x:f>
        <x:v>365</x:v>
      </x:c>
      <x:c r="R91" s="34" t="n">
        <x:f>MAX(0,MIN(R$8+1,'Fleet'!$O88)-MAX(R$7,'Fleet'!$G88))</x:f>
        <x:v>365</x:v>
      </x:c>
      <x:c r="S91" s="34" t="n">
        <x:f>MAX(0,MIN(S$8+1,'Fleet'!$O88)-MAX(S$7,'Fleet'!$G88))</x:f>
        <x:v>366</x:v>
      </x:c>
      <x:c r="T91" s="34" t="n">
        <x:f>MAX(0,MIN(T$8+1,'Fleet'!$O88)-MAX(T$7,'Fleet'!$G88))</x:f>
        <x:v>365</x:v>
      </x:c>
      <x:c r="U91" s="34" t="n">
        <x:f>MAX(0,MIN(U$8+1,'Fleet'!$O88)-MAX(U$7,'Fleet'!$G88))</x:f>
        <x:v>365</x:v>
      </x:c>
      <x:c r="V91" s="34" t="n">
        <x:f>MAX(0,MIN(V$8+1,'Fleet'!$O88)-MAX(V$7,'Fleet'!$G88))</x:f>
        <x:v>365</x:v>
      </x:c>
      <x:c r="W91" s="34" t="n">
        <x:f>MAX(0,MIN(W$8+1,'Fleet'!$O88)-MAX(W$7,'Fleet'!$G88))</x:f>
        <x:v>366</x:v>
      </x:c>
      <x:c r="X91" s="34" t="n">
        <x:f>MAX(0,MIN(X$8+1,'Fleet'!$O88)-MAX(X$7,'Fleet'!$G88))</x:f>
        <x:v>365</x:v>
      </x:c>
      <x:c r="Y91" s="34" t="n">
        <x:f>MAX(0,MIN(Y$8+1,'Fleet'!$O88)-MAX(Y$7,'Fleet'!$G88))</x:f>
        <x:v>365</x:v>
      </x:c>
      <x:c r="Z91" s="34" t="n">
        <x:f>MAX(0,MIN(Z$8+1,'Fleet'!$O88)-MAX(Z$7,'Fleet'!$G88))</x:f>
        <x:v>365</x:v>
      </x:c>
      <x:c r="AA91" s="34" t="n">
        <x:f>MAX(0,MIN(AA$8+1,'Fleet'!$O88)-MAX(AA$7,'Fleet'!$G88))</x:f>
        <x:v>366</x:v>
      </x:c>
      <x:c r="AB91" s="34" t="n">
        <x:f>MAX(0,MIN(AB$8+1,'Fleet'!$O88)-MAX(AB$7,'Fleet'!$G88))</x:f>
        <x:v>365</x:v>
      </x:c>
      <x:c r="AC91" s="34" t="n">
        <x:f>MAX(0,MIN(AC$8+1,'Fleet'!$O88)-MAX(AC$7,'Fleet'!$G88))</x:f>
        <x:v>365</x:v>
      </x:c>
      <x:c r="AD91" s="34" t="n">
        <x:f>MAX(0,MIN(AD$8+1,'Fleet'!$O88)-MAX(AD$7,'Fleet'!$G88))</x:f>
        <x:v>365</x:v>
      </x:c>
      <x:c r="AE91" s="34" t="n">
        <x:f>MAX(0,MIN(AE$8+1,'Fleet'!$O88)-MAX(AE$7,'Fleet'!$G88))</x:f>
        <x:v>366</x:v>
      </x:c>
      <x:c r="AF91" s="34" t="n">
        <x:f>MAX(0,MIN(AF$8+1,'Fleet'!$O88)-MAX(AF$7,'Fleet'!$G88))</x:f>
        <x:v>273</x:v>
      </x:c>
      <x:c r="AG91" s="34" t="n">
        <x:f>MAX(0,MIN(AG$8+1,'Fleet'!$O88)-MAX(AG$7,'Fleet'!$G88))</x:f>
        <x:v>0</x:v>
      </x:c>
      <x:c r="AH91" s="34" t="n">
        <x:f>MAX(0,MIN(AH$8+1,'Fleet'!$O88)-MAX(AH$7,'Fleet'!$G88))</x:f>
        <x:v>0</x:v>
      </x:c>
      <x:c r="AI91" s="34" t="n">
        <x:f>MAX(0,MIN(AI$8+1,'Fleet'!$O88)-MAX(AI$7,'Fleet'!$G88))</x:f>
        <x:v>0</x:v>
      </x:c>
      <x:c r="AJ91" s="34" t="n">
        <x:f>MAX(0,MIN(AJ$8+1,'Fleet'!$O88)-MAX(AJ$7,'Fleet'!$G88))</x:f>
        <x:v>0</x:v>
      </x:c>
      <x:c r="AK91" s="34" t="n">
        <x:f>MAX(0,MIN(AK$8+1,'Fleet'!$O88)-MAX(AK$7,'Fleet'!$G88))</x:f>
        <x:v>0</x:v>
      </x:c>
      <x:c r="AL91" s="34" t="n">
        <x:f>MAX(0,MIN(AL$8+1,'Fleet'!$O88)-MAX(AL$7,'Fleet'!$G88))</x:f>
        <x:v>0</x:v>
      </x:c>
      <x:c r="AM91" s="34" t="n">
        <x:f>MAX(0,MIN(AM$8+1,'Fleet'!$O88)-MAX(AM$7,'Fleet'!$G88))</x:f>
        <x:v>0</x:v>
      </x:c>
      <x:c r="AN91" s="34" t="n">
        <x:f>MAX(0,MIN(AN$8+1,'Fleet'!$O88)-MAX(AN$7,'Fleet'!$G88))</x:f>
        <x:v>0</x:v>
      </x:c>
      <x:c r="AO91" s="34" t="n">
        <x:f>MAX(0,MIN(AO$8+1,'Fleet'!$O88)-MAX(AO$7,'Fleet'!$G88))</x:f>
        <x:v>0</x:v>
      </x:c>
      <x:c r="AP91" s="34" t="n">
        <x:f>MAX(0,MIN(AP$8+1,'Fleet'!$O88)-MAX(AP$7,'Fleet'!$G88))</x:f>
        <x:v>0</x:v>
      </x:c>
      <x:c r="AQ91" s="34" t="n">
        <x:f>MAX(0,MIN(AQ$8+1,'Fleet'!$O88)-MAX(AQ$7,'Fleet'!$G88))</x:f>
        <x:v>0</x:v>
      </x:c>
    </x:row>
    <x:row r="92" ht="21" customHeight="1">
      <x:c r="A92" s="2"/>
      <x:c r="B92" s="2"/>
      <x:c r="C92" s="5" t="str">
        <x:f>'Fleet'!C89</x:f>
        <x:v>Star Helsinki</x:v>
      </x:c>
      <x:c r="D92" s="5" t="str">
        <x:f>'Fleet'!D89</x:f>
        <x:v>Ultramax</x:v>
      </x:c>
      <x:c r="E92" s="34" t="n">
        <x:f>MAX(0,MIN(E$8+1,'Fleet'!$O89)-MAX(E$7,'Fleet'!$G89))</x:f>
        <x:v>83</x:v>
      </x:c>
      <x:c r="F92" s="34" t="n">
        <x:f>MAX(0,MIN(F$8+1,'Fleet'!$O89)-MAX(F$7,'Fleet'!$G89))</x:f>
        <x:v>90</x:v>
      </x:c>
      <x:c r="G92" s="34" t="n">
        <x:f>MAX(0,MIN(G$8+1,'Fleet'!$O89)-MAX(G$7,'Fleet'!$G89))</x:f>
        <x:v>91</x:v>
      </x:c>
      <x:c r="H92" s="34" t="n">
        <x:f>MAX(0,MIN(H$8+1,'Fleet'!$O89)-MAX(H$7,'Fleet'!$G89))</x:f>
        <x:v>92</x:v>
      </x:c>
      <x:c r="I92" s="34" t="n">
        <x:f>MAX(0,MIN(I$8+1,'Fleet'!$O89)-MAX(I$7,'Fleet'!$G89))</x:f>
        <x:v>92</x:v>
      </x:c>
      <x:c r="J92" s="34" t="n">
        <x:f>MAX(0,MIN(J$8+1,'Fleet'!$O89)-MAX(J$7,'Fleet'!$G89))</x:f>
        <x:v>91</x:v>
      </x:c>
      <x:c r="K92" s="34" t="n">
        <x:f>MAX(0,MIN(K$8+1,'Fleet'!$O89)-MAX(K$7,'Fleet'!$G89))</x:f>
        <x:v>91</x:v>
      </x:c>
      <x:c r="L92" s="34" t="n">
        <x:f>MAX(0,MIN(L$8+1,'Fleet'!$O89)-MAX(L$7,'Fleet'!$G89))</x:f>
        <x:v>92</x:v>
      </x:c>
      <x:c r="M92" s="34" t="n">
        <x:f>MAX(0,MIN(M$8+1,'Fleet'!$O89)-MAX(M$7,'Fleet'!$G89))</x:f>
        <x:v>92</x:v>
      </x:c>
      <x:c r="N92" s="34" t="n">
        <x:f>MAX(0,MIN(N$8+1,'Fleet'!$O89)-MAX(N$7,'Fleet'!$G89))</x:f>
        <x:v>90</x:v>
      </x:c>
      <x:c r="O92" s="34" t="n">
        <x:f>MAX(0,MIN(O$8+1,'Fleet'!$O89)-MAX(O$7,'Fleet'!$G89))</x:f>
        <x:v>91</x:v>
      </x:c>
      <x:c r="P92" s="34" t="n">
        <x:f>MAX(0,MIN(P$8+1,'Fleet'!$O89)-MAX(P$7,'Fleet'!$G89))</x:f>
        <x:v>92</x:v>
      </x:c>
      <x:c r="Q92" s="34" t="n">
        <x:f>MAX(0,MIN(Q$8+1,'Fleet'!$O89)-MAX(Q$7,'Fleet'!$G89))</x:f>
        <x:v>365</x:v>
      </x:c>
      <x:c r="R92" s="34" t="n">
        <x:f>MAX(0,MIN(R$8+1,'Fleet'!$O89)-MAX(R$7,'Fleet'!$G89))</x:f>
        <x:v>365</x:v>
      </x:c>
      <x:c r="S92" s="34" t="n">
        <x:f>MAX(0,MIN(S$8+1,'Fleet'!$O89)-MAX(S$7,'Fleet'!$G89))</x:f>
        <x:v>366</x:v>
      </x:c>
      <x:c r="T92" s="34" t="n">
        <x:f>MAX(0,MIN(T$8+1,'Fleet'!$O89)-MAX(T$7,'Fleet'!$G89))</x:f>
        <x:v>365</x:v>
      </x:c>
      <x:c r="U92" s="34" t="n">
        <x:f>MAX(0,MIN(U$8+1,'Fleet'!$O89)-MAX(U$7,'Fleet'!$G89))</x:f>
        <x:v>365</x:v>
      </x:c>
      <x:c r="V92" s="34" t="n">
        <x:f>MAX(0,MIN(V$8+1,'Fleet'!$O89)-MAX(V$7,'Fleet'!$G89))</x:f>
        <x:v>365</x:v>
      </x:c>
      <x:c r="W92" s="34" t="n">
        <x:f>MAX(0,MIN(W$8+1,'Fleet'!$O89)-MAX(W$7,'Fleet'!$G89))</x:f>
        <x:v>366</x:v>
      </x:c>
      <x:c r="X92" s="34" t="n">
        <x:f>MAX(0,MIN(X$8+1,'Fleet'!$O89)-MAX(X$7,'Fleet'!$G89))</x:f>
        <x:v>365</x:v>
      </x:c>
      <x:c r="Y92" s="34" t="n">
        <x:f>MAX(0,MIN(Y$8+1,'Fleet'!$O89)-MAX(Y$7,'Fleet'!$G89))</x:f>
        <x:v>365</x:v>
      </x:c>
      <x:c r="Z92" s="34" t="n">
        <x:f>MAX(0,MIN(Z$8+1,'Fleet'!$O89)-MAX(Z$7,'Fleet'!$G89))</x:f>
        <x:v>365</x:v>
      </x:c>
      <x:c r="AA92" s="34" t="n">
        <x:f>MAX(0,MIN(AA$8+1,'Fleet'!$O89)-MAX(AA$7,'Fleet'!$G89))</x:f>
        <x:v>274</x:v>
      </x:c>
      <x:c r="AB92" s="34" t="n">
        <x:f>MAX(0,MIN(AB$8+1,'Fleet'!$O89)-MAX(AB$7,'Fleet'!$G89))</x:f>
        <x:v>0</x:v>
      </x:c>
      <x:c r="AC92" s="34" t="n">
        <x:f>MAX(0,MIN(AC$8+1,'Fleet'!$O89)-MAX(AC$7,'Fleet'!$G89))</x:f>
        <x:v>0</x:v>
      </x:c>
      <x:c r="AD92" s="34" t="n">
        <x:f>MAX(0,MIN(AD$8+1,'Fleet'!$O89)-MAX(AD$7,'Fleet'!$G89))</x:f>
        <x:v>0</x:v>
      </x:c>
      <x:c r="AE92" s="34" t="n">
        <x:f>MAX(0,MIN(AE$8+1,'Fleet'!$O89)-MAX(AE$7,'Fleet'!$G89))</x:f>
        <x:v>0</x:v>
      </x:c>
      <x:c r="AF92" s="34" t="n">
        <x:f>MAX(0,MIN(AF$8+1,'Fleet'!$O89)-MAX(AF$7,'Fleet'!$G89))</x:f>
        <x:v>0</x:v>
      </x:c>
      <x:c r="AG92" s="34" t="n">
        <x:f>MAX(0,MIN(AG$8+1,'Fleet'!$O89)-MAX(AG$7,'Fleet'!$G89))</x:f>
        <x:v>0</x:v>
      </x:c>
      <x:c r="AH92" s="34" t="n">
        <x:f>MAX(0,MIN(AH$8+1,'Fleet'!$O89)-MAX(AH$7,'Fleet'!$G89))</x:f>
        <x:v>0</x:v>
      </x:c>
      <x:c r="AI92" s="34" t="n">
        <x:f>MAX(0,MIN(AI$8+1,'Fleet'!$O89)-MAX(AI$7,'Fleet'!$G89))</x:f>
        <x:v>0</x:v>
      </x:c>
      <x:c r="AJ92" s="34" t="n">
        <x:f>MAX(0,MIN(AJ$8+1,'Fleet'!$O89)-MAX(AJ$7,'Fleet'!$G89))</x:f>
        <x:v>0</x:v>
      </x:c>
      <x:c r="AK92" s="34" t="n">
        <x:f>MAX(0,MIN(AK$8+1,'Fleet'!$O89)-MAX(AK$7,'Fleet'!$G89))</x:f>
        <x:v>0</x:v>
      </x:c>
      <x:c r="AL92" s="34" t="n">
        <x:f>MAX(0,MIN(AL$8+1,'Fleet'!$O89)-MAX(AL$7,'Fleet'!$G89))</x:f>
        <x:v>0</x:v>
      </x:c>
      <x:c r="AM92" s="34" t="n">
        <x:f>MAX(0,MIN(AM$8+1,'Fleet'!$O89)-MAX(AM$7,'Fleet'!$G89))</x:f>
        <x:v>0</x:v>
      </x:c>
      <x:c r="AN92" s="34" t="n">
        <x:f>MAX(0,MIN(AN$8+1,'Fleet'!$O89)-MAX(AN$7,'Fleet'!$G89))</x:f>
        <x:v>0</x:v>
      </x:c>
      <x:c r="AO92" s="34" t="n">
        <x:f>MAX(0,MIN(AO$8+1,'Fleet'!$O89)-MAX(AO$7,'Fleet'!$G89))</x:f>
        <x:v>0</x:v>
      </x:c>
      <x:c r="AP92" s="34" t="n">
        <x:f>MAX(0,MIN(AP$8+1,'Fleet'!$O89)-MAX(AP$7,'Fleet'!$G89))</x:f>
        <x:v>0</x:v>
      </x:c>
      <x:c r="AQ92" s="34" t="n">
        <x:f>MAX(0,MIN(AQ$8+1,'Fleet'!$O89)-MAX(AQ$7,'Fleet'!$G89))</x:f>
        <x:v>0</x:v>
      </x:c>
    </x:row>
    <x:row r="93" ht="21" customHeight="1">
      <x:c r="A93" s="2"/>
      <x:c r="B93" s="2"/>
      <x:c r="C93" s="5" t="str">
        <x:f>'Fleet'!C90</x:f>
        <x:v>Star Gibraltar</x:v>
      </x:c>
      <x:c r="D93" s="5" t="str">
        <x:f>'Fleet'!D90</x:f>
        <x:v>Ultramax</x:v>
      </x:c>
      <x:c r="E93" s="34" t="n">
        <x:f>MAX(0,MIN(E$8+1,'Fleet'!$O90)-MAX(E$7,'Fleet'!$G90))</x:f>
        <x:v>83</x:v>
      </x:c>
      <x:c r="F93" s="34" t="n">
        <x:f>MAX(0,MIN(F$8+1,'Fleet'!$O90)-MAX(F$7,'Fleet'!$G90))</x:f>
        <x:v>90</x:v>
      </x:c>
      <x:c r="G93" s="34" t="n">
        <x:f>MAX(0,MIN(G$8+1,'Fleet'!$O90)-MAX(G$7,'Fleet'!$G90))</x:f>
        <x:v>91</x:v>
      </x:c>
      <x:c r="H93" s="34" t="n">
        <x:f>MAX(0,MIN(H$8+1,'Fleet'!$O90)-MAX(H$7,'Fleet'!$G90))</x:f>
        <x:v>92</x:v>
      </x:c>
      <x:c r="I93" s="34" t="n">
        <x:f>MAX(0,MIN(I$8+1,'Fleet'!$O90)-MAX(I$7,'Fleet'!$G90))</x:f>
        <x:v>92</x:v>
      </x:c>
      <x:c r="J93" s="34" t="n">
        <x:f>MAX(0,MIN(J$8+1,'Fleet'!$O90)-MAX(J$7,'Fleet'!$G90))</x:f>
        <x:v>91</x:v>
      </x:c>
      <x:c r="K93" s="34" t="n">
        <x:f>MAX(0,MIN(K$8+1,'Fleet'!$O90)-MAX(K$7,'Fleet'!$G90))</x:f>
        <x:v>91</x:v>
      </x:c>
      <x:c r="L93" s="34" t="n">
        <x:f>MAX(0,MIN(L$8+1,'Fleet'!$O90)-MAX(L$7,'Fleet'!$G90))</x:f>
        <x:v>92</x:v>
      </x:c>
      <x:c r="M93" s="34" t="n">
        <x:f>MAX(0,MIN(M$8+1,'Fleet'!$O90)-MAX(M$7,'Fleet'!$G90))</x:f>
        <x:v>92</x:v>
      </x:c>
      <x:c r="N93" s="34" t="n">
        <x:f>MAX(0,MIN(N$8+1,'Fleet'!$O90)-MAX(N$7,'Fleet'!$G90))</x:f>
        <x:v>90</x:v>
      </x:c>
      <x:c r="O93" s="34" t="n">
        <x:f>MAX(0,MIN(O$8+1,'Fleet'!$O90)-MAX(O$7,'Fleet'!$G90))</x:f>
        <x:v>91</x:v>
      </x:c>
      <x:c r="P93" s="34" t="n">
        <x:f>MAX(0,MIN(P$8+1,'Fleet'!$O90)-MAX(P$7,'Fleet'!$G90))</x:f>
        <x:v>92</x:v>
      </x:c>
      <x:c r="Q93" s="34" t="n">
        <x:f>MAX(0,MIN(Q$8+1,'Fleet'!$O90)-MAX(Q$7,'Fleet'!$G90))</x:f>
        <x:v>365</x:v>
      </x:c>
      <x:c r="R93" s="34" t="n">
        <x:f>MAX(0,MIN(R$8+1,'Fleet'!$O90)-MAX(R$7,'Fleet'!$G90))</x:f>
        <x:v>365</x:v>
      </x:c>
      <x:c r="S93" s="34" t="n">
        <x:f>MAX(0,MIN(S$8+1,'Fleet'!$O90)-MAX(S$7,'Fleet'!$G90))</x:f>
        <x:v>366</x:v>
      </x:c>
      <x:c r="T93" s="34" t="n">
        <x:f>MAX(0,MIN(T$8+1,'Fleet'!$O90)-MAX(T$7,'Fleet'!$G90))</x:f>
        <x:v>365</x:v>
      </x:c>
      <x:c r="U93" s="34" t="n">
        <x:f>MAX(0,MIN(U$8+1,'Fleet'!$O90)-MAX(U$7,'Fleet'!$G90))</x:f>
        <x:v>365</x:v>
      </x:c>
      <x:c r="V93" s="34" t="n">
        <x:f>MAX(0,MIN(V$8+1,'Fleet'!$O90)-MAX(V$7,'Fleet'!$G90))</x:f>
        <x:v>365</x:v>
      </x:c>
      <x:c r="W93" s="34" t="n">
        <x:f>MAX(0,MIN(W$8+1,'Fleet'!$O90)-MAX(W$7,'Fleet'!$G90))</x:f>
        <x:v>366</x:v>
      </x:c>
      <x:c r="X93" s="34" t="n">
        <x:f>MAX(0,MIN(X$8+1,'Fleet'!$O90)-MAX(X$7,'Fleet'!$G90))</x:f>
        <x:v>365</x:v>
      </x:c>
      <x:c r="Y93" s="34" t="n">
        <x:f>MAX(0,MIN(Y$8+1,'Fleet'!$O90)-MAX(Y$7,'Fleet'!$G90))</x:f>
        <x:v>365</x:v>
      </x:c>
      <x:c r="Z93" s="34" t="n">
        <x:f>MAX(0,MIN(Z$8+1,'Fleet'!$O90)-MAX(Z$7,'Fleet'!$G90))</x:f>
        <x:v>365</x:v>
      </x:c>
      <x:c r="AA93" s="34" t="n">
        <x:f>MAX(0,MIN(AA$8+1,'Fleet'!$O90)-MAX(AA$7,'Fleet'!$G90))</x:f>
        <x:v>274</x:v>
      </x:c>
      <x:c r="AB93" s="34" t="n">
        <x:f>MAX(0,MIN(AB$8+1,'Fleet'!$O90)-MAX(AB$7,'Fleet'!$G90))</x:f>
        <x:v>0</x:v>
      </x:c>
      <x:c r="AC93" s="34" t="n">
        <x:f>MAX(0,MIN(AC$8+1,'Fleet'!$O90)-MAX(AC$7,'Fleet'!$G90))</x:f>
        <x:v>0</x:v>
      </x:c>
      <x:c r="AD93" s="34" t="n">
        <x:f>MAX(0,MIN(AD$8+1,'Fleet'!$O90)-MAX(AD$7,'Fleet'!$G90))</x:f>
        <x:v>0</x:v>
      </x:c>
      <x:c r="AE93" s="34" t="n">
        <x:f>MAX(0,MIN(AE$8+1,'Fleet'!$O90)-MAX(AE$7,'Fleet'!$G90))</x:f>
        <x:v>0</x:v>
      </x:c>
      <x:c r="AF93" s="34" t="n">
        <x:f>MAX(0,MIN(AF$8+1,'Fleet'!$O90)-MAX(AF$7,'Fleet'!$G90))</x:f>
        <x:v>0</x:v>
      </x:c>
      <x:c r="AG93" s="34" t="n">
        <x:f>MAX(0,MIN(AG$8+1,'Fleet'!$O90)-MAX(AG$7,'Fleet'!$G90))</x:f>
        <x:v>0</x:v>
      </x:c>
      <x:c r="AH93" s="34" t="n">
        <x:f>MAX(0,MIN(AH$8+1,'Fleet'!$O90)-MAX(AH$7,'Fleet'!$G90))</x:f>
        <x:v>0</x:v>
      </x:c>
      <x:c r="AI93" s="34" t="n">
        <x:f>MAX(0,MIN(AI$8+1,'Fleet'!$O90)-MAX(AI$7,'Fleet'!$G90))</x:f>
        <x:v>0</x:v>
      </x:c>
      <x:c r="AJ93" s="34" t="n">
        <x:f>MAX(0,MIN(AJ$8+1,'Fleet'!$O90)-MAX(AJ$7,'Fleet'!$G90))</x:f>
        <x:v>0</x:v>
      </x:c>
      <x:c r="AK93" s="34" t="n">
        <x:f>MAX(0,MIN(AK$8+1,'Fleet'!$O90)-MAX(AK$7,'Fleet'!$G90))</x:f>
        <x:v>0</x:v>
      </x:c>
      <x:c r="AL93" s="34" t="n">
        <x:f>MAX(0,MIN(AL$8+1,'Fleet'!$O90)-MAX(AL$7,'Fleet'!$G90))</x:f>
        <x:v>0</x:v>
      </x:c>
      <x:c r="AM93" s="34" t="n">
        <x:f>MAX(0,MIN(AM$8+1,'Fleet'!$O90)-MAX(AM$7,'Fleet'!$G90))</x:f>
        <x:v>0</x:v>
      </x:c>
      <x:c r="AN93" s="34" t="n">
        <x:f>MAX(0,MIN(AN$8+1,'Fleet'!$O90)-MAX(AN$7,'Fleet'!$G90))</x:f>
        <x:v>0</x:v>
      </x:c>
      <x:c r="AO93" s="34" t="n">
        <x:f>MAX(0,MIN(AO$8+1,'Fleet'!$O90)-MAX(AO$7,'Fleet'!$G90))</x:f>
        <x:v>0</x:v>
      </x:c>
      <x:c r="AP93" s="34" t="n">
        <x:f>MAX(0,MIN(AP$8+1,'Fleet'!$O90)-MAX(AP$7,'Fleet'!$G90))</x:f>
        <x:v>0</x:v>
      </x:c>
      <x:c r="AQ93" s="34" t="n">
        <x:f>MAX(0,MIN(AQ$8+1,'Fleet'!$O90)-MAX(AQ$7,'Fleet'!$G90))</x:f>
        <x:v>0</x:v>
      </x:c>
    </x:row>
    <x:row r="94" ht="21" customHeight="1">
      <x:c r="A94" s="2"/>
      <x:c r="B94" s="2"/>
      <x:c r="C94" s="5" t="str">
        <x:f>'Fleet'!C91</x:f>
        <x:v>Star Valencia</x:v>
      </x:c>
      <x:c r="D94" s="5" t="str">
        <x:f>'Fleet'!D91</x:f>
        <x:v>Ultramax</x:v>
      </x:c>
      <x:c r="E94" s="34" t="n">
        <x:f>MAX(0,MIN(E$8+1,'Fleet'!$O91)-MAX(E$7,'Fleet'!$G91))</x:f>
        <x:v>83</x:v>
      </x:c>
      <x:c r="F94" s="34" t="n">
        <x:f>MAX(0,MIN(F$8+1,'Fleet'!$O91)-MAX(F$7,'Fleet'!$G91))</x:f>
        <x:v>90</x:v>
      </x:c>
      <x:c r="G94" s="34" t="n">
        <x:f>MAX(0,MIN(G$8+1,'Fleet'!$O91)-MAX(G$7,'Fleet'!$G91))</x:f>
        <x:v>91</x:v>
      </x:c>
      <x:c r="H94" s="34" t="n">
        <x:f>MAX(0,MIN(H$8+1,'Fleet'!$O91)-MAX(H$7,'Fleet'!$G91))</x:f>
        <x:v>92</x:v>
      </x:c>
      <x:c r="I94" s="34" t="n">
        <x:f>MAX(0,MIN(I$8+1,'Fleet'!$O91)-MAX(I$7,'Fleet'!$G91))</x:f>
        <x:v>92</x:v>
      </x:c>
      <x:c r="J94" s="34" t="n">
        <x:f>MAX(0,MIN(J$8+1,'Fleet'!$O91)-MAX(J$7,'Fleet'!$G91))</x:f>
        <x:v>91</x:v>
      </x:c>
      <x:c r="K94" s="34" t="n">
        <x:f>MAX(0,MIN(K$8+1,'Fleet'!$O91)-MAX(K$7,'Fleet'!$G91))</x:f>
        <x:v>91</x:v>
      </x:c>
      <x:c r="L94" s="34" t="n">
        <x:f>MAX(0,MIN(L$8+1,'Fleet'!$O91)-MAX(L$7,'Fleet'!$G91))</x:f>
        <x:v>92</x:v>
      </x:c>
      <x:c r="M94" s="34" t="n">
        <x:f>MAX(0,MIN(M$8+1,'Fleet'!$O91)-MAX(M$7,'Fleet'!$G91))</x:f>
        <x:v>92</x:v>
      </x:c>
      <x:c r="N94" s="34" t="n">
        <x:f>MAX(0,MIN(N$8+1,'Fleet'!$O91)-MAX(N$7,'Fleet'!$G91))</x:f>
        <x:v>90</x:v>
      </x:c>
      <x:c r="O94" s="34" t="n">
        <x:f>MAX(0,MIN(O$8+1,'Fleet'!$O91)-MAX(O$7,'Fleet'!$G91))</x:f>
        <x:v>91</x:v>
      </x:c>
      <x:c r="P94" s="34" t="n">
        <x:f>MAX(0,MIN(P$8+1,'Fleet'!$O91)-MAX(P$7,'Fleet'!$G91))</x:f>
        <x:v>92</x:v>
      </x:c>
      <x:c r="Q94" s="34" t="n">
        <x:f>MAX(0,MIN(Q$8+1,'Fleet'!$O91)-MAX(Q$7,'Fleet'!$G91))</x:f>
        <x:v>365</x:v>
      </x:c>
      <x:c r="R94" s="34" t="n">
        <x:f>MAX(0,MIN(R$8+1,'Fleet'!$O91)-MAX(R$7,'Fleet'!$G91))</x:f>
        <x:v>365</x:v>
      </x:c>
      <x:c r="S94" s="34" t="n">
        <x:f>MAX(0,MIN(S$8+1,'Fleet'!$O91)-MAX(S$7,'Fleet'!$G91))</x:f>
        <x:v>366</x:v>
      </x:c>
      <x:c r="T94" s="34" t="n">
        <x:f>MAX(0,MIN(T$8+1,'Fleet'!$O91)-MAX(T$7,'Fleet'!$G91))</x:f>
        <x:v>365</x:v>
      </x:c>
      <x:c r="U94" s="34" t="n">
        <x:f>MAX(0,MIN(U$8+1,'Fleet'!$O91)-MAX(U$7,'Fleet'!$G91))</x:f>
        <x:v>365</x:v>
      </x:c>
      <x:c r="V94" s="34" t="n">
        <x:f>MAX(0,MIN(V$8+1,'Fleet'!$O91)-MAX(V$7,'Fleet'!$G91))</x:f>
        <x:v>365</x:v>
      </x:c>
      <x:c r="W94" s="34" t="n">
        <x:f>MAX(0,MIN(W$8+1,'Fleet'!$O91)-MAX(W$7,'Fleet'!$G91))</x:f>
        <x:v>366</x:v>
      </x:c>
      <x:c r="X94" s="34" t="n">
        <x:f>MAX(0,MIN(X$8+1,'Fleet'!$O91)-MAX(X$7,'Fleet'!$G91))</x:f>
        <x:v>365</x:v>
      </x:c>
      <x:c r="Y94" s="34" t="n">
        <x:f>MAX(0,MIN(Y$8+1,'Fleet'!$O91)-MAX(Y$7,'Fleet'!$G91))</x:f>
        <x:v>365</x:v>
      </x:c>
      <x:c r="Z94" s="34" t="n">
        <x:f>MAX(0,MIN(Z$8+1,'Fleet'!$O91)-MAX(Z$7,'Fleet'!$G91))</x:f>
        <x:v>365</x:v>
      </x:c>
      <x:c r="AA94" s="34" t="n">
        <x:f>MAX(0,MIN(AA$8+1,'Fleet'!$O91)-MAX(AA$7,'Fleet'!$G91))</x:f>
        <x:v>274</x:v>
      </x:c>
      <x:c r="AB94" s="34" t="n">
        <x:f>MAX(0,MIN(AB$8+1,'Fleet'!$O91)-MAX(AB$7,'Fleet'!$G91))</x:f>
        <x:v>0</x:v>
      </x:c>
      <x:c r="AC94" s="34" t="n">
        <x:f>MAX(0,MIN(AC$8+1,'Fleet'!$O91)-MAX(AC$7,'Fleet'!$G91))</x:f>
        <x:v>0</x:v>
      </x:c>
      <x:c r="AD94" s="34" t="n">
        <x:f>MAX(0,MIN(AD$8+1,'Fleet'!$O91)-MAX(AD$7,'Fleet'!$G91))</x:f>
        <x:v>0</x:v>
      </x:c>
      <x:c r="AE94" s="34" t="n">
        <x:f>MAX(0,MIN(AE$8+1,'Fleet'!$O91)-MAX(AE$7,'Fleet'!$G91))</x:f>
        <x:v>0</x:v>
      </x:c>
      <x:c r="AF94" s="34" t="n">
        <x:f>MAX(0,MIN(AF$8+1,'Fleet'!$O91)-MAX(AF$7,'Fleet'!$G91))</x:f>
        <x:v>0</x:v>
      </x:c>
      <x:c r="AG94" s="34" t="n">
        <x:f>MAX(0,MIN(AG$8+1,'Fleet'!$O91)-MAX(AG$7,'Fleet'!$G91))</x:f>
        <x:v>0</x:v>
      </x:c>
      <x:c r="AH94" s="34" t="n">
        <x:f>MAX(0,MIN(AH$8+1,'Fleet'!$O91)-MAX(AH$7,'Fleet'!$G91))</x:f>
        <x:v>0</x:v>
      </x:c>
      <x:c r="AI94" s="34" t="n">
        <x:f>MAX(0,MIN(AI$8+1,'Fleet'!$O91)-MAX(AI$7,'Fleet'!$G91))</x:f>
        <x:v>0</x:v>
      </x:c>
      <x:c r="AJ94" s="34" t="n">
        <x:f>MAX(0,MIN(AJ$8+1,'Fleet'!$O91)-MAX(AJ$7,'Fleet'!$G91))</x:f>
        <x:v>0</x:v>
      </x:c>
      <x:c r="AK94" s="34" t="n">
        <x:f>MAX(0,MIN(AK$8+1,'Fleet'!$O91)-MAX(AK$7,'Fleet'!$G91))</x:f>
        <x:v>0</x:v>
      </x:c>
      <x:c r="AL94" s="34" t="n">
        <x:f>MAX(0,MIN(AL$8+1,'Fleet'!$O91)-MAX(AL$7,'Fleet'!$G91))</x:f>
        <x:v>0</x:v>
      </x:c>
      <x:c r="AM94" s="34" t="n">
        <x:f>MAX(0,MIN(AM$8+1,'Fleet'!$O91)-MAX(AM$7,'Fleet'!$G91))</x:f>
        <x:v>0</x:v>
      </x:c>
      <x:c r="AN94" s="34" t="n">
        <x:f>MAX(0,MIN(AN$8+1,'Fleet'!$O91)-MAX(AN$7,'Fleet'!$G91))</x:f>
        <x:v>0</x:v>
      </x:c>
      <x:c r="AO94" s="34" t="n">
        <x:f>MAX(0,MIN(AO$8+1,'Fleet'!$O91)-MAX(AO$7,'Fleet'!$G91))</x:f>
        <x:v>0</x:v>
      </x:c>
      <x:c r="AP94" s="34" t="n">
        <x:f>MAX(0,MIN(AP$8+1,'Fleet'!$O91)-MAX(AP$7,'Fleet'!$G91))</x:f>
        <x:v>0</x:v>
      </x:c>
      <x:c r="AQ94" s="34" t="n">
        <x:f>MAX(0,MIN(AQ$8+1,'Fleet'!$O91)-MAX(AQ$7,'Fleet'!$G91))</x:f>
        <x:v>0</x:v>
      </x:c>
    </x:row>
    <x:row r="95" ht="21" customHeight="1">
      <x:c r="A95" s="2"/>
      <x:c r="B95" s="2"/>
      <x:c r="C95" s="5" t="str">
        <x:f>'Fleet'!C92</x:f>
        <x:v>Star Dublin</x:v>
      </x:c>
      <x:c r="D95" s="5" t="str">
        <x:f>'Fleet'!D92</x:f>
        <x:v>Ultramax</x:v>
      </x:c>
      <x:c r="E95" s="34" t="n">
        <x:f>MAX(0,MIN(E$8+1,'Fleet'!$O92)-MAX(E$7,'Fleet'!$G92))</x:f>
        <x:v>83</x:v>
      </x:c>
      <x:c r="F95" s="34" t="n">
        <x:f>MAX(0,MIN(F$8+1,'Fleet'!$O92)-MAX(F$7,'Fleet'!$G92))</x:f>
        <x:v>90</x:v>
      </x:c>
      <x:c r="G95" s="34" t="n">
        <x:f>MAX(0,MIN(G$8+1,'Fleet'!$O92)-MAX(G$7,'Fleet'!$G92))</x:f>
        <x:v>91</x:v>
      </x:c>
      <x:c r="H95" s="34" t="n">
        <x:f>MAX(0,MIN(H$8+1,'Fleet'!$O92)-MAX(H$7,'Fleet'!$G92))</x:f>
        <x:v>92</x:v>
      </x:c>
      <x:c r="I95" s="34" t="n">
        <x:f>MAX(0,MIN(I$8+1,'Fleet'!$O92)-MAX(I$7,'Fleet'!$G92))</x:f>
        <x:v>92</x:v>
      </x:c>
      <x:c r="J95" s="34" t="n">
        <x:f>MAX(0,MIN(J$8+1,'Fleet'!$O92)-MAX(J$7,'Fleet'!$G92))</x:f>
        <x:v>91</x:v>
      </x:c>
      <x:c r="K95" s="34" t="n">
        <x:f>MAX(0,MIN(K$8+1,'Fleet'!$O92)-MAX(K$7,'Fleet'!$G92))</x:f>
        <x:v>91</x:v>
      </x:c>
      <x:c r="L95" s="34" t="n">
        <x:f>MAX(0,MIN(L$8+1,'Fleet'!$O92)-MAX(L$7,'Fleet'!$G92))</x:f>
        <x:v>92</x:v>
      </x:c>
      <x:c r="M95" s="34" t="n">
        <x:f>MAX(0,MIN(M$8+1,'Fleet'!$O92)-MAX(M$7,'Fleet'!$G92))</x:f>
        <x:v>92</x:v>
      </x:c>
      <x:c r="N95" s="34" t="n">
        <x:f>MAX(0,MIN(N$8+1,'Fleet'!$O92)-MAX(N$7,'Fleet'!$G92))</x:f>
        <x:v>90</x:v>
      </x:c>
      <x:c r="O95" s="34" t="n">
        <x:f>MAX(0,MIN(O$8+1,'Fleet'!$O92)-MAX(O$7,'Fleet'!$G92))</x:f>
        <x:v>91</x:v>
      </x:c>
      <x:c r="P95" s="34" t="n">
        <x:f>MAX(0,MIN(P$8+1,'Fleet'!$O92)-MAX(P$7,'Fleet'!$G92))</x:f>
        <x:v>92</x:v>
      </x:c>
      <x:c r="Q95" s="34" t="n">
        <x:f>MAX(0,MIN(Q$8+1,'Fleet'!$O92)-MAX(Q$7,'Fleet'!$G92))</x:f>
        <x:v>365</x:v>
      </x:c>
      <x:c r="R95" s="34" t="n">
        <x:f>MAX(0,MIN(R$8+1,'Fleet'!$O92)-MAX(R$7,'Fleet'!$G92))</x:f>
        <x:v>365</x:v>
      </x:c>
      <x:c r="S95" s="34" t="n">
        <x:f>MAX(0,MIN(S$8+1,'Fleet'!$O92)-MAX(S$7,'Fleet'!$G92))</x:f>
        <x:v>366</x:v>
      </x:c>
      <x:c r="T95" s="34" t="n">
        <x:f>MAX(0,MIN(T$8+1,'Fleet'!$O92)-MAX(T$7,'Fleet'!$G92))</x:f>
        <x:v>365</x:v>
      </x:c>
      <x:c r="U95" s="34" t="n">
        <x:f>MAX(0,MIN(U$8+1,'Fleet'!$O92)-MAX(U$7,'Fleet'!$G92))</x:f>
        <x:v>365</x:v>
      </x:c>
      <x:c r="V95" s="34" t="n">
        <x:f>MAX(0,MIN(V$8+1,'Fleet'!$O92)-MAX(V$7,'Fleet'!$G92))</x:f>
        <x:v>365</x:v>
      </x:c>
      <x:c r="W95" s="34" t="n">
        <x:f>MAX(0,MIN(W$8+1,'Fleet'!$O92)-MAX(W$7,'Fleet'!$G92))</x:f>
        <x:v>366</x:v>
      </x:c>
      <x:c r="X95" s="34" t="n">
        <x:f>MAX(0,MIN(X$8+1,'Fleet'!$O92)-MAX(X$7,'Fleet'!$G92))</x:f>
        <x:v>365</x:v>
      </x:c>
      <x:c r="Y95" s="34" t="n">
        <x:f>MAX(0,MIN(Y$8+1,'Fleet'!$O92)-MAX(Y$7,'Fleet'!$G92))</x:f>
        <x:v>365</x:v>
      </x:c>
      <x:c r="Z95" s="34" t="n">
        <x:f>MAX(0,MIN(Z$8+1,'Fleet'!$O92)-MAX(Z$7,'Fleet'!$G92))</x:f>
        <x:v>365</x:v>
      </x:c>
      <x:c r="AA95" s="34" t="n">
        <x:f>MAX(0,MIN(AA$8+1,'Fleet'!$O92)-MAX(AA$7,'Fleet'!$G92))</x:f>
        <x:v>274</x:v>
      </x:c>
      <x:c r="AB95" s="34" t="n">
        <x:f>MAX(0,MIN(AB$8+1,'Fleet'!$O92)-MAX(AB$7,'Fleet'!$G92))</x:f>
        <x:v>0</x:v>
      </x:c>
      <x:c r="AC95" s="34" t="n">
        <x:f>MAX(0,MIN(AC$8+1,'Fleet'!$O92)-MAX(AC$7,'Fleet'!$G92))</x:f>
        <x:v>0</x:v>
      </x:c>
      <x:c r="AD95" s="34" t="n">
        <x:f>MAX(0,MIN(AD$8+1,'Fleet'!$O92)-MAX(AD$7,'Fleet'!$G92))</x:f>
        <x:v>0</x:v>
      </x:c>
      <x:c r="AE95" s="34" t="n">
        <x:f>MAX(0,MIN(AE$8+1,'Fleet'!$O92)-MAX(AE$7,'Fleet'!$G92))</x:f>
        <x:v>0</x:v>
      </x:c>
      <x:c r="AF95" s="34" t="n">
        <x:f>MAX(0,MIN(AF$8+1,'Fleet'!$O92)-MAX(AF$7,'Fleet'!$G92))</x:f>
        <x:v>0</x:v>
      </x:c>
      <x:c r="AG95" s="34" t="n">
        <x:f>MAX(0,MIN(AG$8+1,'Fleet'!$O92)-MAX(AG$7,'Fleet'!$G92))</x:f>
        <x:v>0</x:v>
      </x:c>
      <x:c r="AH95" s="34" t="n">
        <x:f>MAX(0,MIN(AH$8+1,'Fleet'!$O92)-MAX(AH$7,'Fleet'!$G92))</x:f>
        <x:v>0</x:v>
      </x:c>
      <x:c r="AI95" s="34" t="n">
        <x:f>MAX(0,MIN(AI$8+1,'Fleet'!$O92)-MAX(AI$7,'Fleet'!$G92))</x:f>
        <x:v>0</x:v>
      </x:c>
      <x:c r="AJ95" s="34" t="n">
        <x:f>MAX(0,MIN(AJ$8+1,'Fleet'!$O92)-MAX(AJ$7,'Fleet'!$G92))</x:f>
        <x:v>0</x:v>
      </x:c>
      <x:c r="AK95" s="34" t="n">
        <x:f>MAX(0,MIN(AK$8+1,'Fleet'!$O92)-MAX(AK$7,'Fleet'!$G92))</x:f>
        <x:v>0</x:v>
      </x:c>
      <x:c r="AL95" s="34" t="n">
        <x:f>MAX(0,MIN(AL$8+1,'Fleet'!$O92)-MAX(AL$7,'Fleet'!$G92))</x:f>
        <x:v>0</x:v>
      </x:c>
      <x:c r="AM95" s="34" t="n">
        <x:f>MAX(0,MIN(AM$8+1,'Fleet'!$O92)-MAX(AM$7,'Fleet'!$G92))</x:f>
        <x:v>0</x:v>
      </x:c>
      <x:c r="AN95" s="34" t="n">
        <x:f>MAX(0,MIN(AN$8+1,'Fleet'!$O92)-MAX(AN$7,'Fleet'!$G92))</x:f>
        <x:v>0</x:v>
      </x:c>
      <x:c r="AO95" s="34" t="n">
        <x:f>MAX(0,MIN(AO$8+1,'Fleet'!$O92)-MAX(AO$7,'Fleet'!$G92))</x:f>
        <x:v>0</x:v>
      </x:c>
      <x:c r="AP95" s="34" t="n">
        <x:f>MAX(0,MIN(AP$8+1,'Fleet'!$O92)-MAX(AP$7,'Fleet'!$G92))</x:f>
        <x:v>0</x:v>
      </x:c>
      <x:c r="AQ95" s="34" t="n">
        <x:f>MAX(0,MIN(AQ$8+1,'Fleet'!$O92)-MAX(AQ$7,'Fleet'!$G92))</x:f>
        <x:v>0</x:v>
      </x:c>
    </x:row>
    <x:row r="96" ht="21" customHeight="1">
      <x:c r="A96" s="2"/>
      <x:c r="B96" s="2"/>
      <x:c r="C96" s="5" t="str">
        <x:f>'Fleet'!C93</x:f>
        <x:v>Star Santos</x:v>
      </x:c>
      <x:c r="D96" s="5" t="str">
        <x:f>'Fleet'!D93</x:f>
        <x:v>Ultramax</x:v>
      </x:c>
      <x:c r="E96" s="34" t="n">
        <x:f>MAX(0,MIN(E$8+1,'Fleet'!$O93)-MAX(E$7,'Fleet'!$G93))</x:f>
        <x:v>83</x:v>
      </x:c>
      <x:c r="F96" s="34" t="n">
        <x:f>MAX(0,MIN(F$8+1,'Fleet'!$O93)-MAX(F$7,'Fleet'!$G93))</x:f>
        <x:v>90</x:v>
      </x:c>
      <x:c r="G96" s="34" t="n">
        <x:f>MAX(0,MIN(G$8+1,'Fleet'!$O93)-MAX(G$7,'Fleet'!$G93))</x:f>
        <x:v>91</x:v>
      </x:c>
      <x:c r="H96" s="34" t="n">
        <x:f>MAX(0,MIN(H$8+1,'Fleet'!$O93)-MAX(H$7,'Fleet'!$G93))</x:f>
        <x:v>92</x:v>
      </x:c>
      <x:c r="I96" s="34" t="n">
        <x:f>MAX(0,MIN(I$8+1,'Fleet'!$O93)-MAX(I$7,'Fleet'!$G93))</x:f>
        <x:v>92</x:v>
      </x:c>
      <x:c r="J96" s="34" t="n">
        <x:f>MAX(0,MIN(J$8+1,'Fleet'!$O93)-MAX(J$7,'Fleet'!$G93))</x:f>
        <x:v>91</x:v>
      </x:c>
      <x:c r="K96" s="34" t="n">
        <x:f>MAX(0,MIN(K$8+1,'Fleet'!$O93)-MAX(K$7,'Fleet'!$G93))</x:f>
        <x:v>91</x:v>
      </x:c>
      <x:c r="L96" s="34" t="n">
        <x:f>MAX(0,MIN(L$8+1,'Fleet'!$O93)-MAX(L$7,'Fleet'!$G93))</x:f>
        <x:v>92</x:v>
      </x:c>
      <x:c r="M96" s="34" t="n">
        <x:f>MAX(0,MIN(M$8+1,'Fleet'!$O93)-MAX(M$7,'Fleet'!$G93))</x:f>
        <x:v>92</x:v>
      </x:c>
      <x:c r="N96" s="34" t="n">
        <x:f>MAX(0,MIN(N$8+1,'Fleet'!$O93)-MAX(N$7,'Fleet'!$G93))</x:f>
        <x:v>90</x:v>
      </x:c>
      <x:c r="O96" s="34" t="n">
        <x:f>MAX(0,MIN(O$8+1,'Fleet'!$O93)-MAX(O$7,'Fleet'!$G93))</x:f>
        <x:v>91</x:v>
      </x:c>
      <x:c r="P96" s="34" t="n">
        <x:f>MAX(0,MIN(P$8+1,'Fleet'!$O93)-MAX(P$7,'Fleet'!$G93))</x:f>
        <x:v>92</x:v>
      </x:c>
      <x:c r="Q96" s="34" t="n">
        <x:f>MAX(0,MIN(Q$8+1,'Fleet'!$O93)-MAX(Q$7,'Fleet'!$G93))</x:f>
        <x:v>365</x:v>
      </x:c>
      <x:c r="R96" s="34" t="n">
        <x:f>MAX(0,MIN(R$8+1,'Fleet'!$O93)-MAX(R$7,'Fleet'!$G93))</x:f>
        <x:v>365</x:v>
      </x:c>
      <x:c r="S96" s="34" t="n">
        <x:f>MAX(0,MIN(S$8+1,'Fleet'!$O93)-MAX(S$7,'Fleet'!$G93))</x:f>
        <x:v>366</x:v>
      </x:c>
      <x:c r="T96" s="34" t="n">
        <x:f>MAX(0,MIN(T$8+1,'Fleet'!$O93)-MAX(T$7,'Fleet'!$G93))</x:f>
        <x:v>365</x:v>
      </x:c>
      <x:c r="U96" s="34" t="n">
        <x:f>MAX(0,MIN(U$8+1,'Fleet'!$O93)-MAX(U$7,'Fleet'!$G93))</x:f>
        <x:v>365</x:v>
      </x:c>
      <x:c r="V96" s="34" t="n">
        <x:f>MAX(0,MIN(V$8+1,'Fleet'!$O93)-MAX(V$7,'Fleet'!$G93))</x:f>
        <x:v>365</x:v>
      </x:c>
      <x:c r="W96" s="34" t="n">
        <x:f>MAX(0,MIN(W$8+1,'Fleet'!$O93)-MAX(W$7,'Fleet'!$G93))</x:f>
        <x:v>366</x:v>
      </x:c>
      <x:c r="X96" s="34" t="n">
        <x:f>MAX(0,MIN(X$8+1,'Fleet'!$O93)-MAX(X$7,'Fleet'!$G93))</x:f>
        <x:v>365</x:v>
      </x:c>
      <x:c r="Y96" s="34" t="n">
        <x:f>MAX(0,MIN(Y$8+1,'Fleet'!$O93)-MAX(Y$7,'Fleet'!$G93))</x:f>
        <x:v>365</x:v>
      </x:c>
      <x:c r="Z96" s="34" t="n">
        <x:f>MAX(0,MIN(Z$8+1,'Fleet'!$O93)-MAX(Z$7,'Fleet'!$G93))</x:f>
        <x:v>365</x:v>
      </x:c>
      <x:c r="AA96" s="34" t="n">
        <x:f>MAX(0,MIN(AA$8+1,'Fleet'!$O93)-MAX(AA$7,'Fleet'!$G93))</x:f>
        <x:v>274</x:v>
      </x:c>
      <x:c r="AB96" s="34" t="n">
        <x:f>MAX(0,MIN(AB$8+1,'Fleet'!$O93)-MAX(AB$7,'Fleet'!$G93))</x:f>
        <x:v>0</x:v>
      </x:c>
      <x:c r="AC96" s="34" t="n">
        <x:f>MAX(0,MIN(AC$8+1,'Fleet'!$O93)-MAX(AC$7,'Fleet'!$G93))</x:f>
        <x:v>0</x:v>
      </x:c>
      <x:c r="AD96" s="34" t="n">
        <x:f>MAX(0,MIN(AD$8+1,'Fleet'!$O93)-MAX(AD$7,'Fleet'!$G93))</x:f>
        <x:v>0</x:v>
      </x:c>
      <x:c r="AE96" s="34" t="n">
        <x:f>MAX(0,MIN(AE$8+1,'Fleet'!$O93)-MAX(AE$7,'Fleet'!$G93))</x:f>
        <x:v>0</x:v>
      </x:c>
      <x:c r="AF96" s="34" t="n">
        <x:f>MAX(0,MIN(AF$8+1,'Fleet'!$O93)-MAX(AF$7,'Fleet'!$G93))</x:f>
        <x:v>0</x:v>
      </x:c>
      <x:c r="AG96" s="34" t="n">
        <x:f>MAX(0,MIN(AG$8+1,'Fleet'!$O93)-MAX(AG$7,'Fleet'!$G93))</x:f>
        <x:v>0</x:v>
      </x:c>
      <x:c r="AH96" s="34" t="n">
        <x:f>MAX(0,MIN(AH$8+1,'Fleet'!$O93)-MAX(AH$7,'Fleet'!$G93))</x:f>
        <x:v>0</x:v>
      </x:c>
      <x:c r="AI96" s="34" t="n">
        <x:f>MAX(0,MIN(AI$8+1,'Fleet'!$O93)-MAX(AI$7,'Fleet'!$G93))</x:f>
        <x:v>0</x:v>
      </x:c>
      <x:c r="AJ96" s="34" t="n">
        <x:f>MAX(0,MIN(AJ$8+1,'Fleet'!$O93)-MAX(AJ$7,'Fleet'!$G93))</x:f>
        <x:v>0</x:v>
      </x:c>
      <x:c r="AK96" s="34" t="n">
        <x:f>MAX(0,MIN(AK$8+1,'Fleet'!$O93)-MAX(AK$7,'Fleet'!$G93))</x:f>
        <x:v>0</x:v>
      </x:c>
      <x:c r="AL96" s="34" t="n">
        <x:f>MAX(0,MIN(AL$8+1,'Fleet'!$O93)-MAX(AL$7,'Fleet'!$G93))</x:f>
        <x:v>0</x:v>
      </x:c>
      <x:c r="AM96" s="34" t="n">
        <x:f>MAX(0,MIN(AM$8+1,'Fleet'!$O93)-MAX(AM$7,'Fleet'!$G93))</x:f>
        <x:v>0</x:v>
      </x:c>
      <x:c r="AN96" s="34" t="n">
        <x:f>MAX(0,MIN(AN$8+1,'Fleet'!$O93)-MAX(AN$7,'Fleet'!$G93))</x:f>
        <x:v>0</x:v>
      </x:c>
      <x:c r="AO96" s="34" t="n">
        <x:f>MAX(0,MIN(AO$8+1,'Fleet'!$O93)-MAX(AO$7,'Fleet'!$G93))</x:f>
        <x:v>0</x:v>
      </x:c>
      <x:c r="AP96" s="34" t="n">
        <x:f>MAX(0,MIN(AP$8+1,'Fleet'!$O93)-MAX(AP$7,'Fleet'!$G93))</x:f>
        <x:v>0</x:v>
      </x:c>
      <x:c r="AQ96" s="34" t="n">
        <x:f>MAX(0,MIN(AQ$8+1,'Fleet'!$O93)-MAX(AQ$7,'Fleet'!$G93))</x:f>
        <x:v>0</x:v>
      </x:c>
    </x:row>
    <x:row r="97" ht="21" customHeight="1">
      <x:c r="A97" s="2"/>
      <x:c r="B97" s="2"/>
      <x:c r="C97" s="5" t="str">
        <x:f>'Fleet'!C94</x:f>
        <x:v>Star Antwerp</x:v>
      </x:c>
      <x:c r="D97" s="5" t="str">
        <x:f>'Fleet'!D94</x:f>
        <x:v>Ultramax</x:v>
      </x:c>
      <x:c r="E97" s="34" t="n">
        <x:f>MAX(0,MIN(E$8+1,'Fleet'!$O94)-MAX(E$7,'Fleet'!$G94))</x:f>
        <x:v>83</x:v>
      </x:c>
      <x:c r="F97" s="34" t="n">
        <x:f>MAX(0,MIN(F$8+1,'Fleet'!$O94)-MAX(F$7,'Fleet'!$G94))</x:f>
        <x:v>90</x:v>
      </x:c>
      <x:c r="G97" s="34" t="n">
        <x:f>MAX(0,MIN(G$8+1,'Fleet'!$O94)-MAX(G$7,'Fleet'!$G94))</x:f>
        <x:v>91</x:v>
      </x:c>
      <x:c r="H97" s="34" t="n">
        <x:f>MAX(0,MIN(H$8+1,'Fleet'!$O94)-MAX(H$7,'Fleet'!$G94))</x:f>
        <x:v>92</x:v>
      </x:c>
      <x:c r="I97" s="34" t="n">
        <x:f>MAX(0,MIN(I$8+1,'Fleet'!$O94)-MAX(I$7,'Fleet'!$G94))</x:f>
        <x:v>92</x:v>
      </x:c>
      <x:c r="J97" s="34" t="n">
        <x:f>MAX(0,MIN(J$8+1,'Fleet'!$O94)-MAX(J$7,'Fleet'!$G94))</x:f>
        <x:v>91</x:v>
      </x:c>
      <x:c r="K97" s="34" t="n">
        <x:f>MAX(0,MIN(K$8+1,'Fleet'!$O94)-MAX(K$7,'Fleet'!$G94))</x:f>
        <x:v>91</x:v>
      </x:c>
      <x:c r="L97" s="34" t="n">
        <x:f>MAX(0,MIN(L$8+1,'Fleet'!$O94)-MAX(L$7,'Fleet'!$G94))</x:f>
        <x:v>92</x:v>
      </x:c>
      <x:c r="M97" s="34" t="n">
        <x:f>MAX(0,MIN(M$8+1,'Fleet'!$O94)-MAX(M$7,'Fleet'!$G94))</x:f>
        <x:v>92</x:v>
      </x:c>
      <x:c r="N97" s="34" t="n">
        <x:f>MAX(0,MIN(N$8+1,'Fleet'!$O94)-MAX(N$7,'Fleet'!$G94))</x:f>
        <x:v>90</x:v>
      </x:c>
      <x:c r="O97" s="34" t="n">
        <x:f>MAX(0,MIN(O$8+1,'Fleet'!$O94)-MAX(O$7,'Fleet'!$G94))</x:f>
        <x:v>91</x:v>
      </x:c>
      <x:c r="P97" s="34" t="n">
        <x:f>MAX(0,MIN(P$8+1,'Fleet'!$O94)-MAX(P$7,'Fleet'!$G94))</x:f>
        <x:v>92</x:v>
      </x:c>
      <x:c r="Q97" s="34" t="n">
        <x:f>MAX(0,MIN(Q$8+1,'Fleet'!$O94)-MAX(Q$7,'Fleet'!$G94))</x:f>
        <x:v>365</x:v>
      </x:c>
      <x:c r="R97" s="34" t="n">
        <x:f>MAX(0,MIN(R$8+1,'Fleet'!$O94)-MAX(R$7,'Fleet'!$G94))</x:f>
        <x:v>365</x:v>
      </x:c>
      <x:c r="S97" s="34" t="n">
        <x:f>MAX(0,MIN(S$8+1,'Fleet'!$O94)-MAX(S$7,'Fleet'!$G94))</x:f>
        <x:v>366</x:v>
      </x:c>
      <x:c r="T97" s="34" t="n">
        <x:f>MAX(0,MIN(T$8+1,'Fleet'!$O94)-MAX(T$7,'Fleet'!$G94))</x:f>
        <x:v>365</x:v>
      </x:c>
      <x:c r="U97" s="34" t="n">
        <x:f>MAX(0,MIN(U$8+1,'Fleet'!$O94)-MAX(U$7,'Fleet'!$G94))</x:f>
        <x:v>365</x:v>
      </x:c>
      <x:c r="V97" s="34" t="n">
        <x:f>MAX(0,MIN(V$8+1,'Fleet'!$O94)-MAX(V$7,'Fleet'!$G94))</x:f>
        <x:v>365</x:v>
      </x:c>
      <x:c r="W97" s="34" t="n">
        <x:f>MAX(0,MIN(W$8+1,'Fleet'!$O94)-MAX(W$7,'Fleet'!$G94))</x:f>
        <x:v>366</x:v>
      </x:c>
      <x:c r="X97" s="34" t="n">
        <x:f>MAX(0,MIN(X$8+1,'Fleet'!$O94)-MAX(X$7,'Fleet'!$G94))</x:f>
        <x:v>365</x:v>
      </x:c>
      <x:c r="Y97" s="34" t="n">
        <x:f>MAX(0,MIN(Y$8+1,'Fleet'!$O94)-MAX(Y$7,'Fleet'!$G94))</x:f>
        <x:v>365</x:v>
      </x:c>
      <x:c r="Z97" s="34" t="n">
        <x:f>MAX(0,MIN(Z$8+1,'Fleet'!$O94)-MAX(Z$7,'Fleet'!$G94))</x:f>
        <x:v>365</x:v>
      </x:c>
      <x:c r="AA97" s="34" t="n">
        <x:f>MAX(0,MIN(AA$8+1,'Fleet'!$O94)-MAX(AA$7,'Fleet'!$G94))</x:f>
        <x:v>274</x:v>
      </x:c>
      <x:c r="AB97" s="34" t="n">
        <x:f>MAX(0,MIN(AB$8+1,'Fleet'!$O94)-MAX(AB$7,'Fleet'!$G94))</x:f>
        <x:v>0</x:v>
      </x:c>
      <x:c r="AC97" s="34" t="n">
        <x:f>MAX(0,MIN(AC$8+1,'Fleet'!$O94)-MAX(AC$7,'Fleet'!$G94))</x:f>
        <x:v>0</x:v>
      </x:c>
      <x:c r="AD97" s="34" t="n">
        <x:f>MAX(0,MIN(AD$8+1,'Fleet'!$O94)-MAX(AD$7,'Fleet'!$G94))</x:f>
        <x:v>0</x:v>
      </x:c>
      <x:c r="AE97" s="34" t="n">
        <x:f>MAX(0,MIN(AE$8+1,'Fleet'!$O94)-MAX(AE$7,'Fleet'!$G94))</x:f>
        <x:v>0</x:v>
      </x:c>
      <x:c r="AF97" s="34" t="n">
        <x:f>MAX(0,MIN(AF$8+1,'Fleet'!$O94)-MAX(AF$7,'Fleet'!$G94))</x:f>
        <x:v>0</x:v>
      </x:c>
      <x:c r="AG97" s="34" t="n">
        <x:f>MAX(0,MIN(AG$8+1,'Fleet'!$O94)-MAX(AG$7,'Fleet'!$G94))</x:f>
        <x:v>0</x:v>
      </x:c>
      <x:c r="AH97" s="34" t="n">
        <x:f>MAX(0,MIN(AH$8+1,'Fleet'!$O94)-MAX(AH$7,'Fleet'!$G94))</x:f>
        <x:v>0</x:v>
      </x:c>
      <x:c r="AI97" s="34" t="n">
        <x:f>MAX(0,MIN(AI$8+1,'Fleet'!$O94)-MAX(AI$7,'Fleet'!$G94))</x:f>
        <x:v>0</x:v>
      </x:c>
      <x:c r="AJ97" s="34" t="n">
        <x:f>MAX(0,MIN(AJ$8+1,'Fleet'!$O94)-MAX(AJ$7,'Fleet'!$G94))</x:f>
        <x:v>0</x:v>
      </x:c>
      <x:c r="AK97" s="34" t="n">
        <x:f>MAX(0,MIN(AK$8+1,'Fleet'!$O94)-MAX(AK$7,'Fleet'!$G94))</x:f>
        <x:v>0</x:v>
      </x:c>
      <x:c r="AL97" s="34" t="n">
        <x:f>MAX(0,MIN(AL$8+1,'Fleet'!$O94)-MAX(AL$7,'Fleet'!$G94))</x:f>
        <x:v>0</x:v>
      </x:c>
      <x:c r="AM97" s="34" t="n">
        <x:f>MAX(0,MIN(AM$8+1,'Fleet'!$O94)-MAX(AM$7,'Fleet'!$G94))</x:f>
        <x:v>0</x:v>
      </x:c>
      <x:c r="AN97" s="34" t="n">
        <x:f>MAX(0,MIN(AN$8+1,'Fleet'!$O94)-MAX(AN$7,'Fleet'!$G94))</x:f>
        <x:v>0</x:v>
      </x:c>
      <x:c r="AO97" s="34" t="n">
        <x:f>MAX(0,MIN(AO$8+1,'Fleet'!$O94)-MAX(AO$7,'Fleet'!$G94))</x:f>
        <x:v>0</x:v>
      </x:c>
      <x:c r="AP97" s="34" t="n">
        <x:f>MAX(0,MIN(AP$8+1,'Fleet'!$O94)-MAX(AP$7,'Fleet'!$G94))</x:f>
        <x:v>0</x:v>
      </x:c>
      <x:c r="AQ97" s="34" t="n">
        <x:f>MAX(0,MIN(AQ$8+1,'Fleet'!$O94)-MAX(AQ$7,'Fleet'!$G94))</x:f>
        <x:v>0</x:v>
      </x:c>
    </x:row>
    <x:row r="98" ht="21" customHeight="1">
      <x:c r="A98" s="2"/>
      <x:c r="B98" s="2"/>
      <x:c r="C98" s="5" t="str">
        <x:f>'Fleet'!C95</x:f>
        <x:v>Star Sydney</x:v>
      </x:c>
      <x:c r="D98" s="5" t="str">
        <x:f>'Fleet'!D95</x:f>
        <x:v>Ultramax</x:v>
      </x:c>
      <x:c r="E98" s="34" t="n">
        <x:f>MAX(0,MIN(E$8+1,'Fleet'!$O95)-MAX(E$7,'Fleet'!$G95))</x:f>
        <x:v>83</x:v>
      </x:c>
      <x:c r="F98" s="34" t="n">
        <x:f>MAX(0,MIN(F$8+1,'Fleet'!$O95)-MAX(F$7,'Fleet'!$G95))</x:f>
        <x:v>90</x:v>
      </x:c>
      <x:c r="G98" s="34" t="n">
        <x:f>MAX(0,MIN(G$8+1,'Fleet'!$O95)-MAX(G$7,'Fleet'!$G95))</x:f>
        <x:v>91</x:v>
      </x:c>
      <x:c r="H98" s="34" t="n">
        <x:f>MAX(0,MIN(H$8+1,'Fleet'!$O95)-MAX(H$7,'Fleet'!$G95))</x:f>
        <x:v>92</x:v>
      </x:c>
      <x:c r="I98" s="34" t="n">
        <x:f>MAX(0,MIN(I$8+1,'Fleet'!$O95)-MAX(I$7,'Fleet'!$G95))</x:f>
        <x:v>92</x:v>
      </x:c>
      <x:c r="J98" s="34" t="n">
        <x:f>MAX(0,MIN(J$8+1,'Fleet'!$O95)-MAX(J$7,'Fleet'!$G95))</x:f>
        <x:v>91</x:v>
      </x:c>
      <x:c r="K98" s="34" t="n">
        <x:f>MAX(0,MIN(K$8+1,'Fleet'!$O95)-MAX(K$7,'Fleet'!$G95))</x:f>
        <x:v>91</x:v>
      </x:c>
      <x:c r="L98" s="34" t="n">
        <x:f>MAX(0,MIN(L$8+1,'Fleet'!$O95)-MAX(L$7,'Fleet'!$G95))</x:f>
        <x:v>92</x:v>
      </x:c>
      <x:c r="M98" s="34" t="n">
        <x:f>MAX(0,MIN(M$8+1,'Fleet'!$O95)-MAX(M$7,'Fleet'!$G95))</x:f>
        <x:v>92</x:v>
      </x:c>
      <x:c r="N98" s="34" t="n">
        <x:f>MAX(0,MIN(N$8+1,'Fleet'!$O95)-MAX(N$7,'Fleet'!$G95))</x:f>
        <x:v>90</x:v>
      </x:c>
      <x:c r="O98" s="34" t="n">
        <x:f>MAX(0,MIN(O$8+1,'Fleet'!$O95)-MAX(O$7,'Fleet'!$G95))</x:f>
        <x:v>91</x:v>
      </x:c>
      <x:c r="P98" s="34" t="n">
        <x:f>MAX(0,MIN(P$8+1,'Fleet'!$O95)-MAX(P$7,'Fleet'!$G95))</x:f>
        <x:v>92</x:v>
      </x:c>
      <x:c r="Q98" s="34" t="n">
        <x:f>MAX(0,MIN(Q$8+1,'Fleet'!$O95)-MAX(Q$7,'Fleet'!$G95))</x:f>
        <x:v>365</x:v>
      </x:c>
      <x:c r="R98" s="34" t="n">
        <x:f>MAX(0,MIN(R$8+1,'Fleet'!$O95)-MAX(R$7,'Fleet'!$G95))</x:f>
        <x:v>365</x:v>
      </x:c>
      <x:c r="S98" s="34" t="n">
        <x:f>MAX(0,MIN(S$8+1,'Fleet'!$O95)-MAX(S$7,'Fleet'!$G95))</x:f>
        <x:v>366</x:v>
      </x:c>
      <x:c r="T98" s="34" t="n">
        <x:f>MAX(0,MIN(T$8+1,'Fleet'!$O95)-MAX(T$7,'Fleet'!$G95))</x:f>
        <x:v>365</x:v>
      </x:c>
      <x:c r="U98" s="34" t="n">
        <x:f>MAX(0,MIN(U$8+1,'Fleet'!$O95)-MAX(U$7,'Fleet'!$G95))</x:f>
        <x:v>365</x:v>
      </x:c>
      <x:c r="V98" s="34" t="n">
        <x:f>MAX(0,MIN(V$8+1,'Fleet'!$O95)-MAX(V$7,'Fleet'!$G95))</x:f>
        <x:v>365</x:v>
      </x:c>
      <x:c r="W98" s="34" t="n">
        <x:f>MAX(0,MIN(W$8+1,'Fleet'!$O95)-MAX(W$7,'Fleet'!$G95))</x:f>
        <x:v>366</x:v>
      </x:c>
      <x:c r="X98" s="34" t="n">
        <x:f>MAX(0,MIN(X$8+1,'Fleet'!$O95)-MAX(X$7,'Fleet'!$G95))</x:f>
        <x:v>365</x:v>
      </x:c>
      <x:c r="Y98" s="34" t="n">
        <x:f>MAX(0,MIN(Y$8+1,'Fleet'!$O95)-MAX(Y$7,'Fleet'!$G95))</x:f>
        <x:v>365</x:v>
      </x:c>
      <x:c r="Z98" s="34" t="n">
        <x:f>MAX(0,MIN(Z$8+1,'Fleet'!$O95)-MAX(Z$7,'Fleet'!$G95))</x:f>
        <x:v>365</x:v>
      </x:c>
      <x:c r="AA98" s="34" t="n">
        <x:f>MAX(0,MIN(AA$8+1,'Fleet'!$O95)-MAX(AA$7,'Fleet'!$G95))</x:f>
        <x:v>274</x:v>
      </x:c>
      <x:c r="AB98" s="34" t="n">
        <x:f>MAX(0,MIN(AB$8+1,'Fleet'!$O95)-MAX(AB$7,'Fleet'!$G95))</x:f>
        <x:v>0</x:v>
      </x:c>
      <x:c r="AC98" s="34" t="n">
        <x:f>MAX(0,MIN(AC$8+1,'Fleet'!$O95)-MAX(AC$7,'Fleet'!$G95))</x:f>
        <x:v>0</x:v>
      </x:c>
      <x:c r="AD98" s="34" t="n">
        <x:f>MAX(0,MIN(AD$8+1,'Fleet'!$O95)-MAX(AD$7,'Fleet'!$G95))</x:f>
        <x:v>0</x:v>
      </x:c>
      <x:c r="AE98" s="34" t="n">
        <x:f>MAX(0,MIN(AE$8+1,'Fleet'!$O95)-MAX(AE$7,'Fleet'!$G95))</x:f>
        <x:v>0</x:v>
      </x:c>
      <x:c r="AF98" s="34" t="n">
        <x:f>MAX(0,MIN(AF$8+1,'Fleet'!$O95)-MAX(AF$7,'Fleet'!$G95))</x:f>
        <x:v>0</x:v>
      </x:c>
      <x:c r="AG98" s="34" t="n">
        <x:f>MAX(0,MIN(AG$8+1,'Fleet'!$O95)-MAX(AG$7,'Fleet'!$G95))</x:f>
        <x:v>0</x:v>
      </x:c>
      <x:c r="AH98" s="34" t="n">
        <x:f>MAX(0,MIN(AH$8+1,'Fleet'!$O95)-MAX(AH$7,'Fleet'!$G95))</x:f>
        <x:v>0</x:v>
      </x:c>
      <x:c r="AI98" s="34" t="n">
        <x:f>MAX(0,MIN(AI$8+1,'Fleet'!$O95)-MAX(AI$7,'Fleet'!$G95))</x:f>
        <x:v>0</x:v>
      </x:c>
      <x:c r="AJ98" s="34" t="n">
        <x:f>MAX(0,MIN(AJ$8+1,'Fleet'!$O95)-MAX(AJ$7,'Fleet'!$G95))</x:f>
        <x:v>0</x:v>
      </x:c>
      <x:c r="AK98" s="34" t="n">
        <x:f>MAX(0,MIN(AK$8+1,'Fleet'!$O95)-MAX(AK$7,'Fleet'!$G95))</x:f>
        <x:v>0</x:v>
      </x:c>
      <x:c r="AL98" s="34" t="n">
        <x:f>MAX(0,MIN(AL$8+1,'Fleet'!$O95)-MAX(AL$7,'Fleet'!$G95))</x:f>
        <x:v>0</x:v>
      </x:c>
      <x:c r="AM98" s="34" t="n">
        <x:f>MAX(0,MIN(AM$8+1,'Fleet'!$O95)-MAX(AM$7,'Fleet'!$G95))</x:f>
        <x:v>0</x:v>
      </x:c>
      <x:c r="AN98" s="34" t="n">
        <x:f>MAX(0,MIN(AN$8+1,'Fleet'!$O95)-MAX(AN$7,'Fleet'!$G95))</x:f>
        <x:v>0</x:v>
      </x:c>
      <x:c r="AO98" s="34" t="n">
        <x:f>MAX(0,MIN(AO$8+1,'Fleet'!$O95)-MAX(AO$7,'Fleet'!$G95))</x:f>
        <x:v>0</x:v>
      </x:c>
      <x:c r="AP98" s="34" t="n">
        <x:f>MAX(0,MIN(AP$8+1,'Fleet'!$O95)-MAX(AP$7,'Fleet'!$G95))</x:f>
        <x:v>0</x:v>
      </x:c>
      <x:c r="AQ98" s="34" t="n">
        <x:f>MAX(0,MIN(AQ$8+1,'Fleet'!$O95)-MAX(AQ$7,'Fleet'!$G95))</x:f>
        <x:v>0</x:v>
      </x:c>
    </x:row>
    <x:row r="99" ht="21" customHeight="1">
      <x:c r="A99" s="2"/>
      <x:c r="B99" s="2"/>
      <x:c r="C99" s="5" t="str">
        <x:f>'Fleet'!C96</x:f>
        <x:v>Star Copenhagen</x:v>
      </x:c>
      <x:c r="D99" s="5" t="str">
        <x:f>'Fleet'!D96</x:f>
        <x:v>Ultramax</x:v>
      </x:c>
      <x:c r="E99" s="34" t="n">
        <x:f>MAX(0,MIN(E$8+1,'Fleet'!$O96)-MAX(E$7,'Fleet'!$G96))</x:f>
        <x:v>83</x:v>
      </x:c>
      <x:c r="F99" s="34" t="n">
        <x:f>MAX(0,MIN(F$8+1,'Fleet'!$O96)-MAX(F$7,'Fleet'!$G96))</x:f>
        <x:v>90</x:v>
      </x:c>
      <x:c r="G99" s="34" t="n">
        <x:f>MAX(0,MIN(G$8+1,'Fleet'!$O96)-MAX(G$7,'Fleet'!$G96))</x:f>
        <x:v>91</x:v>
      </x:c>
      <x:c r="H99" s="34" t="n">
        <x:f>MAX(0,MIN(H$8+1,'Fleet'!$O96)-MAX(H$7,'Fleet'!$G96))</x:f>
        <x:v>92</x:v>
      </x:c>
      <x:c r="I99" s="34" t="n">
        <x:f>MAX(0,MIN(I$8+1,'Fleet'!$O96)-MAX(I$7,'Fleet'!$G96))</x:f>
        <x:v>92</x:v>
      </x:c>
      <x:c r="J99" s="34" t="n">
        <x:f>MAX(0,MIN(J$8+1,'Fleet'!$O96)-MAX(J$7,'Fleet'!$G96))</x:f>
        <x:v>91</x:v>
      </x:c>
      <x:c r="K99" s="34" t="n">
        <x:f>MAX(0,MIN(K$8+1,'Fleet'!$O96)-MAX(K$7,'Fleet'!$G96))</x:f>
        <x:v>91</x:v>
      </x:c>
      <x:c r="L99" s="34" t="n">
        <x:f>MAX(0,MIN(L$8+1,'Fleet'!$O96)-MAX(L$7,'Fleet'!$G96))</x:f>
        <x:v>92</x:v>
      </x:c>
      <x:c r="M99" s="34" t="n">
        <x:f>MAX(0,MIN(M$8+1,'Fleet'!$O96)-MAX(M$7,'Fleet'!$G96))</x:f>
        <x:v>92</x:v>
      </x:c>
      <x:c r="N99" s="34" t="n">
        <x:f>MAX(0,MIN(N$8+1,'Fleet'!$O96)-MAX(N$7,'Fleet'!$G96))</x:f>
        <x:v>90</x:v>
      </x:c>
      <x:c r="O99" s="34" t="n">
        <x:f>MAX(0,MIN(O$8+1,'Fleet'!$O96)-MAX(O$7,'Fleet'!$G96))</x:f>
        <x:v>91</x:v>
      </x:c>
      <x:c r="P99" s="34" t="n">
        <x:f>MAX(0,MIN(P$8+1,'Fleet'!$O96)-MAX(P$7,'Fleet'!$G96))</x:f>
        <x:v>92</x:v>
      </x:c>
      <x:c r="Q99" s="34" t="n">
        <x:f>MAX(0,MIN(Q$8+1,'Fleet'!$O96)-MAX(Q$7,'Fleet'!$G96))</x:f>
        <x:v>365</x:v>
      </x:c>
      <x:c r="R99" s="34" t="n">
        <x:f>MAX(0,MIN(R$8+1,'Fleet'!$O96)-MAX(R$7,'Fleet'!$G96))</x:f>
        <x:v>365</x:v>
      </x:c>
      <x:c r="S99" s="34" t="n">
        <x:f>MAX(0,MIN(S$8+1,'Fleet'!$O96)-MAX(S$7,'Fleet'!$G96))</x:f>
        <x:v>366</x:v>
      </x:c>
      <x:c r="T99" s="34" t="n">
        <x:f>MAX(0,MIN(T$8+1,'Fleet'!$O96)-MAX(T$7,'Fleet'!$G96))</x:f>
        <x:v>365</x:v>
      </x:c>
      <x:c r="U99" s="34" t="n">
        <x:f>MAX(0,MIN(U$8+1,'Fleet'!$O96)-MAX(U$7,'Fleet'!$G96))</x:f>
        <x:v>365</x:v>
      </x:c>
      <x:c r="V99" s="34" t="n">
        <x:f>MAX(0,MIN(V$8+1,'Fleet'!$O96)-MAX(V$7,'Fleet'!$G96))</x:f>
        <x:v>365</x:v>
      </x:c>
      <x:c r="W99" s="34" t="n">
        <x:f>MAX(0,MIN(W$8+1,'Fleet'!$O96)-MAX(W$7,'Fleet'!$G96))</x:f>
        <x:v>366</x:v>
      </x:c>
      <x:c r="X99" s="34" t="n">
        <x:f>MAX(0,MIN(X$8+1,'Fleet'!$O96)-MAX(X$7,'Fleet'!$G96))</x:f>
        <x:v>365</x:v>
      </x:c>
      <x:c r="Y99" s="34" t="n">
        <x:f>MAX(0,MIN(Y$8+1,'Fleet'!$O96)-MAX(Y$7,'Fleet'!$G96))</x:f>
        <x:v>365</x:v>
      </x:c>
      <x:c r="Z99" s="34" t="n">
        <x:f>MAX(0,MIN(Z$8+1,'Fleet'!$O96)-MAX(Z$7,'Fleet'!$G96))</x:f>
        <x:v>365</x:v>
      </x:c>
      <x:c r="AA99" s="34" t="n">
        <x:f>MAX(0,MIN(AA$8+1,'Fleet'!$O96)-MAX(AA$7,'Fleet'!$G96))</x:f>
        <x:v>274</x:v>
      </x:c>
      <x:c r="AB99" s="34" t="n">
        <x:f>MAX(0,MIN(AB$8+1,'Fleet'!$O96)-MAX(AB$7,'Fleet'!$G96))</x:f>
        <x:v>0</x:v>
      </x:c>
      <x:c r="AC99" s="34" t="n">
        <x:f>MAX(0,MIN(AC$8+1,'Fleet'!$O96)-MAX(AC$7,'Fleet'!$G96))</x:f>
        <x:v>0</x:v>
      </x:c>
      <x:c r="AD99" s="34" t="n">
        <x:f>MAX(0,MIN(AD$8+1,'Fleet'!$O96)-MAX(AD$7,'Fleet'!$G96))</x:f>
        <x:v>0</x:v>
      </x:c>
      <x:c r="AE99" s="34" t="n">
        <x:f>MAX(0,MIN(AE$8+1,'Fleet'!$O96)-MAX(AE$7,'Fleet'!$G96))</x:f>
        <x:v>0</x:v>
      </x:c>
      <x:c r="AF99" s="34" t="n">
        <x:f>MAX(0,MIN(AF$8+1,'Fleet'!$O96)-MAX(AF$7,'Fleet'!$G96))</x:f>
        <x:v>0</x:v>
      </x:c>
      <x:c r="AG99" s="34" t="n">
        <x:f>MAX(0,MIN(AG$8+1,'Fleet'!$O96)-MAX(AG$7,'Fleet'!$G96))</x:f>
        <x:v>0</x:v>
      </x:c>
      <x:c r="AH99" s="34" t="n">
        <x:f>MAX(0,MIN(AH$8+1,'Fleet'!$O96)-MAX(AH$7,'Fleet'!$G96))</x:f>
        <x:v>0</x:v>
      </x:c>
      <x:c r="AI99" s="34" t="n">
        <x:f>MAX(0,MIN(AI$8+1,'Fleet'!$O96)-MAX(AI$7,'Fleet'!$G96))</x:f>
        <x:v>0</x:v>
      </x:c>
      <x:c r="AJ99" s="34" t="n">
        <x:f>MAX(0,MIN(AJ$8+1,'Fleet'!$O96)-MAX(AJ$7,'Fleet'!$G96))</x:f>
        <x:v>0</x:v>
      </x:c>
      <x:c r="AK99" s="34" t="n">
        <x:f>MAX(0,MIN(AK$8+1,'Fleet'!$O96)-MAX(AK$7,'Fleet'!$G96))</x:f>
        <x:v>0</x:v>
      </x:c>
      <x:c r="AL99" s="34" t="n">
        <x:f>MAX(0,MIN(AL$8+1,'Fleet'!$O96)-MAX(AL$7,'Fleet'!$G96))</x:f>
        <x:v>0</x:v>
      </x:c>
      <x:c r="AM99" s="34" t="n">
        <x:f>MAX(0,MIN(AM$8+1,'Fleet'!$O96)-MAX(AM$7,'Fleet'!$G96))</x:f>
        <x:v>0</x:v>
      </x:c>
      <x:c r="AN99" s="34" t="n">
        <x:f>MAX(0,MIN(AN$8+1,'Fleet'!$O96)-MAX(AN$7,'Fleet'!$G96))</x:f>
        <x:v>0</x:v>
      </x:c>
      <x:c r="AO99" s="34" t="n">
        <x:f>MAX(0,MIN(AO$8+1,'Fleet'!$O96)-MAX(AO$7,'Fleet'!$G96))</x:f>
        <x:v>0</x:v>
      </x:c>
      <x:c r="AP99" s="34" t="n">
        <x:f>MAX(0,MIN(AP$8+1,'Fleet'!$O96)-MAX(AP$7,'Fleet'!$G96))</x:f>
        <x:v>0</x:v>
      </x:c>
      <x:c r="AQ99" s="34" t="n">
        <x:f>MAX(0,MIN(AQ$8+1,'Fleet'!$O96)-MAX(AQ$7,'Fleet'!$G96))</x:f>
        <x:v>0</x:v>
      </x:c>
    </x:row>
    <x:row r="100" ht="21" customHeight="1">
      <x:c r="A100" s="2"/>
      <x:c r="B100" s="2"/>
      <x:c r="C100" s="5" t="str">
        <x:f>'Fleet'!C97</x:f>
        <x:v>Star Hong Kong</x:v>
      </x:c>
      <x:c r="D100" s="5" t="str">
        <x:f>'Fleet'!D97</x:f>
        <x:v>Ultramax</x:v>
      </x:c>
      <x:c r="E100" s="34" t="n">
        <x:f>MAX(0,MIN(E$8+1,'Fleet'!$O97)-MAX(E$7,'Fleet'!$G97))</x:f>
        <x:v>83</x:v>
      </x:c>
      <x:c r="F100" s="34" t="n">
        <x:f>MAX(0,MIN(F$8+1,'Fleet'!$O97)-MAX(F$7,'Fleet'!$G97))</x:f>
        <x:v>90</x:v>
      </x:c>
      <x:c r="G100" s="34" t="n">
        <x:f>MAX(0,MIN(G$8+1,'Fleet'!$O97)-MAX(G$7,'Fleet'!$G97))</x:f>
        <x:v>91</x:v>
      </x:c>
      <x:c r="H100" s="34" t="n">
        <x:f>MAX(0,MIN(H$8+1,'Fleet'!$O97)-MAX(H$7,'Fleet'!$G97))</x:f>
        <x:v>92</x:v>
      </x:c>
      <x:c r="I100" s="34" t="n">
        <x:f>MAX(0,MIN(I$8+1,'Fleet'!$O97)-MAX(I$7,'Fleet'!$G97))</x:f>
        <x:v>92</x:v>
      </x:c>
      <x:c r="J100" s="34" t="n">
        <x:f>MAX(0,MIN(J$8+1,'Fleet'!$O97)-MAX(J$7,'Fleet'!$G97))</x:f>
        <x:v>91</x:v>
      </x:c>
      <x:c r="K100" s="34" t="n">
        <x:f>MAX(0,MIN(K$8+1,'Fleet'!$O97)-MAX(K$7,'Fleet'!$G97))</x:f>
        <x:v>91</x:v>
      </x:c>
      <x:c r="L100" s="34" t="n">
        <x:f>MAX(0,MIN(L$8+1,'Fleet'!$O97)-MAX(L$7,'Fleet'!$G97))</x:f>
        <x:v>92</x:v>
      </x:c>
      <x:c r="M100" s="34" t="n">
        <x:f>MAX(0,MIN(M$8+1,'Fleet'!$O97)-MAX(M$7,'Fleet'!$G97))</x:f>
        <x:v>92</x:v>
      </x:c>
      <x:c r="N100" s="34" t="n">
        <x:f>MAX(0,MIN(N$8+1,'Fleet'!$O97)-MAX(N$7,'Fleet'!$G97))</x:f>
        <x:v>90</x:v>
      </x:c>
      <x:c r="O100" s="34" t="n">
        <x:f>MAX(0,MIN(O$8+1,'Fleet'!$O97)-MAX(O$7,'Fleet'!$G97))</x:f>
        <x:v>91</x:v>
      </x:c>
      <x:c r="P100" s="34" t="n">
        <x:f>MAX(0,MIN(P$8+1,'Fleet'!$O97)-MAX(P$7,'Fleet'!$G97))</x:f>
        <x:v>92</x:v>
      </x:c>
      <x:c r="Q100" s="34" t="n">
        <x:f>MAX(0,MIN(Q$8+1,'Fleet'!$O97)-MAX(Q$7,'Fleet'!$G97))</x:f>
        <x:v>365</x:v>
      </x:c>
      <x:c r="R100" s="34" t="n">
        <x:f>MAX(0,MIN(R$8+1,'Fleet'!$O97)-MAX(R$7,'Fleet'!$G97))</x:f>
        <x:v>365</x:v>
      </x:c>
      <x:c r="S100" s="34" t="n">
        <x:f>MAX(0,MIN(S$8+1,'Fleet'!$O97)-MAX(S$7,'Fleet'!$G97))</x:f>
        <x:v>366</x:v>
      </x:c>
      <x:c r="T100" s="34" t="n">
        <x:f>MAX(0,MIN(T$8+1,'Fleet'!$O97)-MAX(T$7,'Fleet'!$G97))</x:f>
        <x:v>365</x:v>
      </x:c>
      <x:c r="U100" s="34" t="n">
        <x:f>MAX(0,MIN(U$8+1,'Fleet'!$O97)-MAX(U$7,'Fleet'!$G97))</x:f>
        <x:v>365</x:v>
      </x:c>
      <x:c r="V100" s="34" t="n">
        <x:f>MAX(0,MIN(V$8+1,'Fleet'!$O97)-MAX(V$7,'Fleet'!$G97))</x:f>
        <x:v>365</x:v>
      </x:c>
      <x:c r="W100" s="34" t="n">
        <x:f>MAX(0,MIN(W$8+1,'Fleet'!$O97)-MAX(W$7,'Fleet'!$G97))</x:f>
        <x:v>366</x:v>
      </x:c>
      <x:c r="X100" s="34" t="n">
        <x:f>MAX(0,MIN(X$8+1,'Fleet'!$O97)-MAX(X$7,'Fleet'!$G97))</x:f>
        <x:v>365</x:v>
      </x:c>
      <x:c r="Y100" s="34" t="n">
        <x:f>MAX(0,MIN(Y$8+1,'Fleet'!$O97)-MAX(Y$7,'Fleet'!$G97))</x:f>
        <x:v>365</x:v>
      </x:c>
      <x:c r="Z100" s="34" t="n">
        <x:f>MAX(0,MIN(Z$8+1,'Fleet'!$O97)-MAX(Z$7,'Fleet'!$G97))</x:f>
        <x:v>365</x:v>
      </x:c>
      <x:c r="AA100" s="34" t="n">
        <x:f>MAX(0,MIN(AA$8+1,'Fleet'!$O97)-MAX(AA$7,'Fleet'!$G97))</x:f>
        <x:v>366</x:v>
      </x:c>
      <x:c r="AB100" s="34" t="n">
        <x:f>MAX(0,MIN(AB$8+1,'Fleet'!$O97)-MAX(AB$7,'Fleet'!$G97))</x:f>
        <x:v>273</x:v>
      </x:c>
      <x:c r="AC100" s="34" t="n">
        <x:f>MAX(0,MIN(AC$8+1,'Fleet'!$O97)-MAX(AC$7,'Fleet'!$G97))</x:f>
        <x:v>0</x:v>
      </x:c>
      <x:c r="AD100" s="34" t="n">
        <x:f>MAX(0,MIN(AD$8+1,'Fleet'!$O97)-MAX(AD$7,'Fleet'!$G97))</x:f>
        <x:v>0</x:v>
      </x:c>
      <x:c r="AE100" s="34" t="n">
        <x:f>MAX(0,MIN(AE$8+1,'Fleet'!$O97)-MAX(AE$7,'Fleet'!$G97))</x:f>
        <x:v>0</x:v>
      </x:c>
      <x:c r="AF100" s="34" t="n">
        <x:f>MAX(0,MIN(AF$8+1,'Fleet'!$O97)-MAX(AF$7,'Fleet'!$G97))</x:f>
        <x:v>0</x:v>
      </x:c>
      <x:c r="AG100" s="34" t="n">
        <x:f>MAX(0,MIN(AG$8+1,'Fleet'!$O97)-MAX(AG$7,'Fleet'!$G97))</x:f>
        <x:v>0</x:v>
      </x:c>
      <x:c r="AH100" s="34" t="n">
        <x:f>MAX(0,MIN(AH$8+1,'Fleet'!$O97)-MAX(AH$7,'Fleet'!$G97))</x:f>
        <x:v>0</x:v>
      </x:c>
      <x:c r="AI100" s="34" t="n">
        <x:f>MAX(0,MIN(AI$8+1,'Fleet'!$O97)-MAX(AI$7,'Fleet'!$G97))</x:f>
        <x:v>0</x:v>
      </x:c>
      <x:c r="AJ100" s="34" t="n">
        <x:f>MAX(0,MIN(AJ$8+1,'Fleet'!$O97)-MAX(AJ$7,'Fleet'!$G97))</x:f>
        <x:v>0</x:v>
      </x:c>
      <x:c r="AK100" s="34" t="n">
        <x:f>MAX(0,MIN(AK$8+1,'Fleet'!$O97)-MAX(AK$7,'Fleet'!$G97))</x:f>
        <x:v>0</x:v>
      </x:c>
      <x:c r="AL100" s="34" t="n">
        <x:f>MAX(0,MIN(AL$8+1,'Fleet'!$O97)-MAX(AL$7,'Fleet'!$G97))</x:f>
        <x:v>0</x:v>
      </x:c>
      <x:c r="AM100" s="34" t="n">
        <x:f>MAX(0,MIN(AM$8+1,'Fleet'!$O97)-MAX(AM$7,'Fleet'!$G97))</x:f>
        <x:v>0</x:v>
      </x:c>
      <x:c r="AN100" s="34" t="n">
        <x:f>MAX(0,MIN(AN$8+1,'Fleet'!$O97)-MAX(AN$7,'Fleet'!$G97))</x:f>
        <x:v>0</x:v>
      </x:c>
      <x:c r="AO100" s="34" t="n">
        <x:f>MAX(0,MIN(AO$8+1,'Fleet'!$O97)-MAX(AO$7,'Fleet'!$G97))</x:f>
        <x:v>0</x:v>
      </x:c>
      <x:c r="AP100" s="34" t="n">
        <x:f>MAX(0,MIN(AP$8+1,'Fleet'!$O97)-MAX(AP$7,'Fleet'!$G97))</x:f>
        <x:v>0</x:v>
      </x:c>
      <x:c r="AQ100" s="34" t="n">
        <x:f>MAX(0,MIN(AQ$8+1,'Fleet'!$O97)-MAX(AQ$7,'Fleet'!$G97))</x:f>
        <x:v>0</x:v>
      </x:c>
    </x:row>
    <x:row r="101" ht="21" customHeight="1">
      <x:c r="A101" s="2"/>
      <x:c r="B101" s="2"/>
      <x:c r="C101" s="5" t="str">
        <x:f>'Fleet'!C98</x:f>
        <x:v>Idee Fixe</x:v>
      </x:c>
      <x:c r="D101" s="5" t="str">
        <x:f>'Fleet'!D98</x:f>
        <x:v>Ultramax</x:v>
      </x:c>
      <x:c r="E101" s="34" t="n">
        <x:f>MAX(0,MIN(E$8+1,'Fleet'!$O98)-MAX(E$7,'Fleet'!$G98))</x:f>
        <x:v>83</x:v>
      </x:c>
      <x:c r="F101" s="34" t="n">
        <x:f>MAX(0,MIN(F$8+1,'Fleet'!$O98)-MAX(F$7,'Fleet'!$G98))</x:f>
        <x:v>90</x:v>
      </x:c>
      <x:c r="G101" s="34" t="n">
        <x:f>MAX(0,MIN(G$8+1,'Fleet'!$O98)-MAX(G$7,'Fleet'!$G98))</x:f>
        <x:v>91</x:v>
      </x:c>
      <x:c r="H101" s="34" t="n">
        <x:f>MAX(0,MIN(H$8+1,'Fleet'!$O98)-MAX(H$7,'Fleet'!$G98))</x:f>
        <x:v>92</x:v>
      </x:c>
      <x:c r="I101" s="34" t="n">
        <x:f>MAX(0,MIN(I$8+1,'Fleet'!$O98)-MAX(I$7,'Fleet'!$G98))</x:f>
        <x:v>92</x:v>
      </x:c>
      <x:c r="J101" s="34" t="n">
        <x:f>MAX(0,MIN(J$8+1,'Fleet'!$O98)-MAX(J$7,'Fleet'!$G98))</x:f>
        <x:v>91</x:v>
      </x:c>
      <x:c r="K101" s="34" t="n">
        <x:f>MAX(0,MIN(K$8+1,'Fleet'!$O98)-MAX(K$7,'Fleet'!$G98))</x:f>
        <x:v>91</x:v>
      </x:c>
      <x:c r="L101" s="34" t="n">
        <x:f>MAX(0,MIN(L$8+1,'Fleet'!$O98)-MAX(L$7,'Fleet'!$G98))</x:f>
        <x:v>92</x:v>
      </x:c>
      <x:c r="M101" s="34" t="n">
        <x:f>MAX(0,MIN(M$8+1,'Fleet'!$O98)-MAX(M$7,'Fleet'!$G98))</x:f>
        <x:v>92</x:v>
      </x:c>
      <x:c r="N101" s="34" t="n">
        <x:f>MAX(0,MIN(N$8+1,'Fleet'!$O98)-MAX(N$7,'Fleet'!$G98))</x:f>
        <x:v>90</x:v>
      </x:c>
      <x:c r="O101" s="34" t="n">
        <x:f>MAX(0,MIN(O$8+1,'Fleet'!$O98)-MAX(O$7,'Fleet'!$G98))</x:f>
        <x:v>91</x:v>
      </x:c>
      <x:c r="P101" s="34" t="n">
        <x:f>MAX(0,MIN(P$8+1,'Fleet'!$O98)-MAX(P$7,'Fleet'!$G98))</x:f>
        <x:v>92</x:v>
      </x:c>
      <x:c r="Q101" s="34" t="n">
        <x:f>MAX(0,MIN(Q$8+1,'Fleet'!$O98)-MAX(Q$7,'Fleet'!$G98))</x:f>
        <x:v>365</x:v>
      </x:c>
      <x:c r="R101" s="34" t="n">
        <x:f>MAX(0,MIN(R$8+1,'Fleet'!$O98)-MAX(R$7,'Fleet'!$G98))</x:f>
        <x:v>365</x:v>
      </x:c>
      <x:c r="S101" s="34" t="n">
        <x:f>MAX(0,MIN(S$8+1,'Fleet'!$O98)-MAX(S$7,'Fleet'!$G98))</x:f>
        <x:v>366</x:v>
      </x:c>
      <x:c r="T101" s="34" t="n">
        <x:f>MAX(0,MIN(T$8+1,'Fleet'!$O98)-MAX(T$7,'Fleet'!$G98))</x:f>
        <x:v>365</x:v>
      </x:c>
      <x:c r="U101" s="34" t="n">
        <x:f>MAX(0,MIN(U$8+1,'Fleet'!$O98)-MAX(U$7,'Fleet'!$G98))</x:f>
        <x:v>365</x:v>
      </x:c>
      <x:c r="V101" s="34" t="n">
        <x:f>MAX(0,MIN(V$8+1,'Fleet'!$O98)-MAX(V$7,'Fleet'!$G98))</x:f>
        <x:v>365</x:v>
      </x:c>
      <x:c r="W101" s="34" t="n">
        <x:f>MAX(0,MIN(W$8+1,'Fleet'!$O98)-MAX(W$7,'Fleet'!$G98))</x:f>
        <x:v>366</x:v>
      </x:c>
      <x:c r="X101" s="34" t="n">
        <x:f>MAX(0,MIN(X$8+1,'Fleet'!$O98)-MAX(X$7,'Fleet'!$G98))</x:f>
        <x:v>365</x:v>
      </x:c>
      <x:c r="Y101" s="34" t="n">
        <x:f>MAX(0,MIN(Y$8+1,'Fleet'!$O98)-MAX(Y$7,'Fleet'!$G98))</x:f>
        <x:v>365</x:v>
      </x:c>
      <x:c r="Z101" s="34" t="n">
        <x:f>MAX(0,MIN(Z$8+1,'Fleet'!$O98)-MAX(Z$7,'Fleet'!$G98))</x:f>
        <x:v>365</x:v>
      </x:c>
      <x:c r="AA101" s="34" t="n">
        <x:f>MAX(0,MIN(AA$8+1,'Fleet'!$O98)-MAX(AA$7,'Fleet'!$G98))</x:f>
        <x:v>274</x:v>
      </x:c>
      <x:c r="AB101" s="34" t="n">
        <x:f>MAX(0,MIN(AB$8+1,'Fleet'!$O98)-MAX(AB$7,'Fleet'!$G98))</x:f>
        <x:v>0</x:v>
      </x:c>
      <x:c r="AC101" s="34" t="n">
        <x:f>MAX(0,MIN(AC$8+1,'Fleet'!$O98)-MAX(AC$7,'Fleet'!$G98))</x:f>
        <x:v>0</x:v>
      </x:c>
      <x:c r="AD101" s="34" t="n">
        <x:f>MAX(0,MIN(AD$8+1,'Fleet'!$O98)-MAX(AD$7,'Fleet'!$G98))</x:f>
        <x:v>0</x:v>
      </x:c>
      <x:c r="AE101" s="34" t="n">
        <x:f>MAX(0,MIN(AE$8+1,'Fleet'!$O98)-MAX(AE$7,'Fleet'!$G98))</x:f>
        <x:v>0</x:v>
      </x:c>
      <x:c r="AF101" s="34" t="n">
        <x:f>MAX(0,MIN(AF$8+1,'Fleet'!$O98)-MAX(AF$7,'Fleet'!$G98))</x:f>
        <x:v>0</x:v>
      </x:c>
      <x:c r="AG101" s="34" t="n">
        <x:f>MAX(0,MIN(AG$8+1,'Fleet'!$O98)-MAX(AG$7,'Fleet'!$G98))</x:f>
        <x:v>0</x:v>
      </x:c>
      <x:c r="AH101" s="34" t="n">
        <x:f>MAX(0,MIN(AH$8+1,'Fleet'!$O98)-MAX(AH$7,'Fleet'!$G98))</x:f>
        <x:v>0</x:v>
      </x:c>
      <x:c r="AI101" s="34" t="n">
        <x:f>MAX(0,MIN(AI$8+1,'Fleet'!$O98)-MAX(AI$7,'Fleet'!$G98))</x:f>
        <x:v>0</x:v>
      </x:c>
      <x:c r="AJ101" s="34" t="n">
        <x:f>MAX(0,MIN(AJ$8+1,'Fleet'!$O98)-MAX(AJ$7,'Fleet'!$G98))</x:f>
        <x:v>0</x:v>
      </x:c>
      <x:c r="AK101" s="34" t="n">
        <x:f>MAX(0,MIN(AK$8+1,'Fleet'!$O98)-MAX(AK$7,'Fleet'!$G98))</x:f>
        <x:v>0</x:v>
      </x:c>
      <x:c r="AL101" s="34" t="n">
        <x:f>MAX(0,MIN(AL$8+1,'Fleet'!$O98)-MAX(AL$7,'Fleet'!$G98))</x:f>
        <x:v>0</x:v>
      </x:c>
      <x:c r="AM101" s="34" t="n">
        <x:f>MAX(0,MIN(AM$8+1,'Fleet'!$O98)-MAX(AM$7,'Fleet'!$G98))</x:f>
        <x:v>0</x:v>
      </x:c>
      <x:c r="AN101" s="34" t="n">
        <x:f>MAX(0,MIN(AN$8+1,'Fleet'!$O98)-MAX(AN$7,'Fleet'!$G98))</x:f>
        <x:v>0</x:v>
      </x:c>
      <x:c r="AO101" s="34" t="n">
        <x:f>MAX(0,MIN(AO$8+1,'Fleet'!$O98)-MAX(AO$7,'Fleet'!$G98))</x:f>
        <x:v>0</x:v>
      </x:c>
      <x:c r="AP101" s="34" t="n">
        <x:f>MAX(0,MIN(AP$8+1,'Fleet'!$O98)-MAX(AP$7,'Fleet'!$G98))</x:f>
        <x:v>0</x:v>
      </x:c>
      <x:c r="AQ101" s="34" t="n">
        <x:f>MAX(0,MIN(AQ$8+1,'Fleet'!$O98)-MAX(AQ$7,'Fleet'!$G98))</x:f>
        <x:v>0</x:v>
      </x:c>
    </x:row>
    <x:row r="102" ht="21" customHeight="1">
      <x:c r="A102" s="2"/>
      <x:c r="B102" s="2"/>
      <x:c r="C102" s="5" t="str">
        <x:f>'Fleet'!C99</x:f>
        <x:v>Star Shanghai</x:v>
      </x:c>
      <x:c r="D102" s="5" t="str">
        <x:f>'Fleet'!D99</x:f>
        <x:v>Ultramax</x:v>
      </x:c>
      <x:c r="E102" s="34" t="n">
        <x:f>MAX(0,MIN(E$8+1,'Fleet'!$O99)-MAX(E$7,'Fleet'!$G99))</x:f>
        <x:v>83</x:v>
      </x:c>
      <x:c r="F102" s="34" t="n">
        <x:f>MAX(0,MIN(F$8+1,'Fleet'!$O99)-MAX(F$7,'Fleet'!$G99))</x:f>
        <x:v>90</x:v>
      </x:c>
      <x:c r="G102" s="34" t="n">
        <x:f>MAX(0,MIN(G$8+1,'Fleet'!$O99)-MAX(G$7,'Fleet'!$G99))</x:f>
        <x:v>91</x:v>
      </x:c>
      <x:c r="H102" s="34" t="n">
        <x:f>MAX(0,MIN(H$8+1,'Fleet'!$O99)-MAX(H$7,'Fleet'!$G99))</x:f>
        <x:v>92</x:v>
      </x:c>
      <x:c r="I102" s="34" t="n">
        <x:f>MAX(0,MIN(I$8+1,'Fleet'!$O99)-MAX(I$7,'Fleet'!$G99))</x:f>
        <x:v>92</x:v>
      </x:c>
      <x:c r="J102" s="34" t="n">
        <x:f>MAX(0,MIN(J$8+1,'Fleet'!$O99)-MAX(J$7,'Fleet'!$G99))</x:f>
        <x:v>91</x:v>
      </x:c>
      <x:c r="K102" s="34" t="n">
        <x:f>MAX(0,MIN(K$8+1,'Fleet'!$O99)-MAX(K$7,'Fleet'!$G99))</x:f>
        <x:v>91</x:v>
      </x:c>
      <x:c r="L102" s="34" t="n">
        <x:f>MAX(0,MIN(L$8+1,'Fleet'!$O99)-MAX(L$7,'Fleet'!$G99))</x:f>
        <x:v>92</x:v>
      </x:c>
      <x:c r="M102" s="34" t="n">
        <x:f>MAX(0,MIN(M$8+1,'Fleet'!$O99)-MAX(M$7,'Fleet'!$G99))</x:f>
        <x:v>92</x:v>
      </x:c>
      <x:c r="N102" s="34" t="n">
        <x:f>MAX(0,MIN(N$8+1,'Fleet'!$O99)-MAX(N$7,'Fleet'!$G99))</x:f>
        <x:v>90</x:v>
      </x:c>
      <x:c r="O102" s="34" t="n">
        <x:f>MAX(0,MIN(O$8+1,'Fleet'!$O99)-MAX(O$7,'Fleet'!$G99))</x:f>
        <x:v>91</x:v>
      </x:c>
      <x:c r="P102" s="34" t="n">
        <x:f>MAX(0,MIN(P$8+1,'Fleet'!$O99)-MAX(P$7,'Fleet'!$G99))</x:f>
        <x:v>92</x:v>
      </x:c>
      <x:c r="Q102" s="34" t="n">
        <x:f>MAX(0,MIN(Q$8+1,'Fleet'!$O99)-MAX(Q$7,'Fleet'!$G99))</x:f>
        <x:v>365</x:v>
      </x:c>
      <x:c r="R102" s="34" t="n">
        <x:f>MAX(0,MIN(R$8+1,'Fleet'!$O99)-MAX(R$7,'Fleet'!$G99))</x:f>
        <x:v>365</x:v>
      </x:c>
      <x:c r="S102" s="34" t="n">
        <x:f>MAX(0,MIN(S$8+1,'Fleet'!$O99)-MAX(S$7,'Fleet'!$G99))</x:f>
        <x:v>366</x:v>
      </x:c>
      <x:c r="T102" s="34" t="n">
        <x:f>MAX(0,MIN(T$8+1,'Fleet'!$O99)-MAX(T$7,'Fleet'!$G99))</x:f>
        <x:v>365</x:v>
      </x:c>
      <x:c r="U102" s="34" t="n">
        <x:f>MAX(0,MIN(U$8+1,'Fleet'!$O99)-MAX(U$7,'Fleet'!$G99))</x:f>
        <x:v>365</x:v>
      </x:c>
      <x:c r="V102" s="34" t="n">
        <x:f>MAX(0,MIN(V$8+1,'Fleet'!$O99)-MAX(V$7,'Fleet'!$G99))</x:f>
        <x:v>365</x:v>
      </x:c>
      <x:c r="W102" s="34" t="n">
        <x:f>MAX(0,MIN(W$8+1,'Fleet'!$O99)-MAX(W$7,'Fleet'!$G99))</x:f>
        <x:v>366</x:v>
      </x:c>
      <x:c r="X102" s="34" t="n">
        <x:f>MAX(0,MIN(X$8+1,'Fleet'!$O99)-MAX(X$7,'Fleet'!$G99))</x:f>
        <x:v>365</x:v>
      </x:c>
      <x:c r="Y102" s="34" t="n">
        <x:f>MAX(0,MIN(Y$8+1,'Fleet'!$O99)-MAX(Y$7,'Fleet'!$G99))</x:f>
        <x:v>365</x:v>
      </x:c>
      <x:c r="Z102" s="34" t="n">
        <x:f>MAX(0,MIN(Z$8+1,'Fleet'!$O99)-MAX(Z$7,'Fleet'!$G99))</x:f>
        <x:v>365</x:v>
      </x:c>
      <x:c r="AA102" s="34" t="n">
        <x:f>MAX(0,MIN(AA$8+1,'Fleet'!$O99)-MAX(AA$7,'Fleet'!$G99))</x:f>
        <x:v>366</x:v>
      </x:c>
      <x:c r="AB102" s="34" t="n">
        <x:f>MAX(0,MIN(AB$8+1,'Fleet'!$O99)-MAX(AB$7,'Fleet'!$G99))</x:f>
        <x:v>273</x:v>
      </x:c>
      <x:c r="AC102" s="34" t="n">
        <x:f>MAX(0,MIN(AC$8+1,'Fleet'!$O99)-MAX(AC$7,'Fleet'!$G99))</x:f>
        <x:v>0</x:v>
      </x:c>
      <x:c r="AD102" s="34" t="n">
        <x:f>MAX(0,MIN(AD$8+1,'Fleet'!$O99)-MAX(AD$7,'Fleet'!$G99))</x:f>
        <x:v>0</x:v>
      </x:c>
      <x:c r="AE102" s="34" t="n">
        <x:f>MAX(0,MIN(AE$8+1,'Fleet'!$O99)-MAX(AE$7,'Fleet'!$G99))</x:f>
        <x:v>0</x:v>
      </x:c>
      <x:c r="AF102" s="34" t="n">
        <x:f>MAX(0,MIN(AF$8+1,'Fleet'!$O99)-MAX(AF$7,'Fleet'!$G99))</x:f>
        <x:v>0</x:v>
      </x:c>
      <x:c r="AG102" s="34" t="n">
        <x:f>MAX(0,MIN(AG$8+1,'Fleet'!$O99)-MAX(AG$7,'Fleet'!$G99))</x:f>
        <x:v>0</x:v>
      </x:c>
      <x:c r="AH102" s="34" t="n">
        <x:f>MAX(0,MIN(AH$8+1,'Fleet'!$O99)-MAX(AH$7,'Fleet'!$G99))</x:f>
        <x:v>0</x:v>
      </x:c>
      <x:c r="AI102" s="34" t="n">
        <x:f>MAX(0,MIN(AI$8+1,'Fleet'!$O99)-MAX(AI$7,'Fleet'!$G99))</x:f>
        <x:v>0</x:v>
      </x:c>
      <x:c r="AJ102" s="34" t="n">
        <x:f>MAX(0,MIN(AJ$8+1,'Fleet'!$O99)-MAX(AJ$7,'Fleet'!$G99))</x:f>
        <x:v>0</x:v>
      </x:c>
      <x:c r="AK102" s="34" t="n">
        <x:f>MAX(0,MIN(AK$8+1,'Fleet'!$O99)-MAX(AK$7,'Fleet'!$G99))</x:f>
        <x:v>0</x:v>
      </x:c>
      <x:c r="AL102" s="34" t="n">
        <x:f>MAX(0,MIN(AL$8+1,'Fleet'!$O99)-MAX(AL$7,'Fleet'!$G99))</x:f>
        <x:v>0</x:v>
      </x:c>
      <x:c r="AM102" s="34" t="n">
        <x:f>MAX(0,MIN(AM$8+1,'Fleet'!$O99)-MAX(AM$7,'Fleet'!$G99))</x:f>
        <x:v>0</x:v>
      </x:c>
      <x:c r="AN102" s="34" t="n">
        <x:f>MAX(0,MIN(AN$8+1,'Fleet'!$O99)-MAX(AN$7,'Fleet'!$G99))</x:f>
        <x:v>0</x:v>
      </x:c>
      <x:c r="AO102" s="34" t="n">
        <x:f>MAX(0,MIN(AO$8+1,'Fleet'!$O99)-MAX(AO$7,'Fleet'!$G99))</x:f>
        <x:v>0</x:v>
      </x:c>
      <x:c r="AP102" s="34" t="n">
        <x:f>MAX(0,MIN(AP$8+1,'Fleet'!$O99)-MAX(AP$7,'Fleet'!$G99))</x:f>
        <x:v>0</x:v>
      </x:c>
      <x:c r="AQ102" s="34" t="n">
        <x:f>MAX(0,MIN(AQ$8+1,'Fleet'!$O99)-MAX(AQ$7,'Fleet'!$G99))</x:f>
        <x:v>0</x:v>
      </x:c>
    </x:row>
    <x:row r="103" ht="21" customHeight="1">
      <x:c r="A103" s="2"/>
      <x:c r="B103" s="2"/>
      <x:c r="C103" s="5" t="str">
        <x:f>'Fleet'!C100</x:f>
        <x:v>Star Roberta</x:v>
      </x:c>
      <x:c r="D103" s="5" t="str">
        <x:f>'Fleet'!D100</x:f>
        <x:v>Ultramax</x:v>
      </x:c>
      <x:c r="E103" s="34" t="n">
        <x:f>MAX(0,MIN(E$8+1,'Fleet'!$O100)-MAX(E$7,'Fleet'!$G100))</x:f>
        <x:v>83</x:v>
      </x:c>
      <x:c r="F103" s="34" t="n">
        <x:f>MAX(0,MIN(F$8+1,'Fleet'!$O100)-MAX(F$7,'Fleet'!$G100))</x:f>
        <x:v>90</x:v>
      </x:c>
      <x:c r="G103" s="34" t="n">
        <x:f>MAX(0,MIN(G$8+1,'Fleet'!$O100)-MAX(G$7,'Fleet'!$G100))</x:f>
        <x:v>91</x:v>
      </x:c>
      <x:c r="H103" s="34" t="n">
        <x:f>MAX(0,MIN(H$8+1,'Fleet'!$O100)-MAX(H$7,'Fleet'!$G100))</x:f>
        <x:v>92</x:v>
      </x:c>
      <x:c r="I103" s="34" t="n">
        <x:f>MAX(0,MIN(I$8+1,'Fleet'!$O100)-MAX(I$7,'Fleet'!$G100))</x:f>
        <x:v>92</x:v>
      </x:c>
      <x:c r="J103" s="34" t="n">
        <x:f>MAX(0,MIN(J$8+1,'Fleet'!$O100)-MAX(J$7,'Fleet'!$G100))</x:f>
        <x:v>91</x:v>
      </x:c>
      <x:c r="K103" s="34" t="n">
        <x:f>MAX(0,MIN(K$8+1,'Fleet'!$O100)-MAX(K$7,'Fleet'!$G100))</x:f>
        <x:v>91</x:v>
      </x:c>
      <x:c r="L103" s="34" t="n">
        <x:f>MAX(0,MIN(L$8+1,'Fleet'!$O100)-MAX(L$7,'Fleet'!$G100))</x:f>
        <x:v>92</x:v>
      </x:c>
      <x:c r="M103" s="34" t="n">
        <x:f>MAX(0,MIN(M$8+1,'Fleet'!$O100)-MAX(M$7,'Fleet'!$G100))</x:f>
        <x:v>92</x:v>
      </x:c>
      <x:c r="N103" s="34" t="n">
        <x:f>MAX(0,MIN(N$8+1,'Fleet'!$O100)-MAX(N$7,'Fleet'!$G100))</x:f>
        <x:v>90</x:v>
      </x:c>
      <x:c r="O103" s="34" t="n">
        <x:f>MAX(0,MIN(O$8+1,'Fleet'!$O100)-MAX(O$7,'Fleet'!$G100))</x:f>
        <x:v>91</x:v>
      </x:c>
      <x:c r="P103" s="34" t="n">
        <x:f>MAX(0,MIN(P$8+1,'Fleet'!$O100)-MAX(P$7,'Fleet'!$G100))</x:f>
        <x:v>92</x:v>
      </x:c>
      <x:c r="Q103" s="34" t="n">
        <x:f>MAX(0,MIN(Q$8+1,'Fleet'!$O100)-MAX(Q$7,'Fleet'!$G100))</x:f>
        <x:v>365</x:v>
      </x:c>
      <x:c r="R103" s="34" t="n">
        <x:f>MAX(0,MIN(R$8+1,'Fleet'!$O100)-MAX(R$7,'Fleet'!$G100))</x:f>
        <x:v>365</x:v>
      </x:c>
      <x:c r="S103" s="34" t="n">
        <x:f>MAX(0,MIN(S$8+1,'Fleet'!$O100)-MAX(S$7,'Fleet'!$G100))</x:f>
        <x:v>366</x:v>
      </x:c>
      <x:c r="T103" s="34" t="n">
        <x:f>MAX(0,MIN(T$8+1,'Fleet'!$O100)-MAX(T$7,'Fleet'!$G100))</x:f>
        <x:v>365</x:v>
      </x:c>
      <x:c r="U103" s="34" t="n">
        <x:f>MAX(0,MIN(U$8+1,'Fleet'!$O100)-MAX(U$7,'Fleet'!$G100))</x:f>
        <x:v>365</x:v>
      </x:c>
      <x:c r="V103" s="34" t="n">
        <x:f>MAX(0,MIN(V$8+1,'Fleet'!$O100)-MAX(V$7,'Fleet'!$G100))</x:f>
        <x:v>365</x:v>
      </x:c>
      <x:c r="W103" s="34" t="n">
        <x:f>MAX(0,MIN(W$8+1,'Fleet'!$O100)-MAX(W$7,'Fleet'!$G100))</x:f>
        <x:v>366</x:v>
      </x:c>
      <x:c r="X103" s="34" t="n">
        <x:f>MAX(0,MIN(X$8+1,'Fleet'!$O100)-MAX(X$7,'Fleet'!$G100))</x:f>
        <x:v>365</x:v>
      </x:c>
      <x:c r="Y103" s="34" t="n">
        <x:f>MAX(0,MIN(Y$8+1,'Fleet'!$O100)-MAX(Y$7,'Fleet'!$G100))</x:f>
        <x:v>365</x:v>
      </x:c>
      <x:c r="Z103" s="34" t="n">
        <x:f>MAX(0,MIN(Z$8+1,'Fleet'!$O100)-MAX(Z$7,'Fleet'!$G100))</x:f>
        <x:v>365</x:v>
      </x:c>
      <x:c r="AA103" s="34" t="n">
        <x:f>MAX(0,MIN(AA$8+1,'Fleet'!$O100)-MAX(AA$7,'Fleet'!$G100))</x:f>
        <x:v>274</x:v>
      </x:c>
      <x:c r="AB103" s="34" t="n">
        <x:f>MAX(0,MIN(AB$8+1,'Fleet'!$O100)-MAX(AB$7,'Fleet'!$G100))</x:f>
        <x:v>0</x:v>
      </x:c>
      <x:c r="AC103" s="34" t="n">
        <x:f>MAX(0,MIN(AC$8+1,'Fleet'!$O100)-MAX(AC$7,'Fleet'!$G100))</x:f>
        <x:v>0</x:v>
      </x:c>
      <x:c r="AD103" s="34" t="n">
        <x:f>MAX(0,MIN(AD$8+1,'Fleet'!$O100)-MAX(AD$7,'Fleet'!$G100))</x:f>
        <x:v>0</x:v>
      </x:c>
      <x:c r="AE103" s="34" t="n">
        <x:f>MAX(0,MIN(AE$8+1,'Fleet'!$O100)-MAX(AE$7,'Fleet'!$G100))</x:f>
        <x:v>0</x:v>
      </x:c>
      <x:c r="AF103" s="34" t="n">
        <x:f>MAX(0,MIN(AF$8+1,'Fleet'!$O100)-MAX(AF$7,'Fleet'!$G100))</x:f>
        <x:v>0</x:v>
      </x:c>
      <x:c r="AG103" s="34" t="n">
        <x:f>MAX(0,MIN(AG$8+1,'Fleet'!$O100)-MAX(AG$7,'Fleet'!$G100))</x:f>
        <x:v>0</x:v>
      </x:c>
      <x:c r="AH103" s="34" t="n">
        <x:f>MAX(0,MIN(AH$8+1,'Fleet'!$O100)-MAX(AH$7,'Fleet'!$G100))</x:f>
        <x:v>0</x:v>
      </x:c>
      <x:c r="AI103" s="34" t="n">
        <x:f>MAX(0,MIN(AI$8+1,'Fleet'!$O100)-MAX(AI$7,'Fleet'!$G100))</x:f>
        <x:v>0</x:v>
      </x:c>
      <x:c r="AJ103" s="34" t="n">
        <x:f>MAX(0,MIN(AJ$8+1,'Fleet'!$O100)-MAX(AJ$7,'Fleet'!$G100))</x:f>
        <x:v>0</x:v>
      </x:c>
      <x:c r="AK103" s="34" t="n">
        <x:f>MAX(0,MIN(AK$8+1,'Fleet'!$O100)-MAX(AK$7,'Fleet'!$G100))</x:f>
        <x:v>0</x:v>
      </x:c>
      <x:c r="AL103" s="34" t="n">
        <x:f>MAX(0,MIN(AL$8+1,'Fleet'!$O100)-MAX(AL$7,'Fleet'!$G100))</x:f>
        <x:v>0</x:v>
      </x:c>
      <x:c r="AM103" s="34" t="n">
        <x:f>MAX(0,MIN(AM$8+1,'Fleet'!$O100)-MAX(AM$7,'Fleet'!$G100))</x:f>
        <x:v>0</x:v>
      </x:c>
      <x:c r="AN103" s="34" t="n">
        <x:f>MAX(0,MIN(AN$8+1,'Fleet'!$O100)-MAX(AN$7,'Fleet'!$G100))</x:f>
        <x:v>0</x:v>
      </x:c>
      <x:c r="AO103" s="34" t="n">
        <x:f>MAX(0,MIN(AO$8+1,'Fleet'!$O100)-MAX(AO$7,'Fleet'!$G100))</x:f>
        <x:v>0</x:v>
      </x:c>
      <x:c r="AP103" s="34" t="n">
        <x:f>MAX(0,MIN(AP$8+1,'Fleet'!$O100)-MAX(AP$7,'Fleet'!$G100))</x:f>
        <x:v>0</x:v>
      </x:c>
      <x:c r="AQ103" s="34" t="n">
        <x:f>MAX(0,MIN(AQ$8+1,'Fleet'!$O100)-MAX(AQ$7,'Fleet'!$G100))</x:f>
        <x:v>0</x:v>
      </x:c>
    </x:row>
    <x:row r="104" ht="21" customHeight="1">
      <x:c r="A104" s="2"/>
      <x:c r="B104" s="2"/>
      <x:c r="C104" s="5" t="str">
        <x:f>'Fleet'!C101</x:f>
        <x:v>Laura</x:v>
      </x:c>
      <x:c r="D104" s="5" t="str">
        <x:f>'Fleet'!D101</x:f>
        <x:v>Ultramax</x:v>
      </x:c>
      <x:c r="E104" s="34" t="n">
        <x:f>MAX(0,MIN(E$8+1,'Fleet'!$O101)-MAX(E$7,'Fleet'!$G101))</x:f>
        <x:v>83</x:v>
      </x:c>
      <x:c r="F104" s="34" t="n">
        <x:f>MAX(0,MIN(F$8+1,'Fleet'!$O101)-MAX(F$7,'Fleet'!$G101))</x:f>
        <x:v>90</x:v>
      </x:c>
      <x:c r="G104" s="34" t="n">
        <x:f>MAX(0,MIN(G$8+1,'Fleet'!$O101)-MAX(G$7,'Fleet'!$G101))</x:f>
        <x:v>91</x:v>
      </x:c>
      <x:c r="H104" s="34" t="n">
        <x:f>MAX(0,MIN(H$8+1,'Fleet'!$O101)-MAX(H$7,'Fleet'!$G101))</x:f>
        <x:v>92</x:v>
      </x:c>
      <x:c r="I104" s="34" t="n">
        <x:f>MAX(0,MIN(I$8+1,'Fleet'!$O101)-MAX(I$7,'Fleet'!$G101))</x:f>
        <x:v>92</x:v>
      </x:c>
      <x:c r="J104" s="34" t="n">
        <x:f>MAX(0,MIN(J$8+1,'Fleet'!$O101)-MAX(J$7,'Fleet'!$G101))</x:f>
        <x:v>91</x:v>
      </x:c>
      <x:c r="K104" s="34" t="n">
        <x:f>MAX(0,MIN(K$8+1,'Fleet'!$O101)-MAX(K$7,'Fleet'!$G101))</x:f>
        <x:v>91</x:v>
      </x:c>
      <x:c r="L104" s="34" t="n">
        <x:f>MAX(0,MIN(L$8+1,'Fleet'!$O101)-MAX(L$7,'Fleet'!$G101))</x:f>
        <x:v>92</x:v>
      </x:c>
      <x:c r="M104" s="34" t="n">
        <x:f>MAX(0,MIN(M$8+1,'Fleet'!$O101)-MAX(M$7,'Fleet'!$G101))</x:f>
        <x:v>92</x:v>
      </x:c>
      <x:c r="N104" s="34" t="n">
        <x:f>MAX(0,MIN(N$8+1,'Fleet'!$O101)-MAX(N$7,'Fleet'!$G101))</x:f>
        <x:v>90</x:v>
      </x:c>
      <x:c r="O104" s="34" t="n">
        <x:f>MAX(0,MIN(O$8+1,'Fleet'!$O101)-MAX(O$7,'Fleet'!$G101))</x:f>
        <x:v>91</x:v>
      </x:c>
      <x:c r="P104" s="34" t="n">
        <x:f>MAX(0,MIN(P$8+1,'Fleet'!$O101)-MAX(P$7,'Fleet'!$G101))</x:f>
        <x:v>92</x:v>
      </x:c>
      <x:c r="Q104" s="34" t="n">
        <x:f>MAX(0,MIN(Q$8+1,'Fleet'!$O101)-MAX(Q$7,'Fleet'!$G101))</x:f>
        <x:v>365</x:v>
      </x:c>
      <x:c r="R104" s="34" t="n">
        <x:f>MAX(0,MIN(R$8+1,'Fleet'!$O101)-MAX(R$7,'Fleet'!$G101))</x:f>
        <x:v>365</x:v>
      </x:c>
      <x:c r="S104" s="34" t="n">
        <x:f>MAX(0,MIN(S$8+1,'Fleet'!$O101)-MAX(S$7,'Fleet'!$G101))</x:f>
        <x:v>366</x:v>
      </x:c>
      <x:c r="T104" s="34" t="n">
        <x:f>MAX(0,MIN(T$8+1,'Fleet'!$O101)-MAX(T$7,'Fleet'!$G101))</x:f>
        <x:v>365</x:v>
      </x:c>
      <x:c r="U104" s="34" t="n">
        <x:f>MAX(0,MIN(U$8+1,'Fleet'!$O101)-MAX(U$7,'Fleet'!$G101))</x:f>
        <x:v>365</x:v>
      </x:c>
      <x:c r="V104" s="34" t="n">
        <x:f>MAX(0,MIN(V$8+1,'Fleet'!$O101)-MAX(V$7,'Fleet'!$G101))</x:f>
        <x:v>365</x:v>
      </x:c>
      <x:c r="W104" s="34" t="n">
        <x:f>MAX(0,MIN(W$8+1,'Fleet'!$O101)-MAX(W$7,'Fleet'!$G101))</x:f>
        <x:v>366</x:v>
      </x:c>
      <x:c r="X104" s="34" t="n">
        <x:f>MAX(0,MIN(X$8+1,'Fleet'!$O101)-MAX(X$7,'Fleet'!$G101))</x:f>
        <x:v>365</x:v>
      </x:c>
      <x:c r="Y104" s="34" t="n">
        <x:f>MAX(0,MIN(Y$8+1,'Fleet'!$O101)-MAX(Y$7,'Fleet'!$G101))</x:f>
        <x:v>365</x:v>
      </x:c>
      <x:c r="Z104" s="34" t="n">
        <x:f>MAX(0,MIN(Z$8+1,'Fleet'!$O101)-MAX(Z$7,'Fleet'!$G101))</x:f>
        <x:v>365</x:v>
      </x:c>
      <x:c r="AA104" s="34" t="n">
        <x:f>MAX(0,MIN(AA$8+1,'Fleet'!$O101)-MAX(AA$7,'Fleet'!$G101))</x:f>
        <x:v>274</x:v>
      </x:c>
      <x:c r="AB104" s="34" t="n">
        <x:f>MAX(0,MIN(AB$8+1,'Fleet'!$O101)-MAX(AB$7,'Fleet'!$G101))</x:f>
        <x:v>0</x:v>
      </x:c>
      <x:c r="AC104" s="34" t="n">
        <x:f>MAX(0,MIN(AC$8+1,'Fleet'!$O101)-MAX(AC$7,'Fleet'!$G101))</x:f>
        <x:v>0</x:v>
      </x:c>
      <x:c r="AD104" s="34" t="n">
        <x:f>MAX(0,MIN(AD$8+1,'Fleet'!$O101)-MAX(AD$7,'Fleet'!$G101))</x:f>
        <x:v>0</x:v>
      </x:c>
      <x:c r="AE104" s="34" t="n">
        <x:f>MAX(0,MIN(AE$8+1,'Fleet'!$O101)-MAX(AE$7,'Fleet'!$G101))</x:f>
        <x:v>0</x:v>
      </x:c>
      <x:c r="AF104" s="34" t="n">
        <x:f>MAX(0,MIN(AF$8+1,'Fleet'!$O101)-MAX(AF$7,'Fleet'!$G101))</x:f>
        <x:v>0</x:v>
      </x:c>
      <x:c r="AG104" s="34" t="n">
        <x:f>MAX(0,MIN(AG$8+1,'Fleet'!$O101)-MAX(AG$7,'Fleet'!$G101))</x:f>
        <x:v>0</x:v>
      </x:c>
      <x:c r="AH104" s="34" t="n">
        <x:f>MAX(0,MIN(AH$8+1,'Fleet'!$O101)-MAX(AH$7,'Fleet'!$G101))</x:f>
        <x:v>0</x:v>
      </x:c>
      <x:c r="AI104" s="34" t="n">
        <x:f>MAX(0,MIN(AI$8+1,'Fleet'!$O101)-MAX(AI$7,'Fleet'!$G101))</x:f>
        <x:v>0</x:v>
      </x:c>
      <x:c r="AJ104" s="34" t="n">
        <x:f>MAX(0,MIN(AJ$8+1,'Fleet'!$O101)-MAX(AJ$7,'Fleet'!$G101))</x:f>
        <x:v>0</x:v>
      </x:c>
      <x:c r="AK104" s="34" t="n">
        <x:f>MAX(0,MIN(AK$8+1,'Fleet'!$O101)-MAX(AK$7,'Fleet'!$G101))</x:f>
        <x:v>0</x:v>
      </x:c>
      <x:c r="AL104" s="34" t="n">
        <x:f>MAX(0,MIN(AL$8+1,'Fleet'!$O101)-MAX(AL$7,'Fleet'!$G101))</x:f>
        <x:v>0</x:v>
      </x:c>
      <x:c r="AM104" s="34" t="n">
        <x:f>MAX(0,MIN(AM$8+1,'Fleet'!$O101)-MAX(AM$7,'Fleet'!$G101))</x:f>
        <x:v>0</x:v>
      </x:c>
      <x:c r="AN104" s="34" t="n">
        <x:f>MAX(0,MIN(AN$8+1,'Fleet'!$O101)-MAX(AN$7,'Fleet'!$G101))</x:f>
        <x:v>0</x:v>
      </x:c>
      <x:c r="AO104" s="34" t="n">
        <x:f>MAX(0,MIN(AO$8+1,'Fleet'!$O101)-MAX(AO$7,'Fleet'!$G101))</x:f>
        <x:v>0</x:v>
      </x:c>
      <x:c r="AP104" s="34" t="n">
        <x:f>MAX(0,MIN(AP$8+1,'Fleet'!$O101)-MAX(AP$7,'Fleet'!$G101))</x:f>
        <x:v>0</x:v>
      </x:c>
      <x:c r="AQ104" s="34" t="n">
        <x:f>MAX(0,MIN(AQ$8+1,'Fleet'!$O101)-MAX(AQ$7,'Fleet'!$G101))</x:f>
        <x:v>0</x:v>
      </x:c>
    </x:row>
    <x:row r="105" ht="21" customHeight="1">
      <x:c r="A105" s="2"/>
      <x:c r="B105" s="2"/>
      <x:c r="C105" s="5" t="str">
        <x:f>'Fleet'!C102</x:f>
        <x:v>Star Singapore</x:v>
      </x:c>
      <x:c r="D105" s="5" t="str">
        <x:f>'Fleet'!D102</x:f>
        <x:v>Ultramax</x:v>
      </x:c>
      <x:c r="E105" s="34" t="n">
        <x:f>MAX(0,MIN(E$8+1,'Fleet'!$O102)-MAX(E$7,'Fleet'!$G102))</x:f>
        <x:v>83</x:v>
      </x:c>
      <x:c r="F105" s="34" t="n">
        <x:f>MAX(0,MIN(F$8+1,'Fleet'!$O102)-MAX(F$7,'Fleet'!$G102))</x:f>
        <x:v>90</x:v>
      </x:c>
      <x:c r="G105" s="34" t="n">
        <x:f>MAX(0,MIN(G$8+1,'Fleet'!$O102)-MAX(G$7,'Fleet'!$G102))</x:f>
        <x:v>91</x:v>
      </x:c>
      <x:c r="H105" s="34" t="n">
        <x:f>MAX(0,MIN(H$8+1,'Fleet'!$O102)-MAX(H$7,'Fleet'!$G102))</x:f>
        <x:v>92</x:v>
      </x:c>
      <x:c r="I105" s="34" t="n">
        <x:f>MAX(0,MIN(I$8+1,'Fleet'!$O102)-MAX(I$7,'Fleet'!$G102))</x:f>
        <x:v>92</x:v>
      </x:c>
      <x:c r="J105" s="34" t="n">
        <x:f>MAX(0,MIN(J$8+1,'Fleet'!$O102)-MAX(J$7,'Fleet'!$G102))</x:f>
        <x:v>91</x:v>
      </x:c>
      <x:c r="K105" s="34" t="n">
        <x:f>MAX(0,MIN(K$8+1,'Fleet'!$O102)-MAX(K$7,'Fleet'!$G102))</x:f>
        <x:v>91</x:v>
      </x:c>
      <x:c r="L105" s="34" t="n">
        <x:f>MAX(0,MIN(L$8+1,'Fleet'!$O102)-MAX(L$7,'Fleet'!$G102))</x:f>
        <x:v>92</x:v>
      </x:c>
      <x:c r="M105" s="34" t="n">
        <x:f>MAX(0,MIN(M$8+1,'Fleet'!$O102)-MAX(M$7,'Fleet'!$G102))</x:f>
        <x:v>92</x:v>
      </x:c>
      <x:c r="N105" s="34" t="n">
        <x:f>MAX(0,MIN(N$8+1,'Fleet'!$O102)-MAX(N$7,'Fleet'!$G102))</x:f>
        <x:v>90</x:v>
      </x:c>
      <x:c r="O105" s="34" t="n">
        <x:f>MAX(0,MIN(O$8+1,'Fleet'!$O102)-MAX(O$7,'Fleet'!$G102))</x:f>
        <x:v>91</x:v>
      </x:c>
      <x:c r="P105" s="34" t="n">
        <x:f>MAX(0,MIN(P$8+1,'Fleet'!$O102)-MAX(P$7,'Fleet'!$G102))</x:f>
        <x:v>92</x:v>
      </x:c>
      <x:c r="Q105" s="34" t="n">
        <x:f>MAX(0,MIN(Q$8+1,'Fleet'!$O102)-MAX(Q$7,'Fleet'!$G102))</x:f>
        <x:v>365</x:v>
      </x:c>
      <x:c r="R105" s="34" t="n">
        <x:f>MAX(0,MIN(R$8+1,'Fleet'!$O102)-MAX(R$7,'Fleet'!$G102))</x:f>
        <x:v>365</x:v>
      </x:c>
      <x:c r="S105" s="34" t="n">
        <x:f>MAX(0,MIN(S$8+1,'Fleet'!$O102)-MAX(S$7,'Fleet'!$G102))</x:f>
        <x:v>366</x:v>
      </x:c>
      <x:c r="T105" s="34" t="n">
        <x:f>MAX(0,MIN(T$8+1,'Fleet'!$O102)-MAX(T$7,'Fleet'!$G102))</x:f>
        <x:v>365</x:v>
      </x:c>
      <x:c r="U105" s="34" t="n">
        <x:f>MAX(0,MIN(U$8+1,'Fleet'!$O102)-MAX(U$7,'Fleet'!$G102))</x:f>
        <x:v>365</x:v>
      </x:c>
      <x:c r="V105" s="34" t="n">
        <x:f>MAX(0,MIN(V$8+1,'Fleet'!$O102)-MAX(V$7,'Fleet'!$G102))</x:f>
        <x:v>365</x:v>
      </x:c>
      <x:c r="W105" s="34" t="n">
        <x:f>MAX(0,MIN(W$8+1,'Fleet'!$O102)-MAX(W$7,'Fleet'!$G102))</x:f>
        <x:v>366</x:v>
      </x:c>
      <x:c r="X105" s="34" t="n">
        <x:f>MAX(0,MIN(X$8+1,'Fleet'!$O102)-MAX(X$7,'Fleet'!$G102))</x:f>
        <x:v>365</x:v>
      </x:c>
      <x:c r="Y105" s="34" t="n">
        <x:f>MAX(0,MIN(Y$8+1,'Fleet'!$O102)-MAX(Y$7,'Fleet'!$G102))</x:f>
        <x:v>365</x:v>
      </x:c>
      <x:c r="Z105" s="34" t="n">
        <x:f>MAX(0,MIN(Z$8+1,'Fleet'!$O102)-MAX(Z$7,'Fleet'!$G102))</x:f>
        <x:v>365</x:v>
      </x:c>
      <x:c r="AA105" s="34" t="n">
        <x:f>MAX(0,MIN(AA$8+1,'Fleet'!$O102)-MAX(AA$7,'Fleet'!$G102))</x:f>
        <x:v>366</x:v>
      </x:c>
      <x:c r="AB105" s="34" t="n">
        <x:f>MAX(0,MIN(AB$8+1,'Fleet'!$O102)-MAX(AB$7,'Fleet'!$G102))</x:f>
        <x:v>365</x:v>
      </x:c>
      <x:c r="AC105" s="34" t="n">
        <x:f>MAX(0,MIN(AC$8+1,'Fleet'!$O102)-MAX(AC$7,'Fleet'!$G102))</x:f>
        <x:v>273</x:v>
      </x:c>
      <x:c r="AD105" s="34" t="n">
        <x:f>MAX(0,MIN(AD$8+1,'Fleet'!$O102)-MAX(AD$7,'Fleet'!$G102))</x:f>
        <x:v>0</x:v>
      </x:c>
      <x:c r="AE105" s="34" t="n">
        <x:f>MAX(0,MIN(AE$8+1,'Fleet'!$O102)-MAX(AE$7,'Fleet'!$G102))</x:f>
        <x:v>0</x:v>
      </x:c>
      <x:c r="AF105" s="34" t="n">
        <x:f>MAX(0,MIN(AF$8+1,'Fleet'!$O102)-MAX(AF$7,'Fleet'!$G102))</x:f>
        <x:v>0</x:v>
      </x:c>
      <x:c r="AG105" s="34" t="n">
        <x:f>MAX(0,MIN(AG$8+1,'Fleet'!$O102)-MAX(AG$7,'Fleet'!$G102))</x:f>
        <x:v>0</x:v>
      </x:c>
      <x:c r="AH105" s="34" t="n">
        <x:f>MAX(0,MIN(AH$8+1,'Fleet'!$O102)-MAX(AH$7,'Fleet'!$G102))</x:f>
        <x:v>0</x:v>
      </x:c>
      <x:c r="AI105" s="34" t="n">
        <x:f>MAX(0,MIN(AI$8+1,'Fleet'!$O102)-MAX(AI$7,'Fleet'!$G102))</x:f>
        <x:v>0</x:v>
      </x:c>
      <x:c r="AJ105" s="34" t="n">
        <x:f>MAX(0,MIN(AJ$8+1,'Fleet'!$O102)-MAX(AJ$7,'Fleet'!$G102))</x:f>
        <x:v>0</x:v>
      </x:c>
      <x:c r="AK105" s="34" t="n">
        <x:f>MAX(0,MIN(AK$8+1,'Fleet'!$O102)-MAX(AK$7,'Fleet'!$G102))</x:f>
        <x:v>0</x:v>
      </x:c>
      <x:c r="AL105" s="34" t="n">
        <x:f>MAX(0,MIN(AL$8+1,'Fleet'!$O102)-MAX(AL$7,'Fleet'!$G102))</x:f>
        <x:v>0</x:v>
      </x:c>
      <x:c r="AM105" s="34" t="n">
        <x:f>MAX(0,MIN(AM$8+1,'Fleet'!$O102)-MAX(AM$7,'Fleet'!$G102))</x:f>
        <x:v>0</x:v>
      </x:c>
      <x:c r="AN105" s="34" t="n">
        <x:f>MAX(0,MIN(AN$8+1,'Fleet'!$O102)-MAX(AN$7,'Fleet'!$G102))</x:f>
        <x:v>0</x:v>
      </x:c>
      <x:c r="AO105" s="34" t="n">
        <x:f>MAX(0,MIN(AO$8+1,'Fleet'!$O102)-MAX(AO$7,'Fleet'!$G102))</x:f>
        <x:v>0</x:v>
      </x:c>
      <x:c r="AP105" s="34" t="n">
        <x:f>MAX(0,MIN(AP$8+1,'Fleet'!$O102)-MAX(AP$7,'Fleet'!$G102))</x:f>
        <x:v>0</x:v>
      </x:c>
      <x:c r="AQ105" s="34" t="n">
        <x:f>MAX(0,MIN(AQ$8+1,'Fleet'!$O102)-MAX(AQ$7,'Fleet'!$G102))</x:f>
        <x:v>0</x:v>
      </x:c>
    </x:row>
    <x:row r="106" ht="21" customHeight="1">
      <x:c r="A106" s="2"/>
      <x:c r="B106" s="2"/>
      <x:c r="C106" s="5" t="str">
        <x:f>'Fleet'!C103</x:f>
        <x:v>Star Westport</x:v>
      </x:c>
      <x:c r="D106" s="5" t="str">
        <x:f>'Fleet'!D103</x:f>
        <x:v>Ultramax</x:v>
      </x:c>
      <x:c r="E106" s="34" t="n">
        <x:f>MAX(0,MIN(E$8+1,'Fleet'!$O103)-MAX(E$7,'Fleet'!$G103))</x:f>
        <x:v>83</x:v>
      </x:c>
      <x:c r="F106" s="34" t="n">
        <x:f>MAX(0,MIN(F$8+1,'Fleet'!$O103)-MAX(F$7,'Fleet'!$G103))</x:f>
        <x:v>90</x:v>
      </x:c>
      <x:c r="G106" s="34" t="n">
        <x:f>MAX(0,MIN(G$8+1,'Fleet'!$O103)-MAX(G$7,'Fleet'!$G103))</x:f>
        <x:v>91</x:v>
      </x:c>
      <x:c r="H106" s="34" t="n">
        <x:f>MAX(0,MIN(H$8+1,'Fleet'!$O103)-MAX(H$7,'Fleet'!$G103))</x:f>
        <x:v>92</x:v>
      </x:c>
      <x:c r="I106" s="34" t="n">
        <x:f>MAX(0,MIN(I$8+1,'Fleet'!$O103)-MAX(I$7,'Fleet'!$G103))</x:f>
        <x:v>92</x:v>
      </x:c>
      <x:c r="J106" s="34" t="n">
        <x:f>MAX(0,MIN(J$8+1,'Fleet'!$O103)-MAX(J$7,'Fleet'!$G103))</x:f>
        <x:v>91</x:v>
      </x:c>
      <x:c r="K106" s="34" t="n">
        <x:f>MAX(0,MIN(K$8+1,'Fleet'!$O103)-MAX(K$7,'Fleet'!$G103))</x:f>
        <x:v>91</x:v>
      </x:c>
      <x:c r="L106" s="34" t="n">
        <x:f>MAX(0,MIN(L$8+1,'Fleet'!$O103)-MAX(L$7,'Fleet'!$G103))</x:f>
        <x:v>92</x:v>
      </x:c>
      <x:c r="M106" s="34" t="n">
        <x:f>MAX(0,MIN(M$8+1,'Fleet'!$O103)-MAX(M$7,'Fleet'!$G103))</x:f>
        <x:v>92</x:v>
      </x:c>
      <x:c r="N106" s="34" t="n">
        <x:f>MAX(0,MIN(N$8+1,'Fleet'!$O103)-MAX(N$7,'Fleet'!$G103))</x:f>
        <x:v>90</x:v>
      </x:c>
      <x:c r="O106" s="34" t="n">
        <x:f>MAX(0,MIN(O$8+1,'Fleet'!$O103)-MAX(O$7,'Fleet'!$G103))</x:f>
        <x:v>91</x:v>
      </x:c>
      <x:c r="P106" s="34" t="n">
        <x:f>MAX(0,MIN(P$8+1,'Fleet'!$O103)-MAX(P$7,'Fleet'!$G103))</x:f>
        <x:v>92</x:v>
      </x:c>
      <x:c r="Q106" s="34" t="n">
        <x:f>MAX(0,MIN(Q$8+1,'Fleet'!$O103)-MAX(Q$7,'Fleet'!$G103))</x:f>
        <x:v>365</x:v>
      </x:c>
      <x:c r="R106" s="34" t="n">
        <x:f>MAX(0,MIN(R$8+1,'Fleet'!$O103)-MAX(R$7,'Fleet'!$G103))</x:f>
        <x:v>365</x:v>
      </x:c>
      <x:c r="S106" s="34" t="n">
        <x:f>MAX(0,MIN(S$8+1,'Fleet'!$O103)-MAX(S$7,'Fleet'!$G103))</x:f>
        <x:v>366</x:v>
      </x:c>
      <x:c r="T106" s="34" t="n">
        <x:f>MAX(0,MIN(T$8+1,'Fleet'!$O103)-MAX(T$7,'Fleet'!$G103))</x:f>
        <x:v>365</x:v>
      </x:c>
      <x:c r="U106" s="34" t="n">
        <x:f>MAX(0,MIN(U$8+1,'Fleet'!$O103)-MAX(U$7,'Fleet'!$G103))</x:f>
        <x:v>365</x:v>
      </x:c>
      <x:c r="V106" s="34" t="n">
        <x:f>MAX(0,MIN(V$8+1,'Fleet'!$O103)-MAX(V$7,'Fleet'!$G103))</x:f>
        <x:v>365</x:v>
      </x:c>
      <x:c r="W106" s="34" t="n">
        <x:f>MAX(0,MIN(W$8+1,'Fleet'!$O103)-MAX(W$7,'Fleet'!$G103))</x:f>
        <x:v>366</x:v>
      </x:c>
      <x:c r="X106" s="34" t="n">
        <x:f>MAX(0,MIN(X$8+1,'Fleet'!$O103)-MAX(X$7,'Fleet'!$G103))</x:f>
        <x:v>365</x:v>
      </x:c>
      <x:c r="Y106" s="34" t="n">
        <x:f>MAX(0,MIN(Y$8+1,'Fleet'!$O103)-MAX(Y$7,'Fleet'!$G103))</x:f>
        <x:v>365</x:v>
      </x:c>
      <x:c r="Z106" s="34" t="n">
        <x:f>MAX(0,MIN(Z$8+1,'Fleet'!$O103)-MAX(Z$7,'Fleet'!$G103))</x:f>
        <x:v>365</x:v>
      </x:c>
      <x:c r="AA106" s="34" t="n">
        <x:f>MAX(0,MIN(AA$8+1,'Fleet'!$O103)-MAX(AA$7,'Fleet'!$G103))</x:f>
        <x:v>274</x:v>
      </x:c>
      <x:c r="AB106" s="34" t="n">
        <x:f>MAX(0,MIN(AB$8+1,'Fleet'!$O103)-MAX(AB$7,'Fleet'!$G103))</x:f>
        <x:v>0</x:v>
      </x:c>
      <x:c r="AC106" s="34" t="n">
        <x:f>MAX(0,MIN(AC$8+1,'Fleet'!$O103)-MAX(AC$7,'Fleet'!$G103))</x:f>
        <x:v>0</x:v>
      </x:c>
      <x:c r="AD106" s="34" t="n">
        <x:f>MAX(0,MIN(AD$8+1,'Fleet'!$O103)-MAX(AD$7,'Fleet'!$G103))</x:f>
        <x:v>0</x:v>
      </x:c>
      <x:c r="AE106" s="34" t="n">
        <x:f>MAX(0,MIN(AE$8+1,'Fleet'!$O103)-MAX(AE$7,'Fleet'!$G103))</x:f>
        <x:v>0</x:v>
      </x:c>
      <x:c r="AF106" s="34" t="n">
        <x:f>MAX(0,MIN(AF$8+1,'Fleet'!$O103)-MAX(AF$7,'Fleet'!$G103))</x:f>
        <x:v>0</x:v>
      </x:c>
      <x:c r="AG106" s="34" t="n">
        <x:f>MAX(0,MIN(AG$8+1,'Fleet'!$O103)-MAX(AG$7,'Fleet'!$G103))</x:f>
        <x:v>0</x:v>
      </x:c>
      <x:c r="AH106" s="34" t="n">
        <x:f>MAX(0,MIN(AH$8+1,'Fleet'!$O103)-MAX(AH$7,'Fleet'!$G103))</x:f>
        <x:v>0</x:v>
      </x:c>
      <x:c r="AI106" s="34" t="n">
        <x:f>MAX(0,MIN(AI$8+1,'Fleet'!$O103)-MAX(AI$7,'Fleet'!$G103))</x:f>
        <x:v>0</x:v>
      </x:c>
      <x:c r="AJ106" s="34" t="n">
        <x:f>MAX(0,MIN(AJ$8+1,'Fleet'!$O103)-MAX(AJ$7,'Fleet'!$G103))</x:f>
        <x:v>0</x:v>
      </x:c>
      <x:c r="AK106" s="34" t="n">
        <x:f>MAX(0,MIN(AK$8+1,'Fleet'!$O103)-MAX(AK$7,'Fleet'!$G103))</x:f>
        <x:v>0</x:v>
      </x:c>
      <x:c r="AL106" s="34" t="n">
        <x:f>MAX(0,MIN(AL$8+1,'Fleet'!$O103)-MAX(AL$7,'Fleet'!$G103))</x:f>
        <x:v>0</x:v>
      </x:c>
      <x:c r="AM106" s="34" t="n">
        <x:f>MAX(0,MIN(AM$8+1,'Fleet'!$O103)-MAX(AM$7,'Fleet'!$G103))</x:f>
        <x:v>0</x:v>
      </x:c>
      <x:c r="AN106" s="34" t="n">
        <x:f>MAX(0,MIN(AN$8+1,'Fleet'!$O103)-MAX(AN$7,'Fleet'!$G103))</x:f>
        <x:v>0</x:v>
      </x:c>
      <x:c r="AO106" s="34" t="n">
        <x:f>MAX(0,MIN(AO$8+1,'Fleet'!$O103)-MAX(AO$7,'Fleet'!$G103))</x:f>
        <x:v>0</x:v>
      </x:c>
      <x:c r="AP106" s="34" t="n">
        <x:f>MAX(0,MIN(AP$8+1,'Fleet'!$O103)-MAX(AP$7,'Fleet'!$G103))</x:f>
        <x:v>0</x:v>
      </x:c>
      <x:c r="AQ106" s="34" t="n">
        <x:f>MAX(0,MIN(AQ$8+1,'Fleet'!$O103)-MAX(AQ$7,'Fleet'!$G103))</x:f>
        <x:v>0</x:v>
      </x:c>
    </x:row>
    <x:row r="107" ht="21" customHeight="1">
      <x:c r="A107" s="2"/>
      <x:c r="B107" s="2"/>
      <x:c r="C107" s="5" t="str">
        <x:f>'Fleet'!C104</x:f>
        <x:v>Star Hamburg</x:v>
      </x:c>
      <x:c r="D107" s="5" t="str">
        <x:f>'Fleet'!D104</x:f>
        <x:v>Ultramax</x:v>
      </x:c>
      <x:c r="E107" s="34" t="n">
        <x:f>MAX(0,MIN(E$8+1,'Fleet'!$O104)-MAX(E$7,'Fleet'!$G104))</x:f>
        <x:v>83</x:v>
      </x:c>
      <x:c r="F107" s="34" t="n">
        <x:f>MAX(0,MIN(F$8+1,'Fleet'!$O104)-MAX(F$7,'Fleet'!$G104))</x:f>
        <x:v>90</x:v>
      </x:c>
      <x:c r="G107" s="34" t="n">
        <x:f>MAX(0,MIN(G$8+1,'Fleet'!$O104)-MAX(G$7,'Fleet'!$G104))</x:f>
        <x:v>91</x:v>
      </x:c>
      <x:c r="H107" s="34" t="n">
        <x:f>MAX(0,MIN(H$8+1,'Fleet'!$O104)-MAX(H$7,'Fleet'!$G104))</x:f>
        <x:v>92</x:v>
      </x:c>
      <x:c r="I107" s="34" t="n">
        <x:f>MAX(0,MIN(I$8+1,'Fleet'!$O104)-MAX(I$7,'Fleet'!$G104))</x:f>
        <x:v>92</x:v>
      </x:c>
      <x:c r="J107" s="34" t="n">
        <x:f>MAX(0,MIN(J$8+1,'Fleet'!$O104)-MAX(J$7,'Fleet'!$G104))</x:f>
        <x:v>91</x:v>
      </x:c>
      <x:c r="K107" s="34" t="n">
        <x:f>MAX(0,MIN(K$8+1,'Fleet'!$O104)-MAX(K$7,'Fleet'!$G104))</x:f>
        <x:v>91</x:v>
      </x:c>
      <x:c r="L107" s="34" t="n">
        <x:f>MAX(0,MIN(L$8+1,'Fleet'!$O104)-MAX(L$7,'Fleet'!$G104))</x:f>
        <x:v>92</x:v>
      </x:c>
      <x:c r="M107" s="34" t="n">
        <x:f>MAX(0,MIN(M$8+1,'Fleet'!$O104)-MAX(M$7,'Fleet'!$G104))</x:f>
        <x:v>92</x:v>
      </x:c>
      <x:c r="N107" s="34" t="n">
        <x:f>MAX(0,MIN(N$8+1,'Fleet'!$O104)-MAX(N$7,'Fleet'!$G104))</x:f>
        <x:v>90</x:v>
      </x:c>
      <x:c r="O107" s="34" t="n">
        <x:f>MAX(0,MIN(O$8+1,'Fleet'!$O104)-MAX(O$7,'Fleet'!$G104))</x:f>
        <x:v>91</x:v>
      </x:c>
      <x:c r="P107" s="34" t="n">
        <x:f>MAX(0,MIN(P$8+1,'Fleet'!$O104)-MAX(P$7,'Fleet'!$G104))</x:f>
        <x:v>92</x:v>
      </x:c>
      <x:c r="Q107" s="34" t="n">
        <x:f>MAX(0,MIN(Q$8+1,'Fleet'!$O104)-MAX(Q$7,'Fleet'!$G104))</x:f>
        <x:v>365</x:v>
      </x:c>
      <x:c r="R107" s="34" t="n">
        <x:f>MAX(0,MIN(R$8+1,'Fleet'!$O104)-MAX(R$7,'Fleet'!$G104))</x:f>
        <x:v>365</x:v>
      </x:c>
      <x:c r="S107" s="34" t="n">
        <x:f>MAX(0,MIN(S$8+1,'Fleet'!$O104)-MAX(S$7,'Fleet'!$G104))</x:f>
        <x:v>366</x:v>
      </x:c>
      <x:c r="T107" s="34" t="n">
        <x:f>MAX(0,MIN(T$8+1,'Fleet'!$O104)-MAX(T$7,'Fleet'!$G104))</x:f>
        <x:v>365</x:v>
      </x:c>
      <x:c r="U107" s="34" t="n">
        <x:f>MAX(0,MIN(U$8+1,'Fleet'!$O104)-MAX(U$7,'Fleet'!$G104))</x:f>
        <x:v>365</x:v>
      </x:c>
      <x:c r="V107" s="34" t="n">
        <x:f>MAX(0,MIN(V$8+1,'Fleet'!$O104)-MAX(V$7,'Fleet'!$G104))</x:f>
        <x:v>365</x:v>
      </x:c>
      <x:c r="W107" s="34" t="n">
        <x:f>MAX(0,MIN(W$8+1,'Fleet'!$O104)-MAX(W$7,'Fleet'!$G104))</x:f>
        <x:v>366</x:v>
      </x:c>
      <x:c r="X107" s="34" t="n">
        <x:f>MAX(0,MIN(X$8+1,'Fleet'!$O104)-MAX(X$7,'Fleet'!$G104))</x:f>
        <x:v>365</x:v>
      </x:c>
      <x:c r="Y107" s="34" t="n">
        <x:f>MAX(0,MIN(Y$8+1,'Fleet'!$O104)-MAX(Y$7,'Fleet'!$G104))</x:f>
        <x:v>365</x:v>
      </x:c>
      <x:c r="Z107" s="34" t="n">
        <x:f>MAX(0,MIN(Z$8+1,'Fleet'!$O104)-MAX(Z$7,'Fleet'!$G104))</x:f>
        <x:v>273</x:v>
      </x:c>
      <x:c r="AA107" s="34" t="n">
        <x:f>MAX(0,MIN(AA$8+1,'Fleet'!$O104)-MAX(AA$7,'Fleet'!$G104))</x:f>
        <x:v>0</x:v>
      </x:c>
      <x:c r="AB107" s="34" t="n">
        <x:f>MAX(0,MIN(AB$8+1,'Fleet'!$O104)-MAX(AB$7,'Fleet'!$G104))</x:f>
        <x:v>0</x:v>
      </x:c>
      <x:c r="AC107" s="34" t="n">
        <x:f>MAX(0,MIN(AC$8+1,'Fleet'!$O104)-MAX(AC$7,'Fleet'!$G104))</x:f>
        <x:v>0</x:v>
      </x:c>
      <x:c r="AD107" s="34" t="n">
        <x:f>MAX(0,MIN(AD$8+1,'Fleet'!$O104)-MAX(AD$7,'Fleet'!$G104))</x:f>
        <x:v>0</x:v>
      </x:c>
      <x:c r="AE107" s="34" t="n">
        <x:f>MAX(0,MIN(AE$8+1,'Fleet'!$O104)-MAX(AE$7,'Fleet'!$G104))</x:f>
        <x:v>0</x:v>
      </x:c>
      <x:c r="AF107" s="34" t="n">
        <x:f>MAX(0,MIN(AF$8+1,'Fleet'!$O104)-MAX(AF$7,'Fleet'!$G104))</x:f>
        <x:v>0</x:v>
      </x:c>
      <x:c r="AG107" s="34" t="n">
        <x:f>MAX(0,MIN(AG$8+1,'Fleet'!$O104)-MAX(AG$7,'Fleet'!$G104))</x:f>
        <x:v>0</x:v>
      </x:c>
      <x:c r="AH107" s="34" t="n">
        <x:f>MAX(0,MIN(AH$8+1,'Fleet'!$O104)-MAX(AH$7,'Fleet'!$G104))</x:f>
        <x:v>0</x:v>
      </x:c>
      <x:c r="AI107" s="34" t="n">
        <x:f>MAX(0,MIN(AI$8+1,'Fleet'!$O104)-MAX(AI$7,'Fleet'!$G104))</x:f>
        <x:v>0</x:v>
      </x:c>
      <x:c r="AJ107" s="34" t="n">
        <x:f>MAX(0,MIN(AJ$8+1,'Fleet'!$O104)-MAX(AJ$7,'Fleet'!$G104))</x:f>
        <x:v>0</x:v>
      </x:c>
      <x:c r="AK107" s="34" t="n">
        <x:f>MAX(0,MIN(AK$8+1,'Fleet'!$O104)-MAX(AK$7,'Fleet'!$G104))</x:f>
        <x:v>0</x:v>
      </x:c>
      <x:c r="AL107" s="34" t="n">
        <x:f>MAX(0,MIN(AL$8+1,'Fleet'!$O104)-MAX(AL$7,'Fleet'!$G104))</x:f>
        <x:v>0</x:v>
      </x:c>
      <x:c r="AM107" s="34" t="n">
        <x:f>MAX(0,MIN(AM$8+1,'Fleet'!$O104)-MAX(AM$7,'Fleet'!$G104))</x:f>
        <x:v>0</x:v>
      </x:c>
      <x:c r="AN107" s="34" t="n">
        <x:f>MAX(0,MIN(AN$8+1,'Fleet'!$O104)-MAX(AN$7,'Fleet'!$G104))</x:f>
        <x:v>0</x:v>
      </x:c>
      <x:c r="AO107" s="34" t="n">
        <x:f>MAX(0,MIN(AO$8+1,'Fleet'!$O104)-MAX(AO$7,'Fleet'!$G104))</x:f>
        <x:v>0</x:v>
      </x:c>
      <x:c r="AP107" s="34" t="n">
        <x:f>MAX(0,MIN(AP$8+1,'Fleet'!$O104)-MAX(AP$7,'Fleet'!$G104))</x:f>
        <x:v>0</x:v>
      </x:c>
      <x:c r="AQ107" s="34" t="n">
        <x:f>MAX(0,MIN(AQ$8+1,'Fleet'!$O104)-MAX(AQ$7,'Fleet'!$G104))</x:f>
        <x:v>0</x:v>
      </x:c>
    </x:row>
    <x:row r="108" ht="21" customHeight="1">
      <x:c r="A108" s="2"/>
      <x:c r="B108" s="2"/>
      <x:c r="C108" s="5" t="str">
        <x:f>'Fleet'!C105</x:f>
        <x:v>Star Fairfield</x:v>
      </x:c>
      <x:c r="D108" s="5" t="str">
        <x:f>'Fleet'!D105</x:f>
        <x:v>Ultramax</x:v>
      </x:c>
      <x:c r="E108" s="34" t="n">
        <x:f>MAX(0,MIN(E$8+1,'Fleet'!$O105)-MAX(E$7,'Fleet'!$G105))</x:f>
        <x:v>83</x:v>
      </x:c>
      <x:c r="F108" s="34" t="n">
        <x:f>MAX(0,MIN(F$8+1,'Fleet'!$O105)-MAX(F$7,'Fleet'!$G105))</x:f>
        <x:v>90</x:v>
      </x:c>
      <x:c r="G108" s="34" t="n">
        <x:f>MAX(0,MIN(G$8+1,'Fleet'!$O105)-MAX(G$7,'Fleet'!$G105))</x:f>
        <x:v>91</x:v>
      </x:c>
      <x:c r="H108" s="34" t="n">
        <x:f>MAX(0,MIN(H$8+1,'Fleet'!$O105)-MAX(H$7,'Fleet'!$G105))</x:f>
        <x:v>92</x:v>
      </x:c>
      <x:c r="I108" s="34" t="n">
        <x:f>MAX(0,MIN(I$8+1,'Fleet'!$O105)-MAX(I$7,'Fleet'!$G105))</x:f>
        <x:v>92</x:v>
      </x:c>
      <x:c r="J108" s="34" t="n">
        <x:f>MAX(0,MIN(J$8+1,'Fleet'!$O105)-MAX(J$7,'Fleet'!$G105))</x:f>
        <x:v>91</x:v>
      </x:c>
      <x:c r="K108" s="34" t="n">
        <x:f>MAX(0,MIN(K$8+1,'Fleet'!$O105)-MAX(K$7,'Fleet'!$G105))</x:f>
        <x:v>91</x:v>
      </x:c>
      <x:c r="L108" s="34" t="n">
        <x:f>MAX(0,MIN(L$8+1,'Fleet'!$O105)-MAX(L$7,'Fleet'!$G105))</x:f>
        <x:v>92</x:v>
      </x:c>
      <x:c r="M108" s="34" t="n">
        <x:f>MAX(0,MIN(M$8+1,'Fleet'!$O105)-MAX(M$7,'Fleet'!$G105))</x:f>
        <x:v>92</x:v>
      </x:c>
      <x:c r="N108" s="34" t="n">
        <x:f>MAX(0,MIN(N$8+1,'Fleet'!$O105)-MAX(N$7,'Fleet'!$G105))</x:f>
        <x:v>90</x:v>
      </x:c>
      <x:c r="O108" s="34" t="n">
        <x:f>MAX(0,MIN(O$8+1,'Fleet'!$O105)-MAX(O$7,'Fleet'!$G105))</x:f>
        <x:v>91</x:v>
      </x:c>
      <x:c r="P108" s="34" t="n">
        <x:f>MAX(0,MIN(P$8+1,'Fleet'!$O105)-MAX(P$7,'Fleet'!$G105))</x:f>
        <x:v>92</x:v>
      </x:c>
      <x:c r="Q108" s="34" t="n">
        <x:f>MAX(0,MIN(Q$8+1,'Fleet'!$O105)-MAX(Q$7,'Fleet'!$G105))</x:f>
        <x:v>365</x:v>
      </x:c>
      <x:c r="R108" s="34" t="n">
        <x:f>MAX(0,MIN(R$8+1,'Fleet'!$O105)-MAX(R$7,'Fleet'!$G105))</x:f>
        <x:v>365</x:v>
      </x:c>
      <x:c r="S108" s="34" t="n">
        <x:f>MAX(0,MIN(S$8+1,'Fleet'!$O105)-MAX(S$7,'Fleet'!$G105))</x:f>
        <x:v>366</x:v>
      </x:c>
      <x:c r="T108" s="34" t="n">
        <x:f>MAX(0,MIN(T$8+1,'Fleet'!$O105)-MAX(T$7,'Fleet'!$G105))</x:f>
        <x:v>365</x:v>
      </x:c>
      <x:c r="U108" s="34" t="n">
        <x:f>MAX(0,MIN(U$8+1,'Fleet'!$O105)-MAX(U$7,'Fleet'!$G105))</x:f>
        <x:v>365</x:v>
      </x:c>
      <x:c r="V108" s="34" t="n">
        <x:f>MAX(0,MIN(V$8+1,'Fleet'!$O105)-MAX(V$7,'Fleet'!$G105))</x:f>
        <x:v>365</x:v>
      </x:c>
      <x:c r="W108" s="34" t="n">
        <x:f>MAX(0,MIN(W$8+1,'Fleet'!$O105)-MAX(W$7,'Fleet'!$G105))</x:f>
        <x:v>366</x:v>
      </x:c>
      <x:c r="X108" s="34" t="n">
        <x:f>MAX(0,MIN(X$8+1,'Fleet'!$O105)-MAX(X$7,'Fleet'!$G105))</x:f>
        <x:v>365</x:v>
      </x:c>
      <x:c r="Y108" s="34" t="n">
        <x:f>MAX(0,MIN(Y$8+1,'Fleet'!$O105)-MAX(Y$7,'Fleet'!$G105))</x:f>
        <x:v>273</x:v>
      </x:c>
      <x:c r="Z108" s="34" t="n">
        <x:f>MAX(0,MIN(Z$8+1,'Fleet'!$O105)-MAX(Z$7,'Fleet'!$G105))</x:f>
        <x:v>0</x:v>
      </x:c>
      <x:c r="AA108" s="34" t="n">
        <x:f>MAX(0,MIN(AA$8+1,'Fleet'!$O105)-MAX(AA$7,'Fleet'!$G105))</x:f>
        <x:v>0</x:v>
      </x:c>
      <x:c r="AB108" s="34" t="n">
        <x:f>MAX(0,MIN(AB$8+1,'Fleet'!$O105)-MAX(AB$7,'Fleet'!$G105))</x:f>
        <x:v>0</x:v>
      </x:c>
      <x:c r="AC108" s="34" t="n">
        <x:f>MAX(0,MIN(AC$8+1,'Fleet'!$O105)-MAX(AC$7,'Fleet'!$G105))</x:f>
        <x:v>0</x:v>
      </x:c>
      <x:c r="AD108" s="34" t="n">
        <x:f>MAX(0,MIN(AD$8+1,'Fleet'!$O105)-MAX(AD$7,'Fleet'!$G105))</x:f>
        <x:v>0</x:v>
      </x:c>
      <x:c r="AE108" s="34" t="n">
        <x:f>MAX(0,MIN(AE$8+1,'Fleet'!$O105)-MAX(AE$7,'Fleet'!$G105))</x:f>
        <x:v>0</x:v>
      </x:c>
      <x:c r="AF108" s="34" t="n">
        <x:f>MAX(0,MIN(AF$8+1,'Fleet'!$O105)-MAX(AF$7,'Fleet'!$G105))</x:f>
        <x:v>0</x:v>
      </x:c>
      <x:c r="AG108" s="34" t="n">
        <x:f>MAX(0,MIN(AG$8+1,'Fleet'!$O105)-MAX(AG$7,'Fleet'!$G105))</x:f>
        <x:v>0</x:v>
      </x:c>
      <x:c r="AH108" s="34" t="n">
        <x:f>MAX(0,MIN(AH$8+1,'Fleet'!$O105)-MAX(AH$7,'Fleet'!$G105))</x:f>
        <x:v>0</x:v>
      </x:c>
      <x:c r="AI108" s="34" t="n">
        <x:f>MAX(0,MIN(AI$8+1,'Fleet'!$O105)-MAX(AI$7,'Fleet'!$G105))</x:f>
        <x:v>0</x:v>
      </x:c>
      <x:c r="AJ108" s="34" t="n">
        <x:f>MAX(0,MIN(AJ$8+1,'Fleet'!$O105)-MAX(AJ$7,'Fleet'!$G105))</x:f>
        <x:v>0</x:v>
      </x:c>
      <x:c r="AK108" s="34" t="n">
        <x:f>MAX(0,MIN(AK$8+1,'Fleet'!$O105)-MAX(AK$7,'Fleet'!$G105))</x:f>
        <x:v>0</x:v>
      </x:c>
      <x:c r="AL108" s="34" t="n">
        <x:f>MAX(0,MIN(AL$8+1,'Fleet'!$O105)-MAX(AL$7,'Fleet'!$G105))</x:f>
        <x:v>0</x:v>
      </x:c>
      <x:c r="AM108" s="34" t="n">
        <x:f>MAX(0,MIN(AM$8+1,'Fleet'!$O105)-MAX(AM$7,'Fleet'!$G105))</x:f>
        <x:v>0</x:v>
      </x:c>
      <x:c r="AN108" s="34" t="n">
        <x:f>MAX(0,MIN(AN$8+1,'Fleet'!$O105)-MAX(AN$7,'Fleet'!$G105))</x:f>
        <x:v>0</x:v>
      </x:c>
      <x:c r="AO108" s="34" t="n">
        <x:f>MAX(0,MIN(AO$8+1,'Fleet'!$O105)-MAX(AO$7,'Fleet'!$G105))</x:f>
        <x:v>0</x:v>
      </x:c>
      <x:c r="AP108" s="34" t="n">
        <x:f>MAX(0,MIN(AP$8+1,'Fleet'!$O105)-MAX(AP$7,'Fleet'!$G105))</x:f>
        <x:v>0</x:v>
      </x:c>
      <x:c r="AQ108" s="34" t="n">
        <x:f>MAX(0,MIN(AQ$8+1,'Fleet'!$O105)-MAX(AQ$7,'Fleet'!$G105))</x:f>
        <x:v>0</x:v>
      </x:c>
    </x:row>
    <x:row r="109" ht="21" customHeight="1">
      <x:c r="A109" s="2"/>
      <x:c r="B109" s="2"/>
      <x:c r="C109" s="5" t="str">
        <x:f>'Fleet'!C106</x:f>
        <x:v>Star Greenwich</x:v>
      </x:c>
      <x:c r="D109" s="5" t="str">
        <x:f>'Fleet'!D106</x:f>
        <x:v>Ultramax</x:v>
      </x:c>
      <x:c r="E109" s="34" t="n">
        <x:f>MAX(0,MIN(E$8+1,'Fleet'!$O106)-MAX(E$7,'Fleet'!$G106))</x:f>
        <x:v>83</x:v>
      </x:c>
      <x:c r="F109" s="34" t="n">
        <x:f>MAX(0,MIN(F$8+1,'Fleet'!$O106)-MAX(F$7,'Fleet'!$G106))</x:f>
        <x:v>90</x:v>
      </x:c>
      <x:c r="G109" s="34" t="n">
        <x:f>MAX(0,MIN(G$8+1,'Fleet'!$O106)-MAX(G$7,'Fleet'!$G106))</x:f>
        <x:v>91</x:v>
      </x:c>
      <x:c r="H109" s="34" t="n">
        <x:f>MAX(0,MIN(H$8+1,'Fleet'!$O106)-MAX(H$7,'Fleet'!$G106))</x:f>
        <x:v>92</x:v>
      </x:c>
      <x:c r="I109" s="34" t="n">
        <x:f>MAX(0,MIN(I$8+1,'Fleet'!$O106)-MAX(I$7,'Fleet'!$G106))</x:f>
        <x:v>92</x:v>
      </x:c>
      <x:c r="J109" s="34" t="n">
        <x:f>MAX(0,MIN(J$8+1,'Fleet'!$O106)-MAX(J$7,'Fleet'!$G106))</x:f>
        <x:v>91</x:v>
      </x:c>
      <x:c r="K109" s="34" t="n">
        <x:f>MAX(0,MIN(K$8+1,'Fleet'!$O106)-MAX(K$7,'Fleet'!$G106))</x:f>
        <x:v>91</x:v>
      </x:c>
      <x:c r="L109" s="34" t="n">
        <x:f>MAX(0,MIN(L$8+1,'Fleet'!$O106)-MAX(L$7,'Fleet'!$G106))</x:f>
        <x:v>92</x:v>
      </x:c>
      <x:c r="M109" s="34" t="n">
        <x:f>MAX(0,MIN(M$8+1,'Fleet'!$O106)-MAX(M$7,'Fleet'!$G106))</x:f>
        <x:v>92</x:v>
      </x:c>
      <x:c r="N109" s="34" t="n">
        <x:f>MAX(0,MIN(N$8+1,'Fleet'!$O106)-MAX(N$7,'Fleet'!$G106))</x:f>
        <x:v>90</x:v>
      </x:c>
      <x:c r="O109" s="34" t="n">
        <x:f>MAX(0,MIN(O$8+1,'Fleet'!$O106)-MAX(O$7,'Fleet'!$G106))</x:f>
        <x:v>91</x:v>
      </x:c>
      <x:c r="P109" s="34" t="n">
        <x:f>MAX(0,MIN(P$8+1,'Fleet'!$O106)-MAX(P$7,'Fleet'!$G106))</x:f>
        <x:v>92</x:v>
      </x:c>
      <x:c r="Q109" s="34" t="n">
        <x:f>MAX(0,MIN(Q$8+1,'Fleet'!$O106)-MAX(Q$7,'Fleet'!$G106))</x:f>
        <x:v>365</x:v>
      </x:c>
      <x:c r="R109" s="34" t="n">
        <x:f>MAX(0,MIN(R$8+1,'Fleet'!$O106)-MAX(R$7,'Fleet'!$G106))</x:f>
        <x:v>365</x:v>
      </x:c>
      <x:c r="S109" s="34" t="n">
        <x:f>MAX(0,MIN(S$8+1,'Fleet'!$O106)-MAX(S$7,'Fleet'!$G106))</x:f>
        <x:v>366</x:v>
      </x:c>
      <x:c r="T109" s="34" t="n">
        <x:f>MAX(0,MIN(T$8+1,'Fleet'!$O106)-MAX(T$7,'Fleet'!$G106))</x:f>
        <x:v>365</x:v>
      </x:c>
      <x:c r="U109" s="34" t="n">
        <x:f>MAX(0,MIN(U$8+1,'Fleet'!$O106)-MAX(U$7,'Fleet'!$G106))</x:f>
        <x:v>365</x:v>
      </x:c>
      <x:c r="V109" s="34" t="n">
        <x:f>MAX(0,MIN(V$8+1,'Fleet'!$O106)-MAX(V$7,'Fleet'!$G106))</x:f>
        <x:v>365</x:v>
      </x:c>
      <x:c r="W109" s="34" t="n">
        <x:f>MAX(0,MIN(W$8+1,'Fleet'!$O106)-MAX(W$7,'Fleet'!$G106))</x:f>
        <x:v>366</x:v>
      </x:c>
      <x:c r="X109" s="34" t="n">
        <x:f>MAX(0,MIN(X$8+1,'Fleet'!$O106)-MAX(X$7,'Fleet'!$G106))</x:f>
        <x:v>365</x:v>
      </x:c>
      <x:c r="Y109" s="34" t="n">
        <x:f>MAX(0,MIN(Y$8+1,'Fleet'!$O106)-MAX(Y$7,'Fleet'!$G106))</x:f>
        <x:v>273</x:v>
      </x:c>
      <x:c r="Z109" s="34" t="n">
        <x:f>MAX(0,MIN(Z$8+1,'Fleet'!$O106)-MAX(Z$7,'Fleet'!$G106))</x:f>
        <x:v>0</x:v>
      </x:c>
      <x:c r="AA109" s="34" t="n">
        <x:f>MAX(0,MIN(AA$8+1,'Fleet'!$O106)-MAX(AA$7,'Fleet'!$G106))</x:f>
        <x:v>0</x:v>
      </x:c>
      <x:c r="AB109" s="34" t="n">
        <x:f>MAX(0,MIN(AB$8+1,'Fleet'!$O106)-MAX(AB$7,'Fleet'!$G106))</x:f>
        <x:v>0</x:v>
      </x:c>
      <x:c r="AC109" s="34" t="n">
        <x:f>MAX(0,MIN(AC$8+1,'Fleet'!$O106)-MAX(AC$7,'Fleet'!$G106))</x:f>
        <x:v>0</x:v>
      </x:c>
      <x:c r="AD109" s="34" t="n">
        <x:f>MAX(0,MIN(AD$8+1,'Fleet'!$O106)-MAX(AD$7,'Fleet'!$G106))</x:f>
        <x:v>0</x:v>
      </x:c>
      <x:c r="AE109" s="34" t="n">
        <x:f>MAX(0,MIN(AE$8+1,'Fleet'!$O106)-MAX(AE$7,'Fleet'!$G106))</x:f>
        <x:v>0</x:v>
      </x:c>
      <x:c r="AF109" s="34" t="n">
        <x:f>MAX(0,MIN(AF$8+1,'Fleet'!$O106)-MAX(AF$7,'Fleet'!$G106))</x:f>
        <x:v>0</x:v>
      </x:c>
      <x:c r="AG109" s="34" t="n">
        <x:f>MAX(0,MIN(AG$8+1,'Fleet'!$O106)-MAX(AG$7,'Fleet'!$G106))</x:f>
        <x:v>0</x:v>
      </x:c>
      <x:c r="AH109" s="34" t="n">
        <x:f>MAX(0,MIN(AH$8+1,'Fleet'!$O106)-MAX(AH$7,'Fleet'!$G106))</x:f>
        <x:v>0</x:v>
      </x:c>
      <x:c r="AI109" s="34" t="n">
        <x:f>MAX(0,MIN(AI$8+1,'Fleet'!$O106)-MAX(AI$7,'Fleet'!$G106))</x:f>
        <x:v>0</x:v>
      </x:c>
      <x:c r="AJ109" s="34" t="n">
        <x:f>MAX(0,MIN(AJ$8+1,'Fleet'!$O106)-MAX(AJ$7,'Fleet'!$G106))</x:f>
        <x:v>0</x:v>
      </x:c>
      <x:c r="AK109" s="34" t="n">
        <x:f>MAX(0,MIN(AK$8+1,'Fleet'!$O106)-MAX(AK$7,'Fleet'!$G106))</x:f>
        <x:v>0</x:v>
      </x:c>
      <x:c r="AL109" s="34" t="n">
        <x:f>MAX(0,MIN(AL$8+1,'Fleet'!$O106)-MAX(AL$7,'Fleet'!$G106))</x:f>
        <x:v>0</x:v>
      </x:c>
      <x:c r="AM109" s="34" t="n">
        <x:f>MAX(0,MIN(AM$8+1,'Fleet'!$O106)-MAX(AM$7,'Fleet'!$G106))</x:f>
        <x:v>0</x:v>
      </x:c>
      <x:c r="AN109" s="34" t="n">
        <x:f>MAX(0,MIN(AN$8+1,'Fleet'!$O106)-MAX(AN$7,'Fleet'!$G106))</x:f>
        <x:v>0</x:v>
      </x:c>
      <x:c r="AO109" s="34" t="n">
        <x:f>MAX(0,MIN(AO$8+1,'Fleet'!$O106)-MAX(AO$7,'Fleet'!$G106))</x:f>
        <x:v>0</x:v>
      </x:c>
      <x:c r="AP109" s="34" t="n">
        <x:f>MAX(0,MIN(AP$8+1,'Fleet'!$O106)-MAX(AP$7,'Fleet'!$G106))</x:f>
        <x:v>0</x:v>
      </x:c>
      <x:c r="AQ109" s="34" t="n">
        <x:f>MAX(0,MIN(AQ$8+1,'Fleet'!$O106)-MAX(AQ$7,'Fleet'!$G106))</x:f>
        <x:v>0</x:v>
      </x:c>
    </x:row>
    <x:row r="110" ht="21" customHeight="1">
      <x:c r="A110" s="2"/>
      <x:c r="B110" s="2"/>
      <x:c r="C110" s="5" t="str">
        <x:f>'Fleet'!C107</x:f>
        <x:v>Star Groton</x:v>
      </x:c>
      <x:c r="D110" s="5" t="str">
        <x:f>'Fleet'!D107</x:f>
        <x:v>Ultramax</x:v>
      </x:c>
      <x:c r="E110" s="34" t="n">
        <x:f>MAX(0,MIN(E$8+1,'Fleet'!$O107)-MAX(E$7,'Fleet'!$G107))</x:f>
        <x:v>83</x:v>
      </x:c>
      <x:c r="F110" s="34" t="n">
        <x:f>MAX(0,MIN(F$8+1,'Fleet'!$O107)-MAX(F$7,'Fleet'!$G107))</x:f>
        <x:v>90</x:v>
      </x:c>
      <x:c r="G110" s="34" t="n">
        <x:f>MAX(0,MIN(G$8+1,'Fleet'!$O107)-MAX(G$7,'Fleet'!$G107))</x:f>
        <x:v>91</x:v>
      </x:c>
      <x:c r="H110" s="34" t="n">
        <x:f>MAX(0,MIN(H$8+1,'Fleet'!$O107)-MAX(H$7,'Fleet'!$G107))</x:f>
        <x:v>92</x:v>
      </x:c>
      <x:c r="I110" s="34" t="n">
        <x:f>MAX(0,MIN(I$8+1,'Fleet'!$O107)-MAX(I$7,'Fleet'!$G107))</x:f>
        <x:v>92</x:v>
      </x:c>
      <x:c r="J110" s="34" t="n">
        <x:f>MAX(0,MIN(J$8+1,'Fleet'!$O107)-MAX(J$7,'Fleet'!$G107))</x:f>
        <x:v>91</x:v>
      </x:c>
      <x:c r="K110" s="34" t="n">
        <x:f>MAX(0,MIN(K$8+1,'Fleet'!$O107)-MAX(K$7,'Fleet'!$G107))</x:f>
        <x:v>91</x:v>
      </x:c>
      <x:c r="L110" s="34" t="n">
        <x:f>MAX(0,MIN(L$8+1,'Fleet'!$O107)-MAX(L$7,'Fleet'!$G107))</x:f>
        <x:v>92</x:v>
      </x:c>
      <x:c r="M110" s="34" t="n">
        <x:f>MAX(0,MIN(M$8+1,'Fleet'!$O107)-MAX(M$7,'Fleet'!$G107))</x:f>
        <x:v>92</x:v>
      </x:c>
      <x:c r="N110" s="34" t="n">
        <x:f>MAX(0,MIN(N$8+1,'Fleet'!$O107)-MAX(N$7,'Fleet'!$G107))</x:f>
        <x:v>90</x:v>
      </x:c>
      <x:c r="O110" s="34" t="n">
        <x:f>MAX(0,MIN(O$8+1,'Fleet'!$O107)-MAX(O$7,'Fleet'!$G107))</x:f>
        <x:v>91</x:v>
      </x:c>
      <x:c r="P110" s="34" t="n">
        <x:f>MAX(0,MIN(P$8+1,'Fleet'!$O107)-MAX(P$7,'Fleet'!$G107))</x:f>
        <x:v>92</x:v>
      </x:c>
      <x:c r="Q110" s="34" t="n">
        <x:f>MAX(0,MIN(Q$8+1,'Fleet'!$O107)-MAX(Q$7,'Fleet'!$G107))</x:f>
        <x:v>365</x:v>
      </x:c>
      <x:c r="R110" s="34" t="n">
        <x:f>MAX(0,MIN(R$8+1,'Fleet'!$O107)-MAX(R$7,'Fleet'!$G107))</x:f>
        <x:v>365</x:v>
      </x:c>
      <x:c r="S110" s="34" t="n">
        <x:f>MAX(0,MIN(S$8+1,'Fleet'!$O107)-MAX(S$7,'Fleet'!$G107))</x:f>
        <x:v>366</x:v>
      </x:c>
      <x:c r="T110" s="34" t="n">
        <x:f>MAX(0,MIN(T$8+1,'Fleet'!$O107)-MAX(T$7,'Fleet'!$G107))</x:f>
        <x:v>365</x:v>
      </x:c>
      <x:c r="U110" s="34" t="n">
        <x:f>MAX(0,MIN(U$8+1,'Fleet'!$O107)-MAX(U$7,'Fleet'!$G107))</x:f>
        <x:v>365</x:v>
      </x:c>
      <x:c r="V110" s="34" t="n">
        <x:f>MAX(0,MIN(V$8+1,'Fleet'!$O107)-MAX(V$7,'Fleet'!$G107))</x:f>
        <x:v>365</x:v>
      </x:c>
      <x:c r="W110" s="34" t="n">
        <x:f>MAX(0,MIN(W$8+1,'Fleet'!$O107)-MAX(W$7,'Fleet'!$G107))</x:f>
        <x:v>366</x:v>
      </x:c>
      <x:c r="X110" s="34" t="n">
        <x:f>MAX(0,MIN(X$8+1,'Fleet'!$O107)-MAX(X$7,'Fleet'!$G107))</x:f>
        <x:v>365</x:v>
      </x:c>
      <x:c r="Y110" s="34" t="n">
        <x:f>MAX(0,MIN(Y$8+1,'Fleet'!$O107)-MAX(Y$7,'Fleet'!$G107))</x:f>
        <x:v>273</x:v>
      </x:c>
      <x:c r="Z110" s="34" t="n">
        <x:f>MAX(0,MIN(Z$8+1,'Fleet'!$O107)-MAX(Z$7,'Fleet'!$G107))</x:f>
        <x:v>0</x:v>
      </x:c>
      <x:c r="AA110" s="34" t="n">
        <x:f>MAX(0,MIN(AA$8+1,'Fleet'!$O107)-MAX(AA$7,'Fleet'!$G107))</x:f>
        <x:v>0</x:v>
      </x:c>
      <x:c r="AB110" s="34" t="n">
        <x:f>MAX(0,MIN(AB$8+1,'Fleet'!$O107)-MAX(AB$7,'Fleet'!$G107))</x:f>
        <x:v>0</x:v>
      </x:c>
      <x:c r="AC110" s="34" t="n">
        <x:f>MAX(0,MIN(AC$8+1,'Fleet'!$O107)-MAX(AC$7,'Fleet'!$G107))</x:f>
        <x:v>0</x:v>
      </x:c>
      <x:c r="AD110" s="34" t="n">
        <x:f>MAX(0,MIN(AD$8+1,'Fleet'!$O107)-MAX(AD$7,'Fleet'!$G107))</x:f>
        <x:v>0</x:v>
      </x:c>
      <x:c r="AE110" s="34" t="n">
        <x:f>MAX(0,MIN(AE$8+1,'Fleet'!$O107)-MAX(AE$7,'Fleet'!$G107))</x:f>
        <x:v>0</x:v>
      </x:c>
      <x:c r="AF110" s="34" t="n">
        <x:f>MAX(0,MIN(AF$8+1,'Fleet'!$O107)-MAX(AF$7,'Fleet'!$G107))</x:f>
        <x:v>0</x:v>
      </x:c>
      <x:c r="AG110" s="34" t="n">
        <x:f>MAX(0,MIN(AG$8+1,'Fleet'!$O107)-MAX(AG$7,'Fleet'!$G107))</x:f>
        <x:v>0</x:v>
      </x:c>
      <x:c r="AH110" s="34" t="n">
        <x:f>MAX(0,MIN(AH$8+1,'Fleet'!$O107)-MAX(AH$7,'Fleet'!$G107))</x:f>
        <x:v>0</x:v>
      </x:c>
      <x:c r="AI110" s="34" t="n">
        <x:f>MAX(0,MIN(AI$8+1,'Fleet'!$O107)-MAX(AI$7,'Fleet'!$G107))</x:f>
        <x:v>0</x:v>
      </x:c>
      <x:c r="AJ110" s="34" t="n">
        <x:f>MAX(0,MIN(AJ$8+1,'Fleet'!$O107)-MAX(AJ$7,'Fleet'!$G107))</x:f>
        <x:v>0</x:v>
      </x:c>
      <x:c r="AK110" s="34" t="n">
        <x:f>MAX(0,MIN(AK$8+1,'Fleet'!$O107)-MAX(AK$7,'Fleet'!$G107))</x:f>
        <x:v>0</x:v>
      </x:c>
      <x:c r="AL110" s="34" t="n">
        <x:f>MAX(0,MIN(AL$8+1,'Fleet'!$O107)-MAX(AL$7,'Fleet'!$G107))</x:f>
        <x:v>0</x:v>
      </x:c>
      <x:c r="AM110" s="34" t="n">
        <x:f>MAX(0,MIN(AM$8+1,'Fleet'!$O107)-MAX(AM$7,'Fleet'!$G107))</x:f>
        <x:v>0</x:v>
      </x:c>
      <x:c r="AN110" s="34" t="n">
        <x:f>MAX(0,MIN(AN$8+1,'Fleet'!$O107)-MAX(AN$7,'Fleet'!$G107))</x:f>
        <x:v>0</x:v>
      </x:c>
      <x:c r="AO110" s="34" t="n">
        <x:f>MAX(0,MIN(AO$8+1,'Fleet'!$O107)-MAX(AO$7,'Fleet'!$G107))</x:f>
        <x:v>0</x:v>
      </x:c>
      <x:c r="AP110" s="34" t="n">
        <x:f>MAX(0,MIN(AP$8+1,'Fleet'!$O107)-MAX(AP$7,'Fleet'!$G107))</x:f>
        <x:v>0</x:v>
      </x:c>
      <x:c r="AQ110" s="34" t="n">
        <x:f>MAX(0,MIN(AQ$8+1,'Fleet'!$O107)-MAX(AQ$7,'Fleet'!$G107))</x:f>
        <x:v>0</x:v>
      </x:c>
    </x:row>
    <x:row r="111" ht="21" customHeight="1">
      <x:c r="A111" s="2"/>
      <x:c r="B111" s="2"/>
      <x:c r="C111" s="5" t="str">
        <x:f>'Fleet'!C108</x:f>
        <x:v>Star Madison</x:v>
      </x:c>
      <x:c r="D111" s="5" t="str">
        <x:f>'Fleet'!D108</x:f>
        <x:v>Ultramax</x:v>
      </x:c>
      <x:c r="E111" s="34" t="n">
        <x:f>MAX(0,MIN(E$8+1,'Fleet'!$O108)-MAX(E$7,'Fleet'!$G108))</x:f>
        <x:v>83</x:v>
      </x:c>
      <x:c r="F111" s="34" t="n">
        <x:f>MAX(0,MIN(F$8+1,'Fleet'!$O108)-MAX(F$7,'Fleet'!$G108))</x:f>
        <x:v>90</x:v>
      </x:c>
      <x:c r="G111" s="34" t="n">
        <x:f>MAX(0,MIN(G$8+1,'Fleet'!$O108)-MAX(G$7,'Fleet'!$G108))</x:f>
        <x:v>91</x:v>
      </x:c>
      <x:c r="H111" s="34" t="n">
        <x:f>MAX(0,MIN(H$8+1,'Fleet'!$O108)-MAX(H$7,'Fleet'!$G108))</x:f>
        <x:v>92</x:v>
      </x:c>
      <x:c r="I111" s="34" t="n">
        <x:f>MAX(0,MIN(I$8+1,'Fleet'!$O108)-MAX(I$7,'Fleet'!$G108))</x:f>
        <x:v>92</x:v>
      </x:c>
      <x:c r="J111" s="34" t="n">
        <x:f>MAX(0,MIN(J$8+1,'Fleet'!$O108)-MAX(J$7,'Fleet'!$G108))</x:f>
        <x:v>91</x:v>
      </x:c>
      <x:c r="K111" s="34" t="n">
        <x:f>MAX(0,MIN(K$8+1,'Fleet'!$O108)-MAX(K$7,'Fleet'!$G108))</x:f>
        <x:v>91</x:v>
      </x:c>
      <x:c r="L111" s="34" t="n">
        <x:f>MAX(0,MIN(L$8+1,'Fleet'!$O108)-MAX(L$7,'Fleet'!$G108))</x:f>
        <x:v>92</x:v>
      </x:c>
      <x:c r="M111" s="34" t="n">
        <x:f>MAX(0,MIN(M$8+1,'Fleet'!$O108)-MAX(M$7,'Fleet'!$G108))</x:f>
        <x:v>92</x:v>
      </x:c>
      <x:c r="N111" s="34" t="n">
        <x:f>MAX(0,MIN(N$8+1,'Fleet'!$O108)-MAX(N$7,'Fleet'!$G108))</x:f>
        <x:v>90</x:v>
      </x:c>
      <x:c r="O111" s="34" t="n">
        <x:f>MAX(0,MIN(O$8+1,'Fleet'!$O108)-MAX(O$7,'Fleet'!$G108))</x:f>
        <x:v>91</x:v>
      </x:c>
      <x:c r="P111" s="34" t="n">
        <x:f>MAX(0,MIN(P$8+1,'Fleet'!$O108)-MAX(P$7,'Fleet'!$G108))</x:f>
        <x:v>92</x:v>
      </x:c>
      <x:c r="Q111" s="34" t="n">
        <x:f>MAX(0,MIN(Q$8+1,'Fleet'!$O108)-MAX(Q$7,'Fleet'!$G108))</x:f>
        <x:v>365</x:v>
      </x:c>
      <x:c r="R111" s="34" t="n">
        <x:f>MAX(0,MIN(R$8+1,'Fleet'!$O108)-MAX(R$7,'Fleet'!$G108))</x:f>
        <x:v>365</x:v>
      </x:c>
      <x:c r="S111" s="34" t="n">
        <x:f>MAX(0,MIN(S$8+1,'Fleet'!$O108)-MAX(S$7,'Fleet'!$G108))</x:f>
        <x:v>366</x:v>
      </x:c>
      <x:c r="T111" s="34" t="n">
        <x:f>MAX(0,MIN(T$8+1,'Fleet'!$O108)-MAX(T$7,'Fleet'!$G108))</x:f>
        <x:v>365</x:v>
      </x:c>
      <x:c r="U111" s="34" t="n">
        <x:f>MAX(0,MIN(U$8+1,'Fleet'!$O108)-MAX(U$7,'Fleet'!$G108))</x:f>
        <x:v>365</x:v>
      </x:c>
      <x:c r="V111" s="34" t="n">
        <x:f>MAX(0,MIN(V$8+1,'Fleet'!$O108)-MAX(V$7,'Fleet'!$G108))</x:f>
        <x:v>365</x:v>
      </x:c>
      <x:c r="W111" s="34" t="n">
        <x:f>MAX(0,MIN(W$8+1,'Fleet'!$O108)-MAX(W$7,'Fleet'!$G108))</x:f>
        <x:v>366</x:v>
      </x:c>
      <x:c r="X111" s="34" t="n">
        <x:f>MAX(0,MIN(X$8+1,'Fleet'!$O108)-MAX(X$7,'Fleet'!$G108))</x:f>
        <x:v>365</x:v>
      </x:c>
      <x:c r="Y111" s="34" t="n">
        <x:f>MAX(0,MIN(Y$8+1,'Fleet'!$O108)-MAX(Y$7,'Fleet'!$G108))</x:f>
        <x:v>273</x:v>
      </x:c>
      <x:c r="Z111" s="34" t="n">
        <x:f>MAX(0,MIN(Z$8+1,'Fleet'!$O108)-MAX(Z$7,'Fleet'!$G108))</x:f>
        <x:v>0</x:v>
      </x:c>
      <x:c r="AA111" s="34" t="n">
        <x:f>MAX(0,MIN(AA$8+1,'Fleet'!$O108)-MAX(AA$7,'Fleet'!$G108))</x:f>
        <x:v>0</x:v>
      </x:c>
      <x:c r="AB111" s="34" t="n">
        <x:f>MAX(0,MIN(AB$8+1,'Fleet'!$O108)-MAX(AB$7,'Fleet'!$G108))</x:f>
        <x:v>0</x:v>
      </x:c>
      <x:c r="AC111" s="34" t="n">
        <x:f>MAX(0,MIN(AC$8+1,'Fleet'!$O108)-MAX(AC$7,'Fleet'!$G108))</x:f>
        <x:v>0</x:v>
      </x:c>
      <x:c r="AD111" s="34" t="n">
        <x:f>MAX(0,MIN(AD$8+1,'Fleet'!$O108)-MAX(AD$7,'Fleet'!$G108))</x:f>
        <x:v>0</x:v>
      </x:c>
      <x:c r="AE111" s="34" t="n">
        <x:f>MAX(0,MIN(AE$8+1,'Fleet'!$O108)-MAX(AE$7,'Fleet'!$G108))</x:f>
        <x:v>0</x:v>
      </x:c>
      <x:c r="AF111" s="34" t="n">
        <x:f>MAX(0,MIN(AF$8+1,'Fleet'!$O108)-MAX(AF$7,'Fleet'!$G108))</x:f>
        <x:v>0</x:v>
      </x:c>
      <x:c r="AG111" s="34" t="n">
        <x:f>MAX(0,MIN(AG$8+1,'Fleet'!$O108)-MAX(AG$7,'Fleet'!$G108))</x:f>
        <x:v>0</x:v>
      </x:c>
      <x:c r="AH111" s="34" t="n">
        <x:f>MAX(0,MIN(AH$8+1,'Fleet'!$O108)-MAX(AH$7,'Fleet'!$G108))</x:f>
        <x:v>0</x:v>
      </x:c>
      <x:c r="AI111" s="34" t="n">
        <x:f>MAX(0,MIN(AI$8+1,'Fleet'!$O108)-MAX(AI$7,'Fleet'!$G108))</x:f>
        <x:v>0</x:v>
      </x:c>
      <x:c r="AJ111" s="34" t="n">
        <x:f>MAX(0,MIN(AJ$8+1,'Fleet'!$O108)-MAX(AJ$7,'Fleet'!$G108))</x:f>
        <x:v>0</x:v>
      </x:c>
      <x:c r="AK111" s="34" t="n">
        <x:f>MAX(0,MIN(AK$8+1,'Fleet'!$O108)-MAX(AK$7,'Fleet'!$G108))</x:f>
        <x:v>0</x:v>
      </x:c>
      <x:c r="AL111" s="34" t="n">
        <x:f>MAX(0,MIN(AL$8+1,'Fleet'!$O108)-MAX(AL$7,'Fleet'!$G108))</x:f>
        <x:v>0</x:v>
      </x:c>
      <x:c r="AM111" s="34" t="n">
        <x:f>MAX(0,MIN(AM$8+1,'Fleet'!$O108)-MAX(AM$7,'Fleet'!$G108))</x:f>
        <x:v>0</x:v>
      </x:c>
      <x:c r="AN111" s="34" t="n">
        <x:f>MAX(0,MIN(AN$8+1,'Fleet'!$O108)-MAX(AN$7,'Fleet'!$G108))</x:f>
        <x:v>0</x:v>
      </x:c>
      <x:c r="AO111" s="34" t="n">
        <x:f>MAX(0,MIN(AO$8+1,'Fleet'!$O108)-MAX(AO$7,'Fleet'!$G108))</x:f>
        <x:v>0</x:v>
      </x:c>
      <x:c r="AP111" s="34" t="n">
        <x:f>MAX(0,MIN(AP$8+1,'Fleet'!$O108)-MAX(AP$7,'Fleet'!$G108))</x:f>
        <x:v>0</x:v>
      </x:c>
      <x:c r="AQ111" s="34" t="n">
        <x:f>MAX(0,MIN(AQ$8+1,'Fleet'!$O108)-MAX(AQ$7,'Fleet'!$G108))</x:f>
        <x:v>0</x:v>
      </x:c>
    </x:row>
    <x:row r="112" ht="21" customHeight="1">
      <x:c r="A112" s="2"/>
      <x:c r="B112" s="2"/>
      <x:c r="C112" s="5" t="str">
        <x:f>'Fleet'!C109</x:f>
        <x:v>Star Mystic</x:v>
      </x:c>
      <x:c r="D112" s="5" t="str">
        <x:f>'Fleet'!D109</x:f>
        <x:v>Ultramax</x:v>
      </x:c>
      <x:c r="E112" s="34" t="n">
        <x:f>MAX(0,MIN(E$8+1,'Fleet'!$O109)-MAX(E$7,'Fleet'!$G109))</x:f>
        <x:v>83</x:v>
      </x:c>
      <x:c r="F112" s="34" t="n">
        <x:f>MAX(0,MIN(F$8+1,'Fleet'!$O109)-MAX(F$7,'Fleet'!$G109))</x:f>
        <x:v>90</x:v>
      </x:c>
      <x:c r="G112" s="34" t="n">
        <x:f>MAX(0,MIN(G$8+1,'Fleet'!$O109)-MAX(G$7,'Fleet'!$G109))</x:f>
        <x:v>91</x:v>
      </x:c>
      <x:c r="H112" s="34" t="n">
        <x:f>MAX(0,MIN(H$8+1,'Fleet'!$O109)-MAX(H$7,'Fleet'!$G109))</x:f>
        <x:v>92</x:v>
      </x:c>
      <x:c r="I112" s="34" t="n">
        <x:f>MAX(0,MIN(I$8+1,'Fleet'!$O109)-MAX(I$7,'Fleet'!$G109))</x:f>
        <x:v>92</x:v>
      </x:c>
      <x:c r="J112" s="34" t="n">
        <x:f>MAX(0,MIN(J$8+1,'Fleet'!$O109)-MAX(J$7,'Fleet'!$G109))</x:f>
        <x:v>91</x:v>
      </x:c>
      <x:c r="K112" s="34" t="n">
        <x:f>MAX(0,MIN(K$8+1,'Fleet'!$O109)-MAX(K$7,'Fleet'!$G109))</x:f>
        <x:v>91</x:v>
      </x:c>
      <x:c r="L112" s="34" t="n">
        <x:f>MAX(0,MIN(L$8+1,'Fleet'!$O109)-MAX(L$7,'Fleet'!$G109))</x:f>
        <x:v>92</x:v>
      </x:c>
      <x:c r="M112" s="34" t="n">
        <x:f>MAX(0,MIN(M$8+1,'Fleet'!$O109)-MAX(M$7,'Fleet'!$G109))</x:f>
        <x:v>92</x:v>
      </x:c>
      <x:c r="N112" s="34" t="n">
        <x:f>MAX(0,MIN(N$8+1,'Fleet'!$O109)-MAX(N$7,'Fleet'!$G109))</x:f>
        <x:v>90</x:v>
      </x:c>
      <x:c r="O112" s="34" t="n">
        <x:f>MAX(0,MIN(O$8+1,'Fleet'!$O109)-MAX(O$7,'Fleet'!$G109))</x:f>
        <x:v>91</x:v>
      </x:c>
      <x:c r="P112" s="34" t="n">
        <x:f>MAX(0,MIN(P$8+1,'Fleet'!$O109)-MAX(P$7,'Fleet'!$G109))</x:f>
        <x:v>92</x:v>
      </x:c>
      <x:c r="Q112" s="34" t="n">
        <x:f>MAX(0,MIN(Q$8+1,'Fleet'!$O109)-MAX(Q$7,'Fleet'!$G109))</x:f>
        <x:v>365</x:v>
      </x:c>
      <x:c r="R112" s="34" t="n">
        <x:f>MAX(0,MIN(R$8+1,'Fleet'!$O109)-MAX(R$7,'Fleet'!$G109))</x:f>
        <x:v>365</x:v>
      </x:c>
      <x:c r="S112" s="34" t="n">
        <x:f>MAX(0,MIN(S$8+1,'Fleet'!$O109)-MAX(S$7,'Fleet'!$G109))</x:f>
        <x:v>366</x:v>
      </x:c>
      <x:c r="T112" s="34" t="n">
        <x:f>MAX(0,MIN(T$8+1,'Fleet'!$O109)-MAX(T$7,'Fleet'!$G109))</x:f>
        <x:v>365</x:v>
      </x:c>
      <x:c r="U112" s="34" t="n">
        <x:f>MAX(0,MIN(U$8+1,'Fleet'!$O109)-MAX(U$7,'Fleet'!$G109))</x:f>
        <x:v>365</x:v>
      </x:c>
      <x:c r="V112" s="34" t="n">
        <x:f>MAX(0,MIN(V$8+1,'Fleet'!$O109)-MAX(V$7,'Fleet'!$G109))</x:f>
        <x:v>365</x:v>
      </x:c>
      <x:c r="W112" s="34" t="n">
        <x:f>MAX(0,MIN(W$8+1,'Fleet'!$O109)-MAX(W$7,'Fleet'!$G109))</x:f>
        <x:v>366</x:v>
      </x:c>
      <x:c r="X112" s="34" t="n">
        <x:f>MAX(0,MIN(X$8+1,'Fleet'!$O109)-MAX(X$7,'Fleet'!$G109))</x:f>
        <x:v>365</x:v>
      </x:c>
      <x:c r="Y112" s="34" t="n">
        <x:f>MAX(0,MIN(Y$8+1,'Fleet'!$O109)-MAX(Y$7,'Fleet'!$G109))</x:f>
        <x:v>273</x:v>
      </x:c>
      <x:c r="Z112" s="34" t="n">
        <x:f>MAX(0,MIN(Z$8+1,'Fleet'!$O109)-MAX(Z$7,'Fleet'!$G109))</x:f>
        <x:v>0</x:v>
      </x:c>
      <x:c r="AA112" s="34" t="n">
        <x:f>MAX(0,MIN(AA$8+1,'Fleet'!$O109)-MAX(AA$7,'Fleet'!$G109))</x:f>
        <x:v>0</x:v>
      </x:c>
      <x:c r="AB112" s="34" t="n">
        <x:f>MAX(0,MIN(AB$8+1,'Fleet'!$O109)-MAX(AB$7,'Fleet'!$G109))</x:f>
        <x:v>0</x:v>
      </x:c>
      <x:c r="AC112" s="34" t="n">
        <x:f>MAX(0,MIN(AC$8+1,'Fleet'!$O109)-MAX(AC$7,'Fleet'!$G109))</x:f>
        <x:v>0</x:v>
      </x:c>
      <x:c r="AD112" s="34" t="n">
        <x:f>MAX(0,MIN(AD$8+1,'Fleet'!$O109)-MAX(AD$7,'Fleet'!$G109))</x:f>
        <x:v>0</x:v>
      </x:c>
      <x:c r="AE112" s="34" t="n">
        <x:f>MAX(0,MIN(AE$8+1,'Fleet'!$O109)-MAX(AE$7,'Fleet'!$G109))</x:f>
        <x:v>0</x:v>
      </x:c>
      <x:c r="AF112" s="34" t="n">
        <x:f>MAX(0,MIN(AF$8+1,'Fleet'!$O109)-MAX(AF$7,'Fleet'!$G109))</x:f>
        <x:v>0</x:v>
      </x:c>
      <x:c r="AG112" s="34" t="n">
        <x:f>MAX(0,MIN(AG$8+1,'Fleet'!$O109)-MAX(AG$7,'Fleet'!$G109))</x:f>
        <x:v>0</x:v>
      </x:c>
      <x:c r="AH112" s="34" t="n">
        <x:f>MAX(0,MIN(AH$8+1,'Fleet'!$O109)-MAX(AH$7,'Fleet'!$G109))</x:f>
        <x:v>0</x:v>
      </x:c>
      <x:c r="AI112" s="34" t="n">
        <x:f>MAX(0,MIN(AI$8+1,'Fleet'!$O109)-MAX(AI$7,'Fleet'!$G109))</x:f>
        <x:v>0</x:v>
      </x:c>
      <x:c r="AJ112" s="34" t="n">
        <x:f>MAX(0,MIN(AJ$8+1,'Fleet'!$O109)-MAX(AJ$7,'Fleet'!$G109))</x:f>
        <x:v>0</x:v>
      </x:c>
      <x:c r="AK112" s="34" t="n">
        <x:f>MAX(0,MIN(AK$8+1,'Fleet'!$O109)-MAX(AK$7,'Fleet'!$G109))</x:f>
        <x:v>0</x:v>
      </x:c>
      <x:c r="AL112" s="34" t="n">
        <x:f>MAX(0,MIN(AL$8+1,'Fleet'!$O109)-MAX(AL$7,'Fleet'!$G109))</x:f>
        <x:v>0</x:v>
      </x:c>
      <x:c r="AM112" s="34" t="n">
        <x:f>MAX(0,MIN(AM$8+1,'Fleet'!$O109)-MAX(AM$7,'Fleet'!$G109))</x:f>
        <x:v>0</x:v>
      </x:c>
      <x:c r="AN112" s="34" t="n">
        <x:f>MAX(0,MIN(AN$8+1,'Fleet'!$O109)-MAX(AN$7,'Fleet'!$G109))</x:f>
        <x:v>0</x:v>
      </x:c>
      <x:c r="AO112" s="34" t="n">
        <x:f>MAX(0,MIN(AO$8+1,'Fleet'!$O109)-MAX(AO$7,'Fleet'!$G109))</x:f>
        <x:v>0</x:v>
      </x:c>
      <x:c r="AP112" s="34" t="n">
        <x:f>MAX(0,MIN(AP$8+1,'Fleet'!$O109)-MAX(AP$7,'Fleet'!$G109))</x:f>
        <x:v>0</x:v>
      </x:c>
      <x:c r="AQ112" s="34" t="n">
        <x:f>MAX(0,MIN(AQ$8+1,'Fleet'!$O109)-MAX(AQ$7,'Fleet'!$G109))</x:f>
        <x:v>0</x:v>
      </x:c>
    </x:row>
    <x:row r="113" ht="21" customHeight="1">
      <x:c r="A113" s="2"/>
      <x:c r="B113" s="2"/>
      <x:c r="C113" s="5" t="str">
        <x:f>'Fleet'!C110</x:f>
        <x:v>Star Rowayton</x:v>
      </x:c>
      <x:c r="D113" s="5" t="str">
        <x:f>'Fleet'!D110</x:f>
        <x:v>Ultramax</x:v>
      </x:c>
      <x:c r="E113" s="34" t="n">
        <x:f>MAX(0,MIN(E$8+1,'Fleet'!$O110)-MAX(E$7,'Fleet'!$G110))</x:f>
        <x:v>83</x:v>
      </x:c>
      <x:c r="F113" s="34" t="n">
        <x:f>MAX(0,MIN(F$8+1,'Fleet'!$O110)-MAX(F$7,'Fleet'!$G110))</x:f>
        <x:v>90</x:v>
      </x:c>
      <x:c r="G113" s="34" t="n">
        <x:f>MAX(0,MIN(G$8+1,'Fleet'!$O110)-MAX(G$7,'Fleet'!$G110))</x:f>
        <x:v>91</x:v>
      </x:c>
      <x:c r="H113" s="34" t="n">
        <x:f>MAX(0,MIN(H$8+1,'Fleet'!$O110)-MAX(H$7,'Fleet'!$G110))</x:f>
        <x:v>92</x:v>
      </x:c>
      <x:c r="I113" s="34" t="n">
        <x:f>MAX(0,MIN(I$8+1,'Fleet'!$O110)-MAX(I$7,'Fleet'!$G110))</x:f>
        <x:v>92</x:v>
      </x:c>
      <x:c r="J113" s="34" t="n">
        <x:f>MAX(0,MIN(J$8+1,'Fleet'!$O110)-MAX(J$7,'Fleet'!$G110))</x:f>
        <x:v>91</x:v>
      </x:c>
      <x:c r="K113" s="34" t="n">
        <x:f>MAX(0,MIN(K$8+1,'Fleet'!$O110)-MAX(K$7,'Fleet'!$G110))</x:f>
        <x:v>91</x:v>
      </x:c>
      <x:c r="L113" s="34" t="n">
        <x:f>MAX(0,MIN(L$8+1,'Fleet'!$O110)-MAX(L$7,'Fleet'!$G110))</x:f>
        <x:v>92</x:v>
      </x:c>
      <x:c r="M113" s="34" t="n">
        <x:f>MAX(0,MIN(M$8+1,'Fleet'!$O110)-MAX(M$7,'Fleet'!$G110))</x:f>
        <x:v>92</x:v>
      </x:c>
      <x:c r="N113" s="34" t="n">
        <x:f>MAX(0,MIN(N$8+1,'Fleet'!$O110)-MAX(N$7,'Fleet'!$G110))</x:f>
        <x:v>90</x:v>
      </x:c>
      <x:c r="O113" s="34" t="n">
        <x:f>MAX(0,MIN(O$8+1,'Fleet'!$O110)-MAX(O$7,'Fleet'!$G110))</x:f>
        <x:v>91</x:v>
      </x:c>
      <x:c r="P113" s="34" t="n">
        <x:f>MAX(0,MIN(P$8+1,'Fleet'!$O110)-MAX(P$7,'Fleet'!$G110))</x:f>
        <x:v>92</x:v>
      </x:c>
      <x:c r="Q113" s="34" t="n">
        <x:f>MAX(0,MIN(Q$8+1,'Fleet'!$O110)-MAX(Q$7,'Fleet'!$G110))</x:f>
        <x:v>365</x:v>
      </x:c>
      <x:c r="R113" s="34" t="n">
        <x:f>MAX(0,MIN(R$8+1,'Fleet'!$O110)-MAX(R$7,'Fleet'!$G110))</x:f>
        <x:v>365</x:v>
      </x:c>
      <x:c r="S113" s="34" t="n">
        <x:f>MAX(0,MIN(S$8+1,'Fleet'!$O110)-MAX(S$7,'Fleet'!$G110))</x:f>
        <x:v>366</x:v>
      </x:c>
      <x:c r="T113" s="34" t="n">
        <x:f>MAX(0,MIN(T$8+1,'Fleet'!$O110)-MAX(T$7,'Fleet'!$G110))</x:f>
        <x:v>365</x:v>
      </x:c>
      <x:c r="U113" s="34" t="n">
        <x:f>MAX(0,MIN(U$8+1,'Fleet'!$O110)-MAX(U$7,'Fleet'!$G110))</x:f>
        <x:v>365</x:v>
      </x:c>
      <x:c r="V113" s="34" t="n">
        <x:f>MAX(0,MIN(V$8+1,'Fleet'!$O110)-MAX(V$7,'Fleet'!$G110))</x:f>
        <x:v>365</x:v>
      </x:c>
      <x:c r="W113" s="34" t="n">
        <x:f>MAX(0,MIN(W$8+1,'Fleet'!$O110)-MAX(W$7,'Fleet'!$G110))</x:f>
        <x:v>366</x:v>
      </x:c>
      <x:c r="X113" s="34" t="n">
        <x:f>MAX(0,MIN(X$8+1,'Fleet'!$O110)-MAX(X$7,'Fleet'!$G110))</x:f>
        <x:v>365</x:v>
      </x:c>
      <x:c r="Y113" s="34" t="n">
        <x:f>MAX(0,MIN(Y$8+1,'Fleet'!$O110)-MAX(Y$7,'Fleet'!$G110))</x:f>
        <x:v>273</x:v>
      </x:c>
      <x:c r="Z113" s="34" t="n">
        <x:f>MAX(0,MIN(Z$8+1,'Fleet'!$O110)-MAX(Z$7,'Fleet'!$G110))</x:f>
        <x:v>0</x:v>
      </x:c>
      <x:c r="AA113" s="34" t="n">
        <x:f>MAX(0,MIN(AA$8+1,'Fleet'!$O110)-MAX(AA$7,'Fleet'!$G110))</x:f>
        <x:v>0</x:v>
      </x:c>
      <x:c r="AB113" s="34" t="n">
        <x:f>MAX(0,MIN(AB$8+1,'Fleet'!$O110)-MAX(AB$7,'Fleet'!$G110))</x:f>
        <x:v>0</x:v>
      </x:c>
      <x:c r="AC113" s="34" t="n">
        <x:f>MAX(0,MIN(AC$8+1,'Fleet'!$O110)-MAX(AC$7,'Fleet'!$G110))</x:f>
        <x:v>0</x:v>
      </x:c>
      <x:c r="AD113" s="34" t="n">
        <x:f>MAX(0,MIN(AD$8+1,'Fleet'!$O110)-MAX(AD$7,'Fleet'!$G110))</x:f>
        <x:v>0</x:v>
      </x:c>
      <x:c r="AE113" s="34" t="n">
        <x:f>MAX(0,MIN(AE$8+1,'Fleet'!$O110)-MAX(AE$7,'Fleet'!$G110))</x:f>
        <x:v>0</x:v>
      </x:c>
      <x:c r="AF113" s="34" t="n">
        <x:f>MAX(0,MIN(AF$8+1,'Fleet'!$O110)-MAX(AF$7,'Fleet'!$G110))</x:f>
        <x:v>0</x:v>
      </x:c>
      <x:c r="AG113" s="34" t="n">
        <x:f>MAX(0,MIN(AG$8+1,'Fleet'!$O110)-MAX(AG$7,'Fleet'!$G110))</x:f>
        <x:v>0</x:v>
      </x:c>
      <x:c r="AH113" s="34" t="n">
        <x:f>MAX(0,MIN(AH$8+1,'Fleet'!$O110)-MAX(AH$7,'Fleet'!$G110))</x:f>
        <x:v>0</x:v>
      </x:c>
      <x:c r="AI113" s="34" t="n">
        <x:f>MAX(0,MIN(AI$8+1,'Fleet'!$O110)-MAX(AI$7,'Fleet'!$G110))</x:f>
        <x:v>0</x:v>
      </x:c>
      <x:c r="AJ113" s="34" t="n">
        <x:f>MAX(0,MIN(AJ$8+1,'Fleet'!$O110)-MAX(AJ$7,'Fleet'!$G110))</x:f>
        <x:v>0</x:v>
      </x:c>
      <x:c r="AK113" s="34" t="n">
        <x:f>MAX(0,MIN(AK$8+1,'Fleet'!$O110)-MAX(AK$7,'Fleet'!$G110))</x:f>
        <x:v>0</x:v>
      </x:c>
      <x:c r="AL113" s="34" t="n">
        <x:f>MAX(0,MIN(AL$8+1,'Fleet'!$O110)-MAX(AL$7,'Fleet'!$G110))</x:f>
        <x:v>0</x:v>
      </x:c>
      <x:c r="AM113" s="34" t="n">
        <x:f>MAX(0,MIN(AM$8+1,'Fleet'!$O110)-MAX(AM$7,'Fleet'!$G110))</x:f>
        <x:v>0</x:v>
      </x:c>
      <x:c r="AN113" s="34" t="n">
        <x:f>MAX(0,MIN(AN$8+1,'Fleet'!$O110)-MAX(AN$7,'Fleet'!$G110))</x:f>
        <x:v>0</x:v>
      </x:c>
      <x:c r="AO113" s="34" t="n">
        <x:f>MAX(0,MIN(AO$8+1,'Fleet'!$O110)-MAX(AO$7,'Fleet'!$G110))</x:f>
        <x:v>0</x:v>
      </x:c>
      <x:c r="AP113" s="34" t="n">
        <x:f>MAX(0,MIN(AP$8+1,'Fleet'!$O110)-MAX(AP$7,'Fleet'!$G110))</x:f>
        <x:v>0</x:v>
      </x:c>
      <x:c r="AQ113" s="34" t="n">
        <x:f>MAX(0,MIN(AQ$8+1,'Fleet'!$O110)-MAX(AQ$7,'Fleet'!$G110))</x:f>
        <x:v>0</x:v>
      </x:c>
    </x:row>
    <x:row r="114" ht="21" customHeight="1">
      <x:c r="A114" s="2"/>
      <x:c r="B114" s="2"/>
      <x:c r="C114" s="5" t="str">
        <x:f>'Fleet'!C111</x:f>
        <x:v>Star Southport</x:v>
      </x:c>
      <x:c r="D114" s="5" t="str">
        <x:f>'Fleet'!D111</x:f>
        <x:v>Ultramax</x:v>
      </x:c>
      <x:c r="E114" s="34" t="n">
        <x:f>MAX(0,MIN(E$8+1,'Fleet'!$O111)-MAX(E$7,'Fleet'!$G111))</x:f>
        <x:v>83</x:v>
      </x:c>
      <x:c r="F114" s="34" t="n">
        <x:f>MAX(0,MIN(F$8+1,'Fleet'!$O111)-MAX(F$7,'Fleet'!$G111))</x:f>
        <x:v>90</x:v>
      </x:c>
      <x:c r="G114" s="34" t="n">
        <x:f>MAX(0,MIN(G$8+1,'Fleet'!$O111)-MAX(G$7,'Fleet'!$G111))</x:f>
        <x:v>91</x:v>
      </x:c>
      <x:c r="H114" s="34" t="n">
        <x:f>MAX(0,MIN(H$8+1,'Fleet'!$O111)-MAX(H$7,'Fleet'!$G111))</x:f>
        <x:v>92</x:v>
      </x:c>
      <x:c r="I114" s="34" t="n">
        <x:f>MAX(0,MIN(I$8+1,'Fleet'!$O111)-MAX(I$7,'Fleet'!$G111))</x:f>
        <x:v>92</x:v>
      </x:c>
      <x:c r="J114" s="34" t="n">
        <x:f>MAX(0,MIN(J$8+1,'Fleet'!$O111)-MAX(J$7,'Fleet'!$G111))</x:f>
        <x:v>91</x:v>
      </x:c>
      <x:c r="K114" s="34" t="n">
        <x:f>MAX(0,MIN(K$8+1,'Fleet'!$O111)-MAX(K$7,'Fleet'!$G111))</x:f>
        <x:v>91</x:v>
      </x:c>
      <x:c r="L114" s="34" t="n">
        <x:f>MAX(0,MIN(L$8+1,'Fleet'!$O111)-MAX(L$7,'Fleet'!$G111))</x:f>
        <x:v>92</x:v>
      </x:c>
      <x:c r="M114" s="34" t="n">
        <x:f>MAX(0,MIN(M$8+1,'Fleet'!$O111)-MAX(M$7,'Fleet'!$G111))</x:f>
        <x:v>92</x:v>
      </x:c>
      <x:c r="N114" s="34" t="n">
        <x:f>MAX(0,MIN(N$8+1,'Fleet'!$O111)-MAX(N$7,'Fleet'!$G111))</x:f>
        <x:v>90</x:v>
      </x:c>
      <x:c r="O114" s="34" t="n">
        <x:f>MAX(0,MIN(O$8+1,'Fleet'!$O111)-MAX(O$7,'Fleet'!$G111))</x:f>
        <x:v>91</x:v>
      </x:c>
      <x:c r="P114" s="34" t="n">
        <x:f>MAX(0,MIN(P$8+1,'Fleet'!$O111)-MAX(P$7,'Fleet'!$G111))</x:f>
        <x:v>92</x:v>
      </x:c>
      <x:c r="Q114" s="34" t="n">
        <x:f>MAX(0,MIN(Q$8+1,'Fleet'!$O111)-MAX(Q$7,'Fleet'!$G111))</x:f>
        <x:v>365</x:v>
      </x:c>
      <x:c r="R114" s="34" t="n">
        <x:f>MAX(0,MIN(R$8+1,'Fleet'!$O111)-MAX(R$7,'Fleet'!$G111))</x:f>
        <x:v>365</x:v>
      </x:c>
      <x:c r="S114" s="34" t="n">
        <x:f>MAX(0,MIN(S$8+1,'Fleet'!$O111)-MAX(S$7,'Fleet'!$G111))</x:f>
        <x:v>366</x:v>
      </x:c>
      <x:c r="T114" s="34" t="n">
        <x:f>MAX(0,MIN(T$8+1,'Fleet'!$O111)-MAX(T$7,'Fleet'!$G111))</x:f>
        <x:v>365</x:v>
      </x:c>
      <x:c r="U114" s="34" t="n">
        <x:f>MAX(0,MIN(U$8+1,'Fleet'!$O111)-MAX(U$7,'Fleet'!$G111))</x:f>
        <x:v>365</x:v>
      </x:c>
      <x:c r="V114" s="34" t="n">
        <x:f>MAX(0,MIN(V$8+1,'Fleet'!$O111)-MAX(V$7,'Fleet'!$G111))</x:f>
        <x:v>365</x:v>
      </x:c>
      <x:c r="W114" s="34" t="n">
        <x:f>MAX(0,MIN(W$8+1,'Fleet'!$O111)-MAX(W$7,'Fleet'!$G111))</x:f>
        <x:v>366</x:v>
      </x:c>
      <x:c r="X114" s="34" t="n">
        <x:f>MAX(0,MIN(X$8+1,'Fleet'!$O111)-MAX(X$7,'Fleet'!$G111))</x:f>
        <x:v>365</x:v>
      </x:c>
      <x:c r="Y114" s="34" t="n">
        <x:f>MAX(0,MIN(Y$8+1,'Fleet'!$O111)-MAX(Y$7,'Fleet'!$G111))</x:f>
        <x:v>273</x:v>
      </x:c>
      <x:c r="Z114" s="34" t="n">
        <x:f>MAX(0,MIN(Z$8+1,'Fleet'!$O111)-MAX(Z$7,'Fleet'!$G111))</x:f>
        <x:v>0</x:v>
      </x:c>
      <x:c r="AA114" s="34" t="n">
        <x:f>MAX(0,MIN(AA$8+1,'Fleet'!$O111)-MAX(AA$7,'Fleet'!$G111))</x:f>
        <x:v>0</x:v>
      </x:c>
      <x:c r="AB114" s="34" t="n">
        <x:f>MAX(0,MIN(AB$8+1,'Fleet'!$O111)-MAX(AB$7,'Fleet'!$G111))</x:f>
        <x:v>0</x:v>
      </x:c>
      <x:c r="AC114" s="34" t="n">
        <x:f>MAX(0,MIN(AC$8+1,'Fleet'!$O111)-MAX(AC$7,'Fleet'!$G111))</x:f>
        <x:v>0</x:v>
      </x:c>
      <x:c r="AD114" s="34" t="n">
        <x:f>MAX(0,MIN(AD$8+1,'Fleet'!$O111)-MAX(AD$7,'Fleet'!$G111))</x:f>
        <x:v>0</x:v>
      </x:c>
      <x:c r="AE114" s="34" t="n">
        <x:f>MAX(0,MIN(AE$8+1,'Fleet'!$O111)-MAX(AE$7,'Fleet'!$G111))</x:f>
        <x:v>0</x:v>
      </x:c>
      <x:c r="AF114" s="34" t="n">
        <x:f>MAX(0,MIN(AF$8+1,'Fleet'!$O111)-MAX(AF$7,'Fleet'!$G111))</x:f>
        <x:v>0</x:v>
      </x:c>
      <x:c r="AG114" s="34" t="n">
        <x:f>MAX(0,MIN(AG$8+1,'Fleet'!$O111)-MAX(AG$7,'Fleet'!$G111))</x:f>
        <x:v>0</x:v>
      </x:c>
      <x:c r="AH114" s="34" t="n">
        <x:f>MAX(0,MIN(AH$8+1,'Fleet'!$O111)-MAX(AH$7,'Fleet'!$G111))</x:f>
        <x:v>0</x:v>
      </x:c>
      <x:c r="AI114" s="34" t="n">
        <x:f>MAX(0,MIN(AI$8+1,'Fleet'!$O111)-MAX(AI$7,'Fleet'!$G111))</x:f>
        <x:v>0</x:v>
      </x:c>
      <x:c r="AJ114" s="34" t="n">
        <x:f>MAX(0,MIN(AJ$8+1,'Fleet'!$O111)-MAX(AJ$7,'Fleet'!$G111))</x:f>
        <x:v>0</x:v>
      </x:c>
      <x:c r="AK114" s="34" t="n">
        <x:f>MAX(0,MIN(AK$8+1,'Fleet'!$O111)-MAX(AK$7,'Fleet'!$G111))</x:f>
        <x:v>0</x:v>
      </x:c>
      <x:c r="AL114" s="34" t="n">
        <x:f>MAX(0,MIN(AL$8+1,'Fleet'!$O111)-MAX(AL$7,'Fleet'!$G111))</x:f>
        <x:v>0</x:v>
      </x:c>
      <x:c r="AM114" s="34" t="n">
        <x:f>MAX(0,MIN(AM$8+1,'Fleet'!$O111)-MAX(AM$7,'Fleet'!$G111))</x:f>
        <x:v>0</x:v>
      </x:c>
      <x:c r="AN114" s="34" t="n">
        <x:f>MAX(0,MIN(AN$8+1,'Fleet'!$O111)-MAX(AN$7,'Fleet'!$G111))</x:f>
        <x:v>0</x:v>
      </x:c>
      <x:c r="AO114" s="34" t="n">
        <x:f>MAX(0,MIN(AO$8+1,'Fleet'!$O111)-MAX(AO$7,'Fleet'!$G111))</x:f>
        <x:v>0</x:v>
      </x:c>
      <x:c r="AP114" s="34" t="n">
        <x:f>MAX(0,MIN(AP$8+1,'Fleet'!$O111)-MAX(AP$7,'Fleet'!$G111))</x:f>
        <x:v>0</x:v>
      </x:c>
      <x:c r="AQ114" s="34" t="n">
        <x:f>MAX(0,MIN(AQ$8+1,'Fleet'!$O111)-MAX(AQ$7,'Fleet'!$G111))</x:f>
        <x:v>0</x:v>
      </x:c>
    </x:row>
    <x:row r="115" ht="21" customHeight="1">
      <x:c r="A115" s="2"/>
      <x:c r="B115" s="2"/>
      <x:c r="C115" s="5" t="str">
        <x:f>'Fleet'!C112</x:f>
        <x:v>Kaley</x:v>
      </x:c>
      <x:c r="D115" s="5" t="str">
        <x:f>'Fleet'!D112</x:f>
        <x:v>Ultramax</x:v>
      </x:c>
      <x:c r="E115" s="34" t="n">
        <x:f>MAX(0,MIN(E$8+1,'Fleet'!$O112)-MAX(E$7,'Fleet'!$G112))</x:f>
        <x:v>83</x:v>
      </x:c>
      <x:c r="F115" s="34" t="n">
        <x:f>MAX(0,MIN(F$8+1,'Fleet'!$O112)-MAX(F$7,'Fleet'!$G112))</x:f>
        <x:v>90</x:v>
      </x:c>
      <x:c r="G115" s="34" t="n">
        <x:f>MAX(0,MIN(G$8+1,'Fleet'!$O112)-MAX(G$7,'Fleet'!$G112))</x:f>
        <x:v>91</x:v>
      </x:c>
      <x:c r="H115" s="34" t="n">
        <x:f>MAX(0,MIN(H$8+1,'Fleet'!$O112)-MAX(H$7,'Fleet'!$G112))</x:f>
        <x:v>92</x:v>
      </x:c>
      <x:c r="I115" s="34" t="n">
        <x:f>MAX(0,MIN(I$8+1,'Fleet'!$O112)-MAX(I$7,'Fleet'!$G112))</x:f>
        <x:v>92</x:v>
      </x:c>
      <x:c r="J115" s="34" t="n">
        <x:f>MAX(0,MIN(J$8+1,'Fleet'!$O112)-MAX(J$7,'Fleet'!$G112))</x:f>
        <x:v>91</x:v>
      </x:c>
      <x:c r="K115" s="34" t="n">
        <x:f>MAX(0,MIN(K$8+1,'Fleet'!$O112)-MAX(K$7,'Fleet'!$G112))</x:f>
        <x:v>91</x:v>
      </x:c>
      <x:c r="L115" s="34" t="n">
        <x:f>MAX(0,MIN(L$8+1,'Fleet'!$O112)-MAX(L$7,'Fleet'!$G112))</x:f>
        <x:v>92</x:v>
      </x:c>
      <x:c r="M115" s="34" t="n">
        <x:f>MAX(0,MIN(M$8+1,'Fleet'!$O112)-MAX(M$7,'Fleet'!$G112))</x:f>
        <x:v>92</x:v>
      </x:c>
      <x:c r="N115" s="34" t="n">
        <x:f>MAX(0,MIN(N$8+1,'Fleet'!$O112)-MAX(N$7,'Fleet'!$G112))</x:f>
        <x:v>90</x:v>
      </x:c>
      <x:c r="O115" s="34" t="n">
        <x:f>MAX(0,MIN(O$8+1,'Fleet'!$O112)-MAX(O$7,'Fleet'!$G112))</x:f>
        <x:v>91</x:v>
      </x:c>
      <x:c r="P115" s="34" t="n">
        <x:f>MAX(0,MIN(P$8+1,'Fleet'!$O112)-MAX(P$7,'Fleet'!$G112))</x:f>
        <x:v>92</x:v>
      </x:c>
      <x:c r="Q115" s="34" t="n">
        <x:f>MAX(0,MIN(Q$8+1,'Fleet'!$O112)-MAX(Q$7,'Fleet'!$G112))</x:f>
        <x:v>365</x:v>
      </x:c>
      <x:c r="R115" s="34" t="n">
        <x:f>MAX(0,MIN(R$8+1,'Fleet'!$O112)-MAX(R$7,'Fleet'!$G112))</x:f>
        <x:v>365</x:v>
      </x:c>
      <x:c r="S115" s="34" t="n">
        <x:f>MAX(0,MIN(S$8+1,'Fleet'!$O112)-MAX(S$7,'Fleet'!$G112))</x:f>
        <x:v>366</x:v>
      </x:c>
      <x:c r="T115" s="34" t="n">
        <x:f>MAX(0,MIN(T$8+1,'Fleet'!$O112)-MAX(T$7,'Fleet'!$G112))</x:f>
        <x:v>365</x:v>
      </x:c>
      <x:c r="U115" s="34" t="n">
        <x:f>MAX(0,MIN(U$8+1,'Fleet'!$O112)-MAX(U$7,'Fleet'!$G112))</x:f>
        <x:v>365</x:v>
      </x:c>
      <x:c r="V115" s="34" t="n">
        <x:f>MAX(0,MIN(V$8+1,'Fleet'!$O112)-MAX(V$7,'Fleet'!$G112))</x:f>
        <x:v>365</x:v>
      </x:c>
      <x:c r="W115" s="34" t="n">
        <x:f>MAX(0,MIN(W$8+1,'Fleet'!$O112)-MAX(W$7,'Fleet'!$G112))</x:f>
        <x:v>366</x:v>
      </x:c>
      <x:c r="X115" s="34" t="n">
        <x:f>MAX(0,MIN(X$8+1,'Fleet'!$O112)-MAX(X$7,'Fleet'!$G112))</x:f>
        <x:v>365</x:v>
      </x:c>
      <x:c r="Y115" s="34" t="n">
        <x:f>MAX(0,MIN(Y$8+1,'Fleet'!$O112)-MAX(Y$7,'Fleet'!$G112))</x:f>
        <x:v>365</x:v>
      </x:c>
      <x:c r="Z115" s="34" t="n">
        <x:f>MAX(0,MIN(Z$8+1,'Fleet'!$O112)-MAX(Z$7,'Fleet'!$G112))</x:f>
        <x:v>365</x:v>
      </x:c>
      <x:c r="AA115" s="34" t="n">
        <x:f>MAX(0,MIN(AA$8+1,'Fleet'!$O112)-MAX(AA$7,'Fleet'!$G112))</x:f>
        <x:v>274</x:v>
      </x:c>
      <x:c r="AB115" s="34" t="n">
        <x:f>MAX(0,MIN(AB$8+1,'Fleet'!$O112)-MAX(AB$7,'Fleet'!$G112))</x:f>
        <x:v>0</x:v>
      </x:c>
      <x:c r="AC115" s="34" t="n">
        <x:f>MAX(0,MIN(AC$8+1,'Fleet'!$O112)-MAX(AC$7,'Fleet'!$G112))</x:f>
        <x:v>0</x:v>
      </x:c>
      <x:c r="AD115" s="34" t="n">
        <x:f>MAX(0,MIN(AD$8+1,'Fleet'!$O112)-MAX(AD$7,'Fleet'!$G112))</x:f>
        <x:v>0</x:v>
      </x:c>
      <x:c r="AE115" s="34" t="n">
        <x:f>MAX(0,MIN(AE$8+1,'Fleet'!$O112)-MAX(AE$7,'Fleet'!$G112))</x:f>
        <x:v>0</x:v>
      </x:c>
      <x:c r="AF115" s="34" t="n">
        <x:f>MAX(0,MIN(AF$8+1,'Fleet'!$O112)-MAX(AF$7,'Fleet'!$G112))</x:f>
        <x:v>0</x:v>
      </x:c>
      <x:c r="AG115" s="34" t="n">
        <x:f>MAX(0,MIN(AG$8+1,'Fleet'!$O112)-MAX(AG$7,'Fleet'!$G112))</x:f>
        <x:v>0</x:v>
      </x:c>
      <x:c r="AH115" s="34" t="n">
        <x:f>MAX(0,MIN(AH$8+1,'Fleet'!$O112)-MAX(AH$7,'Fleet'!$G112))</x:f>
        <x:v>0</x:v>
      </x:c>
      <x:c r="AI115" s="34" t="n">
        <x:f>MAX(0,MIN(AI$8+1,'Fleet'!$O112)-MAX(AI$7,'Fleet'!$G112))</x:f>
        <x:v>0</x:v>
      </x:c>
      <x:c r="AJ115" s="34" t="n">
        <x:f>MAX(0,MIN(AJ$8+1,'Fleet'!$O112)-MAX(AJ$7,'Fleet'!$G112))</x:f>
        <x:v>0</x:v>
      </x:c>
      <x:c r="AK115" s="34" t="n">
        <x:f>MAX(0,MIN(AK$8+1,'Fleet'!$O112)-MAX(AK$7,'Fleet'!$G112))</x:f>
        <x:v>0</x:v>
      </x:c>
      <x:c r="AL115" s="34" t="n">
        <x:f>MAX(0,MIN(AL$8+1,'Fleet'!$O112)-MAX(AL$7,'Fleet'!$G112))</x:f>
        <x:v>0</x:v>
      </x:c>
      <x:c r="AM115" s="34" t="n">
        <x:f>MAX(0,MIN(AM$8+1,'Fleet'!$O112)-MAX(AM$7,'Fleet'!$G112))</x:f>
        <x:v>0</x:v>
      </x:c>
      <x:c r="AN115" s="34" t="n">
        <x:f>MAX(0,MIN(AN$8+1,'Fleet'!$O112)-MAX(AN$7,'Fleet'!$G112))</x:f>
        <x:v>0</x:v>
      </x:c>
      <x:c r="AO115" s="34" t="n">
        <x:f>MAX(0,MIN(AO$8+1,'Fleet'!$O112)-MAX(AO$7,'Fleet'!$G112))</x:f>
        <x:v>0</x:v>
      </x:c>
      <x:c r="AP115" s="34" t="n">
        <x:f>MAX(0,MIN(AP$8+1,'Fleet'!$O112)-MAX(AP$7,'Fleet'!$G112))</x:f>
        <x:v>0</x:v>
      </x:c>
      <x:c r="AQ115" s="34" t="n">
        <x:f>MAX(0,MIN(AQ$8+1,'Fleet'!$O112)-MAX(AQ$7,'Fleet'!$G112))</x:f>
        <x:v>0</x:v>
      </x:c>
    </x:row>
    <x:row r="116" ht="21" customHeight="1">
      <x:c r="A116" s="2"/>
      <x:c r="B116" s="2"/>
      <x:c r="C116" s="5" t="str">
        <x:f>'Fleet'!C113</x:f>
        <x:v>Star Stockholm</x:v>
      </x:c>
      <x:c r="D116" s="5" t="str">
        <x:f>'Fleet'!D113</x:f>
        <x:v>Ultramax</x:v>
      </x:c>
      <x:c r="E116" s="34" t="n">
        <x:f>MAX(0,MIN(E$8+1,'Fleet'!$O113)-MAX(E$7,'Fleet'!$G113))</x:f>
        <x:v>83</x:v>
      </x:c>
      <x:c r="F116" s="34" t="n">
        <x:f>MAX(0,MIN(F$8+1,'Fleet'!$O113)-MAX(F$7,'Fleet'!$G113))</x:f>
        <x:v>90</x:v>
      </x:c>
      <x:c r="G116" s="34" t="n">
        <x:f>MAX(0,MIN(G$8+1,'Fleet'!$O113)-MAX(G$7,'Fleet'!$G113))</x:f>
        <x:v>91</x:v>
      </x:c>
      <x:c r="H116" s="34" t="n">
        <x:f>MAX(0,MIN(H$8+1,'Fleet'!$O113)-MAX(H$7,'Fleet'!$G113))</x:f>
        <x:v>92</x:v>
      </x:c>
      <x:c r="I116" s="34" t="n">
        <x:f>MAX(0,MIN(I$8+1,'Fleet'!$O113)-MAX(I$7,'Fleet'!$G113))</x:f>
        <x:v>92</x:v>
      </x:c>
      <x:c r="J116" s="34" t="n">
        <x:f>MAX(0,MIN(J$8+1,'Fleet'!$O113)-MAX(J$7,'Fleet'!$G113))</x:f>
        <x:v>91</x:v>
      </x:c>
      <x:c r="K116" s="34" t="n">
        <x:f>MAX(0,MIN(K$8+1,'Fleet'!$O113)-MAX(K$7,'Fleet'!$G113))</x:f>
        <x:v>91</x:v>
      </x:c>
      <x:c r="L116" s="34" t="n">
        <x:f>MAX(0,MIN(L$8+1,'Fleet'!$O113)-MAX(L$7,'Fleet'!$G113))</x:f>
        <x:v>92</x:v>
      </x:c>
      <x:c r="M116" s="34" t="n">
        <x:f>MAX(0,MIN(M$8+1,'Fleet'!$O113)-MAX(M$7,'Fleet'!$G113))</x:f>
        <x:v>92</x:v>
      </x:c>
      <x:c r="N116" s="34" t="n">
        <x:f>MAX(0,MIN(N$8+1,'Fleet'!$O113)-MAX(N$7,'Fleet'!$G113))</x:f>
        <x:v>90</x:v>
      </x:c>
      <x:c r="O116" s="34" t="n">
        <x:f>MAX(0,MIN(O$8+1,'Fleet'!$O113)-MAX(O$7,'Fleet'!$G113))</x:f>
        <x:v>91</x:v>
      </x:c>
      <x:c r="P116" s="34" t="n">
        <x:f>MAX(0,MIN(P$8+1,'Fleet'!$O113)-MAX(P$7,'Fleet'!$G113))</x:f>
        <x:v>92</x:v>
      </x:c>
      <x:c r="Q116" s="34" t="n">
        <x:f>MAX(0,MIN(Q$8+1,'Fleet'!$O113)-MAX(Q$7,'Fleet'!$G113))</x:f>
        <x:v>365</x:v>
      </x:c>
      <x:c r="R116" s="34" t="n">
        <x:f>MAX(0,MIN(R$8+1,'Fleet'!$O113)-MAX(R$7,'Fleet'!$G113))</x:f>
        <x:v>365</x:v>
      </x:c>
      <x:c r="S116" s="34" t="n">
        <x:f>MAX(0,MIN(S$8+1,'Fleet'!$O113)-MAX(S$7,'Fleet'!$G113))</x:f>
        <x:v>366</x:v>
      </x:c>
      <x:c r="T116" s="34" t="n">
        <x:f>MAX(0,MIN(T$8+1,'Fleet'!$O113)-MAX(T$7,'Fleet'!$G113))</x:f>
        <x:v>365</x:v>
      </x:c>
      <x:c r="U116" s="34" t="n">
        <x:f>MAX(0,MIN(U$8+1,'Fleet'!$O113)-MAX(U$7,'Fleet'!$G113))</x:f>
        <x:v>365</x:v>
      </x:c>
      <x:c r="V116" s="34" t="n">
        <x:f>MAX(0,MIN(V$8+1,'Fleet'!$O113)-MAX(V$7,'Fleet'!$G113))</x:f>
        <x:v>365</x:v>
      </x:c>
      <x:c r="W116" s="34" t="n">
        <x:f>MAX(0,MIN(W$8+1,'Fleet'!$O113)-MAX(W$7,'Fleet'!$G113))</x:f>
        <x:v>366</x:v>
      </x:c>
      <x:c r="X116" s="34" t="n">
        <x:f>MAX(0,MIN(X$8+1,'Fleet'!$O113)-MAX(X$7,'Fleet'!$G113))</x:f>
        <x:v>365</x:v>
      </x:c>
      <x:c r="Y116" s="34" t="n">
        <x:f>MAX(0,MIN(Y$8+1,'Fleet'!$O113)-MAX(Y$7,'Fleet'!$G113))</x:f>
        <x:v>365</x:v>
      </x:c>
      <x:c r="Z116" s="34" t="n">
        <x:f>MAX(0,MIN(Z$8+1,'Fleet'!$O113)-MAX(Z$7,'Fleet'!$G113))</x:f>
        <x:v>365</x:v>
      </x:c>
      <x:c r="AA116" s="34" t="n">
        <x:f>MAX(0,MIN(AA$8+1,'Fleet'!$O113)-MAX(AA$7,'Fleet'!$G113))</x:f>
        <x:v>366</x:v>
      </x:c>
      <x:c r="AB116" s="34" t="n">
        <x:f>MAX(0,MIN(AB$8+1,'Fleet'!$O113)-MAX(AB$7,'Fleet'!$G113))</x:f>
        <x:v>273</x:v>
      </x:c>
      <x:c r="AC116" s="34" t="n">
        <x:f>MAX(0,MIN(AC$8+1,'Fleet'!$O113)-MAX(AC$7,'Fleet'!$G113))</x:f>
        <x:v>0</x:v>
      </x:c>
      <x:c r="AD116" s="34" t="n">
        <x:f>MAX(0,MIN(AD$8+1,'Fleet'!$O113)-MAX(AD$7,'Fleet'!$G113))</x:f>
        <x:v>0</x:v>
      </x:c>
      <x:c r="AE116" s="34" t="n">
        <x:f>MAX(0,MIN(AE$8+1,'Fleet'!$O113)-MAX(AE$7,'Fleet'!$G113))</x:f>
        <x:v>0</x:v>
      </x:c>
      <x:c r="AF116" s="34" t="n">
        <x:f>MAX(0,MIN(AF$8+1,'Fleet'!$O113)-MAX(AF$7,'Fleet'!$G113))</x:f>
        <x:v>0</x:v>
      </x:c>
      <x:c r="AG116" s="34" t="n">
        <x:f>MAX(0,MIN(AG$8+1,'Fleet'!$O113)-MAX(AG$7,'Fleet'!$G113))</x:f>
        <x:v>0</x:v>
      </x:c>
      <x:c r="AH116" s="34" t="n">
        <x:f>MAX(0,MIN(AH$8+1,'Fleet'!$O113)-MAX(AH$7,'Fleet'!$G113))</x:f>
        <x:v>0</x:v>
      </x:c>
      <x:c r="AI116" s="34" t="n">
        <x:f>MAX(0,MIN(AI$8+1,'Fleet'!$O113)-MAX(AI$7,'Fleet'!$G113))</x:f>
        <x:v>0</x:v>
      </x:c>
      <x:c r="AJ116" s="34" t="n">
        <x:f>MAX(0,MIN(AJ$8+1,'Fleet'!$O113)-MAX(AJ$7,'Fleet'!$G113))</x:f>
        <x:v>0</x:v>
      </x:c>
      <x:c r="AK116" s="34" t="n">
        <x:f>MAX(0,MIN(AK$8+1,'Fleet'!$O113)-MAX(AK$7,'Fleet'!$G113))</x:f>
        <x:v>0</x:v>
      </x:c>
      <x:c r="AL116" s="34" t="n">
        <x:f>MAX(0,MIN(AL$8+1,'Fleet'!$O113)-MAX(AL$7,'Fleet'!$G113))</x:f>
        <x:v>0</x:v>
      </x:c>
      <x:c r="AM116" s="34" t="n">
        <x:f>MAX(0,MIN(AM$8+1,'Fleet'!$O113)-MAX(AM$7,'Fleet'!$G113))</x:f>
        <x:v>0</x:v>
      </x:c>
      <x:c r="AN116" s="34" t="n">
        <x:f>MAX(0,MIN(AN$8+1,'Fleet'!$O113)-MAX(AN$7,'Fleet'!$G113))</x:f>
        <x:v>0</x:v>
      </x:c>
      <x:c r="AO116" s="34" t="n">
        <x:f>MAX(0,MIN(AO$8+1,'Fleet'!$O113)-MAX(AO$7,'Fleet'!$G113))</x:f>
        <x:v>0</x:v>
      </x:c>
      <x:c r="AP116" s="34" t="n">
        <x:f>MAX(0,MIN(AP$8+1,'Fleet'!$O113)-MAX(AP$7,'Fleet'!$G113))</x:f>
        <x:v>0</x:v>
      </x:c>
      <x:c r="AQ116" s="34" t="n">
        <x:f>MAX(0,MIN(AQ$8+1,'Fleet'!$O113)-MAX(AQ$7,'Fleet'!$G113))</x:f>
        <x:v>0</x:v>
      </x:c>
    </x:row>
    <x:row r="117" ht="21" customHeight="1">
      <x:c r="A117" s="2"/>
      <x:c r="B117" s="2"/>
      <x:c r="C117" s="5" t="str">
        <x:f>'Fleet'!C114</x:f>
        <x:v>Kennadi</x:v>
      </x:c>
      <x:c r="D117" s="5" t="str">
        <x:f>'Fleet'!D114</x:f>
        <x:v>Ultramax</x:v>
      </x:c>
      <x:c r="E117" s="34" t="n">
        <x:f>MAX(0,MIN(E$8+1,'Fleet'!$O114)-MAX(E$7,'Fleet'!$G114))</x:f>
        <x:v>83</x:v>
      </x:c>
      <x:c r="F117" s="34" t="n">
        <x:f>MAX(0,MIN(F$8+1,'Fleet'!$O114)-MAX(F$7,'Fleet'!$G114))</x:f>
        <x:v>90</x:v>
      </x:c>
      <x:c r="G117" s="34" t="n">
        <x:f>MAX(0,MIN(G$8+1,'Fleet'!$O114)-MAX(G$7,'Fleet'!$G114))</x:f>
        <x:v>91</x:v>
      </x:c>
      <x:c r="H117" s="34" t="n">
        <x:f>MAX(0,MIN(H$8+1,'Fleet'!$O114)-MAX(H$7,'Fleet'!$G114))</x:f>
        <x:v>92</x:v>
      </x:c>
      <x:c r="I117" s="34" t="n">
        <x:f>MAX(0,MIN(I$8+1,'Fleet'!$O114)-MAX(I$7,'Fleet'!$G114))</x:f>
        <x:v>92</x:v>
      </x:c>
      <x:c r="J117" s="34" t="n">
        <x:f>MAX(0,MIN(J$8+1,'Fleet'!$O114)-MAX(J$7,'Fleet'!$G114))</x:f>
        <x:v>91</x:v>
      </x:c>
      <x:c r="K117" s="34" t="n">
        <x:f>MAX(0,MIN(K$8+1,'Fleet'!$O114)-MAX(K$7,'Fleet'!$G114))</x:f>
        <x:v>91</x:v>
      </x:c>
      <x:c r="L117" s="34" t="n">
        <x:f>MAX(0,MIN(L$8+1,'Fleet'!$O114)-MAX(L$7,'Fleet'!$G114))</x:f>
        <x:v>92</x:v>
      </x:c>
      <x:c r="M117" s="34" t="n">
        <x:f>MAX(0,MIN(M$8+1,'Fleet'!$O114)-MAX(M$7,'Fleet'!$G114))</x:f>
        <x:v>92</x:v>
      </x:c>
      <x:c r="N117" s="34" t="n">
        <x:f>MAX(0,MIN(N$8+1,'Fleet'!$O114)-MAX(N$7,'Fleet'!$G114))</x:f>
        <x:v>90</x:v>
      </x:c>
      <x:c r="O117" s="34" t="n">
        <x:f>MAX(0,MIN(O$8+1,'Fleet'!$O114)-MAX(O$7,'Fleet'!$G114))</x:f>
        <x:v>91</x:v>
      </x:c>
      <x:c r="P117" s="34" t="n">
        <x:f>MAX(0,MIN(P$8+1,'Fleet'!$O114)-MAX(P$7,'Fleet'!$G114))</x:f>
        <x:v>92</x:v>
      </x:c>
      <x:c r="Q117" s="34" t="n">
        <x:f>MAX(0,MIN(Q$8+1,'Fleet'!$O114)-MAX(Q$7,'Fleet'!$G114))</x:f>
        <x:v>365</x:v>
      </x:c>
      <x:c r="R117" s="34" t="n">
        <x:f>MAX(0,MIN(R$8+1,'Fleet'!$O114)-MAX(R$7,'Fleet'!$G114))</x:f>
        <x:v>365</x:v>
      </x:c>
      <x:c r="S117" s="34" t="n">
        <x:f>MAX(0,MIN(S$8+1,'Fleet'!$O114)-MAX(S$7,'Fleet'!$G114))</x:f>
        <x:v>366</x:v>
      </x:c>
      <x:c r="T117" s="34" t="n">
        <x:f>MAX(0,MIN(T$8+1,'Fleet'!$O114)-MAX(T$7,'Fleet'!$G114))</x:f>
        <x:v>365</x:v>
      </x:c>
      <x:c r="U117" s="34" t="n">
        <x:f>MAX(0,MIN(U$8+1,'Fleet'!$O114)-MAX(U$7,'Fleet'!$G114))</x:f>
        <x:v>365</x:v>
      </x:c>
      <x:c r="V117" s="34" t="n">
        <x:f>MAX(0,MIN(V$8+1,'Fleet'!$O114)-MAX(V$7,'Fleet'!$G114))</x:f>
        <x:v>365</x:v>
      </x:c>
      <x:c r="W117" s="34" t="n">
        <x:f>MAX(0,MIN(W$8+1,'Fleet'!$O114)-MAX(W$7,'Fleet'!$G114))</x:f>
        <x:v>366</x:v>
      </x:c>
      <x:c r="X117" s="34" t="n">
        <x:f>MAX(0,MIN(X$8+1,'Fleet'!$O114)-MAX(X$7,'Fleet'!$G114))</x:f>
        <x:v>365</x:v>
      </x:c>
      <x:c r="Y117" s="34" t="n">
        <x:f>MAX(0,MIN(Y$8+1,'Fleet'!$O114)-MAX(Y$7,'Fleet'!$G114))</x:f>
        <x:v>365</x:v>
      </x:c>
      <x:c r="Z117" s="34" t="n">
        <x:f>MAX(0,MIN(Z$8+1,'Fleet'!$O114)-MAX(Z$7,'Fleet'!$G114))</x:f>
        <x:v>365</x:v>
      </x:c>
      <x:c r="AA117" s="34" t="n">
        <x:f>MAX(0,MIN(AA$8+1,'Fleet'!$O114)-MAX(AA$7,'Fleet'!$G114))</x:f>
        <x:v>366</x:v>
      </x:c>
      <x:c r="AB117" s="34" t="n">
        <x:f>MAX(0,MIN(AB$8+1,'Fleet'!$O114)-MAX(AB$7,'Fleet'!$G114))</x:f>
        <x:v>273</x:v>
      </x:c>
      <x:c r="AC117" s="34" t="n">
        <x:f>MAX(0,MIN(AC$8+1,'Fleet'!$O114)-MAX(AC$7,'Fleet'!$G114))</x:f>
        <x:v>0</x:v>
      </x:c>
      <x:c r="AD117" s="34" t="n">
        <x:f>MAX(0,MIN(AD$8+1,'Fleet'!$O114)-MAX(AD$7,'Fleet'!$G114))</x:f>
        <x:v>0</x:v>
      </x:c>
      <x:c r="AE117" s="34" t="n">
        <x:f>MAX(0,MIN(AE$8+1,'Fleet'!$O114)-MAX(AE$7,'Fleet'!$G114))</x:f>
        <x:v>0</x:v>
      </x:c>
      <x:c r="AF117" s="34" t="n">
        <x:f>MAX(0,MIN(AF$8+1,'Fleet'!$O114)-MAX(AF$7,'Fleet'!$G114))</x:f>
        <x:v>0</x:v>
      </x:c>
      <x:c r="AG117" s="34" t="n">
        <x:f>MAX(0,MIN(AG$8+1,'Fleet'!$O114)-MAX(AG$7,'Fleet'!$G114))</x:f>
        <x:v>0</x:v>
      </x:c>
      <x:c r="AH117" s="34" t="n">
        <x:f>MAX(0,MIN(AH$8+1,'Fleet'!$O114)-MAX(AH$7,'Fleet'!$G114))</x:f>
        <x:v>0</x:v>
      </x:c>
      <x:c r="AI117" s="34" t="n">
        <x:f>MAX(0,MIN(AI$8+1,'Fleet'!$O114)-MAX(AI$7,'Fleet'!$G114))</x:f>
        <x:v>0</x:v>
      </x:c>
      <x:c r="AJ117" s="34" t="n">
        <x:f>MAX(0,MIN(AJ$8+1,'Fleet'!$O114)-MAX(AJ$7,'Fleet'!$G114))</x:f>
        <x:v>0</x:v>
      </x:c>
      <x:c r="AK117" s="34" t="n">
        <x:f>MAX(0,MIN(AK$8+1,'Fleet'!$O114)-MAX(AK$7,'Fleet'!$G114))</x:f>
        <x:v>0</x:v>
      </x:c>
      <x:c r="AL117" s="34" t="n">
        <x:f>MAX(0,MIN(AL$8+1,'Fleet'!$O114)-MAX(AL$7,'Fleet'!$G114))</x:f>
        <x:v>0</x:v>
      </x:c>
      <x:c r="AM117" s="34" t="n">
        <x:f>MAX(0,MIN(AM$8+1,'Fleet'!$O114)-MAX(AM$7,'Fleet'!$G114))</x:f>
        <x:v>0</x:v>
      </x:c>
      <x:c r="AN117" s="34" t="n">
        <x:f>MAX(0,MIN(AN$8+1,'Fleet'!$O114)-MAX(AN$7,'Fleet'!$G114))</x:f>
        <x:v>0</x:v>
      </x:c>
      <x:c r="AO117" s="34" t="n">
        <x:f>MAX(0,MIN(AO$8+1,'Fleet'!$O114)-MAX(AO$7,'Fleet'!$G114))</x:f>
        <x:v>0</x:v>
      </x:c>
      <x:c r="AP117" s="34" t="n">
        <x:f>MAX(0,MIN(AP$8+1,'Fleet'!$O114)-MAX(AP$7,'Fleet'!$G114))</x:f>
        <x:v>0</x:v>
      </x:c>
      <x:c r="AQ117" s="34" t="n">
        <x:f>MAX(0,MIN(AQ$8+1,'Fleet'!$O114)-MAX(AQ$7,'Fleet'!$G114))</x:f>
        <x:v>0</x:v>
      </x:c>
    </x:row>
    <x:row r="118" ht="21" customHeight="1">
      <x:c r="A118" s="2"/>
      <x:c r="B118" s="2"/>
      <x:c r="C118" s="5" t="str">
        <x:f>'Fleet'!C115</x:f>
        <x:v>Mackenzie</x:v>
      </x:c>
      <x:c r="D118" s="5" t="str">
        <x:f>'Fleet'!D115</x:f>
        <x:v>Ultramax</x:v>
      </x:c>
      <x:c r="E118" s="34" t="n">
        <x:f>MAX(0,MIN(E$8+1,'Fleet'!$O115)-MAX(E$7,'Fleet'!$G115))</x:f>
        <x:v>83</x:v>
      </x:c>
      <x:c r="F118" s="34" t="n">
        <x:f>MAX(0,MIN(F$8+1,'Fleet'!$O115)-MAX(F$7,'Fleet'!$G115))</x:f>
        <x:v>90</x:v>
      </x:c>
      <x:c r="G118" s="34" t="n">
        <x:f>MAX(0,MIN(G$8+1,'Fleet'!$O115)-MAX(G$7,'Fleet'!$G115))</x:f>
        <x:v>91</x:v>
      </x:c>
      <x:c r="H118" s="34" t="n">
        <x:f>MAX(0,MIN(H$8+1,'Fleet'!$O115)-MAX(H$7,'Fleet'!$G115))</x:f>
        <x:v>92</x:v>
      </x:c>
      <x:c r="I118" s="34" t="n">
        <x:f>MAX(0,MIN(I$8+1,'Fleet'!$O115)-MAX(I$7,'Fleet'!$G115))</x:f>
        <x:v>92</x:v>
      </x:c>
      <x:c r="J118" s="34" t="n">
        <x:f>MAX(0,MIN(J$8+1,'Fleet'!$O115)-MAX(J$7,'Fleet'!$G115))</x:f>
        <x:v>91</x:v>
      </x:c>
      <x:c r="K118" s="34" t="n">
        <x:f>MAX(0,MIN(K$8+1,'Fleet'!$O115)-MAX(K$7,'Fleet'!$G115))</x:f>
        <x:v>91</x:v>
      </x:c>
      <x:c r="L118" s="34" t="n">
        <x:f>MAX(0,MIN(L$8+1,'Fleet'!$O115)-MAX(L$7,'Fleet'!$G115))</x:f>
        <x:v>92</x:v>
      </x:c>
      <x:c r="M118" s="34" t="n">
        <x:f>MAX(0,MIN(M$8+1,'Fleet'!$O115)-MAX(M$7,'Fleet'!$G115))</x:f>
        <x:v>92</x:v>
      </x:c>
      <x:c r="N118" s="34" t="n">
        <x:f>MAX(0,MIN(N$8+1,'Fleet'!$O115)-MAX(N$7,'Fleet'!$G115))</x:f>
        <x:v>90</x:v>
      </x:c>
      <x:c r="O118" s="34" t="n">
        <x:f>MAX(0,MIN(O$8+1,'Fleet'!$O115)-MAX(O$7,'Fleet'!$G115))</x:f>
        <x:v>91</x:v>
      </x:c>
      <x:c r="P118" s="34" t="n">
        <x:f>MAX(0,MIN(P$8+1,'Fleet'!$O115)-MAX(P$7,'Fleet'!$G115))</x:f>
        <x:v>92</x:v>
      </x:c>
      <x:c r="Q118" s="34" t="n">
        <x:f>MAX(0,MIN(Q$8+1,'Fleet'!$O115)-MAX(Q$7,'Fleet'!$G115))</x:f>
        <x:v>365</x:v>
      </x:c>
      <x:c r="R118" s="34" t="n">
        <x:f>MAX(0,MIN(R$8+1,'Fleet'!$O115)-MAX(R$7,'Fleet'!$G115))</x:f>
        <x:v>365</x:v>
      </x:c>
      <x:c r="S118" s="34" t="n">
        <x:f>MAX(0,MIN(S$8+1,'Fleet'!$O115)-MAX(S$7,'Fleet'!$G115))</x:f>
        <x:v>366</x:v>
      </x:c>
      <x:c r="T118" s="34" t="n">
        <x:f>MAX(0,MIN(T$8+1,'Fleet'!$O115)-MAX(T$7,'Fleet'!$G115))</x:f>
        <x:v>365</x:v>
      </x:c>
      <x:c r="U118" s="34" t="n">
        <x:f>MAX(0,MIN(U$8+1,'Fleet'!$O115)-MAX(U$7,'Fleet'!$G115))</x:f>
        <x:v>365</x:v>
      </x:c>
      <x:c r="V118" s="34" t="n">
        <x:f>MAX(0,MIN(V$8+1,'Fleet'!$O115)-MAX(V$7,'Fleet'!$G115))</x:f>
        <x:v>365</x:v>
      </x:c>
      <x:c r="W118" s="34" t="n">
        <x:f>MAX(0,MIN(W$8+1,'Fleet'!$O115)-MAX(W$7,'Fleet'!$G115))</x:f>
        <x:v>366</x:v>
      </x:c>
      <x:c r="X118" s="34" t="n">
        <x:f>MAX(0,MIN(X$8+1,'Fleet'!$O115)-MAX(X$7,'Fleet'!$G115))</x:f>
        <x:v>365</x:v>
      </x:c>
      <x:c r="Y118" s="34" t="n">
        <x:f>MAX(0,MIN(Y$8+1,'Fleet'!$O115)-MAX(Y$7,'Fleet'!$G115))</x:f>
        <x:v>365</x:v>
      </x:c>
      <x:c r="Z118" s="34" t="n">
        <x:f>MAX(0,MIN(Z$8+1,'Fleet'!$O115)-MAX(Z$7,'Fleet'!$G115))</x:f>
        <x:v>365</x:v>
      </x:c>
      <x:c r="AA118" s="34" t="n">
        <x:f>MAX(0,MIN(AA$8+1,'Fleet'!$O115)-MAX(AA$7,'Fleet'!$G115))</x:f>
        <x:v>366</x:v>
      </x:c>
      <x:c r="AB118" s="34" t="n">
        <x:f>MAX(0,MIN(AB$8+1,'Fleet'!$O115)-MAX(AB$7,'Fleet'!$G115))</x:f>
        <x:v>273</x:v>
      </x:c>
      <x:c r="AC118" s="34" t="n">
        <x:f>MAX(0,MIN(AC$8+1,'Fleet'!$O115)-MAX(AC$7,'Fleet'!$G115))</x:f>
        <x:v>0</x:v>
      </x:c>
      <x:c r="AD118" s="34" t="n">
        <x:f>MAX(0,MIN(AD$8+1,'Fleet'!$O115)-MAX(AD$7,'Fleet'!$G115))</x:f>
        <x:v>0</x:v>
      </x:c>
      <x:c r="AE118" s="34" t="n">
        <x:f>MAX(0,MIN(AE$8+1,'Fleet'!$O115)-MAX(AE$7,'Fleet'!$G115))</x:f>
        <x:v>0</x:v>
      </x:c>
      <x:c r="AF118" s="34" t="n">
        <x:f>MAX(0,MIN(AF$8+1,'Fleet'!$O115)-MAX(AF$7,'Fleet'!$G115))</x:f>
        <x:v>0</x:v>
      </x:c>
      <x:c r="AG118" s="34" t="n">
        <x:f>MAX(0,MIN(AG$8+1,'Fleet'!$O115)-MAX(AG$7,'Fleet'!$G115))</x:f>
        <x:v>0</x:v>
      </x:c>
      <x:c r="AH118" s="34" t="n">
        <x:f>MAX(0,MIN(AH$8+1,'Fleet'!$O115)-MAX(AH$7,'Fleet'!$G115))</x:f>
        <x:v>0</x:v>
      </x:c>
      <x:c r="AI118" s="34" t="n">
        <x:f>MAX(0,MIN(AI$8+1,'Fleet'!$O115)-MAX(AI$7,'Fleet'!$G115))</x:f>
        <x:v>0</x:v>
      </x:c>
      <x:c r="AJ118" s="34" t="n">
        <x:f>MAX(0,MIN(AJ$8+1,'Fleet'!$O115)-MAX(AJ$7,'Fleet'!$G115))</x:f>
        <x:v>0</x:v>
      </x:c>
      <x:c r="AK118" s="34" t="n">
        <x:f>MAX(0,MIN(AK$8+1,'Fleet'!$O115)-MAX(AK$7,'Fleet'!$G115))</x:f>
        <x:v>0</x:v>
      </x:c>
      <x:c r="AL118" s="34" t="n">
        <x:f>MAX(0,MIN(AL$8+1,'Fleet'!$O115)-MAX(AL$7,'Fleet'!$G115))</x:f>
        <x:v>0</x:v>
      </x:c>
      <x:c r="AM118" s="34" t="n">
        <x:f>MAX(0,MIN(AM$8+1,'Fleet'!$O115)-MAX(AM$7,'Fleet'!$G115))</x:f>
        <x:v>0</x:v>
      </x:c>
      <x:c r="AN118" s="34" t="n">
        <x:f>MAX(0,MIN(AN$8+1,'Fleet'!$O115)-MAX(AN$7,'Fleet'!$G115))</x:f>
        <x:v>0</x:v>
      </x:c>
      <x:c r="AO118" s="34" t="n">
        <x:f>MAX(0,MIN(AO$8+1,'Fleet'!$O115)-MAX(AO$7,'Fleet'!$G115))</x:f>
        <x:v>0</x:v>
      </x:c>
      <x:c r="AP118" s="34" t="n">
        <x:f>MAX(0,MIN(AP$8+1,'Fleet'!$O115)-MAX(AP$7,'Fleet'!$G115))</x:f>
        <x:v>0</x:v>
      </x:c>
      <x:c r="AQ118" s="34" t="n">
        <x:f>MAX(0,MIN(AQ$8+1,'Fleet'!$O115)-MAX(AQ$7,'Fleet'!$G115))</x:f>
        <x:v>0</x:v>
      </x:c>
    </x:row>
    <x:row r="119" ht="21" customHeight="1">
      <x:c r="A119" s="2"/>
      <x:c r="B119" s="2"/>
      <x:c r="C119" s="5" t="str">
        <x:f>'Fleet'!C116</x:f>
        <x:v>Star New London</x:v>
      </x:c>
      <x:c r="D119" s="5" t="str">
        <x:f>'Fleet'!D116</x:f>
        <x:v>Ultramax</x:v>
      </x:c>
      <x:c r="E119" s="34" t="n">
        <x:f>MAX(0,MIN(E$8+1,'Fleet'!$O116)-MAX(E$7,'Fleet'!$G116))</x:f>
        <x:v>83</x:v>
      </x:c>
      <x:c r="F119" s="34" t="n">
        <x:f>MAX(0,MIN(F$8+1,'Fleet'!$O116)-MAX(F$7,'Fleet'!$G116))</x:f>
        <x:v>90</x:v>
      </x:c>
      <x:c r="G119" s="34" t="n">
        <x:f>MAX(0,MIN(G$8+1,'Fleet'!$O116)-MAX(G$7,'Fleet'!$G116))</x:f>
        <x:v>91</x:v>
      </x:c>
      <x:c r="H119" s="34" t="n">
        <x:f>MAX(0,MIN(H$8+1,'Fleet'!$O116)-MAX(H$7,'Fleet'!$G116))</x:f>
        <x:v>92</x:v>
      </x:c>
      <x:c r="I119" s="34" t="n">
        <x:f>MAX(0,MIN(I$8+1,'Fleet'!$O116)-MAX(I$7,'Fleet'!$G116))</x:f>
        <x:v>92</x:v>
      </x:c>
      <x:c r="J119" s="34" t="n">
        <x:f>MAX(0,MIN(J$8+1,'Fleet'!$O116)-MAX(J$7,'Fleet'!$G116))</x:f>
        <x:v>91</x:v>
      </x:c>
      <x:c r="K119" s="34" t="n">
        <x:f>MAX(0,MIN(K$8+1,'Fleet'!$O116)-MAX(K$7,'Fleet'!$G116))</x:f>
        <x:v>91</x:v>
      </x:c>
      <x:c r="L119" s="34" t="n">
        <x:f>MAX(0,MIN(L$8+1,'Fleet'!$O116)-MAX(L$7,'Fleet'!$G116))</x:f>
        <x:v>92</x:v>
      </x:c>
      <x:c r="M119" s="34" t="n">
        <x:f>MAX(0,MIN(M$8+1,'Fleet'!$O116)-MAX(M$7,'Fleet'!$G116))</x:f>
        <x:v>92</x:v>
      </x:c>
      <x:c r="N119" s="34" t="n">
        <x:f>MAX(0,MIN(N$8+1,'Fleet'!$O116)-MAX(N$7,'Fleet'!$G116))</x:f>
        <x:v>90</x:v>
      </x:c>
      <x:c r="O119" s="34" t="n">
        <x:f>MAX(0,MIN(O$8+1,'Fleet'!$O116)-MAX(O$7,'Fleet'!$G116))</x:f>
        <x:v>91</x:v>
      </x:c>
      <x:c r="P119" s="34" t="n">
        <x:f>MAX(0,MIN(P$8+1,'Fleet'!$O116)-MAX(P$7,'Fleet'!$G116))</x:f>
        <x:v>92</x:v>
      </x:c>
      <x:c r="Q119" s="34" t="n">
        <x:f>MAX(0,MIN(Q$8+1,'Fleet'!$O116)-MAX(Q$7,'Fleet'!$G116))</x:f>
        <x:v>365</x:v>
      </x:c>
      <x:c r="R119" s="34" t="n">
        <x:f>MAX(0,MIN(R$8+1,'Fleet'!$O116)-MAX(R$7,'Fleet'!$G116))</x:f>
        <x:v>365</x:v>
      </x:c>
      <x:c r="S119" s="34" t="n">
        <x:f>MAX(0,MIN(S$8+1,'Fleet'!$O116)-MAX(S$7,'Fleet'!$G116))</x:f>
        <x:v>366</x:v>
      </x:c>
      <x:c r="T119" s="34" t="n">
        <x:f>MAX(0,MIN(T$8+1,'Fleet'!$O116)-MAX(T$7,'Fleet'!$G116))</x:f>
        <x:v>365</x:v>
      </x:c>
      <x:c r="U119" s="34" t="n">
        <x:f>MAX(0,MIN(U$8+1,'Fleet'!$O116)-MAX(U$7,'Fleet'!$G116))</x:f>
        <x:v>365</x:v>
      </x:c>
      <x:c r="V119" s="34" t="n">
        <x:f>MAX(0,MIN(V$8+1,'Fleet'!$O116)-MAX(V$7,'Fleet'!$G116))</x:f>
        <x:v>365</x:v>
      </x:c>
      <x:c r="W119" s="34" t="n">
        <x:f>MAX(0,MIN(W$8+1,'Fleet'!$O116)-MAX(W$7,'Fleet'!$G116))</x:f>
        <x:v>366</x:v>
      </x:c>
      <x:c r="X119" s="34" t="n">
        <x:f>MAX(0,MIN(X$8+1,'Fleet'!$O116)-MAX(X$7,'Fleet'!$G116))</x:f>
        <x:v>365</x:v>
      </x:c>
      <x:c r="Y119" s="34" t="n">
        <x:f>MAX(0,MIN(Y$8+1,'Fleet'!$O116)-MAX(Y$7,'Fleet'!$G116))</x:f>
        <x:v>365</x:v>
      </x:c>
      <x:c r="Z119" s="34" t="n">
        <x:f>MAX(0,MIN(Z$8+1,'Fleet'!$O116)-MAX(Z$7,'Fleet'!$G116))</x:f>
        <x:v>365</x:v>
      </x:c>
      <x:c r="AA119" s="34" t="n">
        <x:f>MAX(0,MIN(AA$8+1,'Fleet'!$O116)-MAX(AA$7,'Fleet'!$G116))</x:f>
        <x:v>274</x:v>
      </x:c>
      <x:c r="AB119" s="34" t="n">
        <x:f>MAX(0,MIN(AB$8+1,'Fleet'!$O116)-MAX(AB$7,'Fleet'!$G116))</x:f>
        <x:v>0</x:v>
      </x:c>
      <x:c r="AC119" s="34" t="n">
        <x:f>MAX(0,MIN(AC$8+1,'Fleet'!$O116)-MAX(AC$7,'Fleet'!$G116))</x:f>
        <x:v>0</x:v>
      </x:c>
      <x:c r="AD119" s="34" t="n">
        <x:f>MAX(0,MIN(AD$8+1,'Fleet'!$O116)-MAX(AD$7,'Fleet'!$G116))</x:f>
        <x:v>0</x:v>
      </x:c>
      <x:c r="AE119" s="34" t="n">
        <x:f>MAX(0,MIN(AE$8+1,'Fleet'!$O116)-MAX(AE$7,'Fleet'!$G116))</x:f>
        <x:v>0</x:v>
      </x:c>
      <x:c r="AF119" s="34" t="n">
        <x:f>MAX(0,MIN(AF$8+1,'Fleet'!$O116)-MAX(AF$7,'Fleet'!$G116))</x:f>
        <x:v>0</x:v>
      </x:c>
      <x:c r="AG119" s="34" t="n">
        <x:f>MAX(0,MIN(AG$8+1,'Fleet'!$O116)-MAX(AG$7,'Fleet'!$G116))</x:f>
        <x:v>0</x:v>
      </x:c>
      <x:c r="AH119" s="34" t="n">
        <x:f>MAX(0,MIN(AH$8+1,'Fleet'!$O116)-MAX(AH$7,'Fleet'!$G116))</x:f>
        <x:v>0</x:v>
      </x:c>
      <x:c r="AI119" s="34" t="n">
        <x:f>MAX(0,MIN(AI$8+1,'Fleet'!$O116)-MAX(AI$7,'Fleet'!$G116))</x:f>
        <x:v>0</x:v>
      </x:c>
      <x:c r="AJ119" s="34" t="n">
        <x:f>MAX(0,MIN(AJ$8+1,'Fleet'!$O116)-MAX(AJ$7,'Fleet'!$G116))</x:f>
        <x:v>0</x:v>
      </x:c>
      <x:c r="AK119" s="34" t="n">
        <x:f>MAX(0,MIN(AK$8+1,'Fleet'!$O116)-MAX(AK$7,'Fleet'!$G116))</x:f>
        <x:v>0</x:v>
      </x:c>
      <x:c r="AL119" s="34" t="n">
        <x:f>MAX(0,MIN(AL$8+1,'Fleet'!$O116)-MAX(AL$7,'Fleet'!$G116))</x:f>
        <x:v>0</x:v>
      </x:c>
      <x:c r="AM119" s="34" t="n">
        <x:f>MAX(0,MIN(AM$8+1,'Fleet'!$O116)-MAX(AM$7,'Fleet'!$G116))</x:f>
        <x:v>0</x:v>
      </x:c>
      <x:c r="AN119" s="34" t="n">
        <x:f>MAX(0,MIN(AN$8+1,'Fleet'!$O116)-MAX(AN$7,'Fleet'!$G116))</x:f>
        <x:v>0</x:v>
      </x:c>
      <x:c r="AO119" s="34" t="n">
        <x:f>MAX(0,MIN(AO$8+1,'Fleet'!$O116)-MAX(AO$7,'Fleet'!$G116))</x:f>
        <x:v>0</x:v>
      </x:c>
      <x:c r="AP119" s="34" t="n">
        <x:f>MAX(0,MIN(AP$8+1,'Fleet'!$O116)-MAX(AP$7,'Fleet'!$G116))</x:f>
        <x:v>0</x:v>
      </x:c>
      <x:c r="AQ119" s="34" t="n">
        <x:f>MAX(0,MIN(AQ$8+1,'Fleet'!$O116)-MAX(AQ$7,'Fleet'!$G116))</x:f>
        <x:v>0</x:v>
      </x:c>
    </x:row>
    <x:row r="120" ht="21" customHeight="1">
      <x:c r="A120" s="2"/>
      <x:c r="B120" s="2"/>
      <x:c r="C120" s="5" t="str">
        <x:f>'Fleet'!C117</x:f>
        <x:v>Star Apus</x:v>
      </x:c>
      <x:c r="D120" s="5" t="str">
        <x:f>'Fleet'!D117</x:f>
        <x:v>Ultramax</x:v>
      </x:c>
      <x:c r="E120" s="34" t="n">
        <x:f>MAX(0,MIN(E$8+1,'Fleet'!$O117)-MAX(E$7,'Fleet'!$G117))</x:f>
        <x:v>83</x:v>
      </x:c>
      <x:c r="F120" s="34" t="n">
        <x:f>MAX(0,MIN(F$8+1,'Fleet'!$O117)-MAX(F$7,'Fleet'!$G117))</x:f>
        <x:v>90</x:v>
      </x:c>
      <x:c r="G120" s="34" t="n">
        <x:f>MAX(0,MIN(G$8+1,'Fleet'!$O117)-MAX(G$7,'Fleet'!$G117))</x:f>
        <x:v>91</x:v>
      </x:c>
      <x:c r="H120" s="34" t="n">
        <x:f>MAX(0,MIN(H$8+1,'Fleet'!$O117)-MAX(H$7,'Fleet'!$G117))</x:f>
        <x:v>92</x:v>
      </x:c>
      <x:c r="I120" s="34" t="n">
        <x:f>MAX(0,MIN(I$8+1,'Fleet'!$O117)-MAX(I$7,'Fleet'!$G117))</x:f>
        <x:v>92</x:v>
      </x:c>
      <x:c r="J120" s="34" t="n">
        <x:f>MAX(0,MIN(J$8+1,'Fleet'!$O117)-MAX(J$7,'Fleet'!$G117))</x:f>
        <x:v>91</x:v>
      </x:c>
      <x:c r="K120" s="34" t="n">
        <x:f>MAX(0,MIN(K$8+1,'Fleet'!$O117)-MAX(K$7,'Fleet'!$G117))</x:f>
        <x:v>91</x:v>
      </x:c>
      <x:c r="L120" s="34" t="n">
        <x:f>MAX(0,MIN(L$8+1,'Fleet'!$O117)-MAX(L$7,'Fleet'!$G117))</x:f>
        <x:v>92</x:v>
      </x:c>
      <x:c r="M120" s="34" t="n">
        <x:f>MAX(0,MIN(M$8+1,'Fleet'!$O117)-MAX(M$7,'Fleet'!$G117))</x:f>
        <x:v>92</x:v>
      </x:c>
      <x:c r="N120" s="34" t="n">
        <x:f>MAX(0,MIN(N$8+1,'Fleet'!$O117)-MAX(N$7,'Fleet'!$G117))</x:f>
        <x:v>90</x:v>
      </x:c>
      <x:c r="O120" s="34" t="n">
        <x:f>MAX(0,MIN(O$8+1,'Fleet'!$O117)-MAX(O$7,'Fleet'!$G117))</x:f>
        <x:v>91</x:v>
      </x:c>
      <x:c r="P120" s="34" t="n">
        <x:f>MAX(0,MIN(P$8+1,'Fleet'!$O117)-MAX(P$7,'Fleet'!$G117))</x:f>
        <x:v>92</x:v>
      </x:c>
      <x:c r="Q120" s="34" t="n">
        <x:f>MAX(0,MIN(Q$8+1,'Fleet'!$O117)-MAX(Q$7,'Fleet'!$G117))</x:f>
        <x:v>365</x:v>
      </x:c>
      <x:c r="R120" s="34" t="n">
        <x:f>MAX(0,MIN(R$8+1,'Fleet'!$O117)-MAX(R$7,'Fleet'!$G117))</x:f>
        <x:v>365</x:v>
      </x:c>
      <x:c r="S120" s="34" t="n">
        <x:f>MAX(0,MIN(S$8+1,'Fleet'!$O117)-MAX(S$7,'Fleet'!$G117))</x:f>
        <x:v>366</x:v>
      </x:c>
      <x:c r="T120" s="34" t="n">
        <x:f>MAX(0,MIN(T$8+1,'Fleet'!$O117)-MAX(T$7,'Fleet'!$G117))</x:f>
        <x:v>365</x:v>
      </x:c>
      <x:c r="U120" s="34" t="n">
        <x:f>MAX(0,MIN(U$8+1,'Fleet'!$O117)-MAX(U$7,'Fleet'!$G117))</x:f>
        <x:v>365</x:v>
      </x:c>
      <x:c r="V120" s="34" t="n">
        <x:f>MAX(0,MIN(V$8+1,'Fleet'!$O117)-MAX(V$7,'Fleet'!$G117))</x:f>
        <x:v>365</x:v>
      </x:c>
      <x:c r="W120" s="34" t="n">
        <x:f>MAX(0,MIN(W$8+1,'Fleet'!$O117)-MAX(W$7,'Fleet'!$G117))</x:f>
        <x:v>366</x:v>
      </x:c>
      <x:c r="X120" s="34" t="n">
        <x:f>MAX(0,MIN(X$8+1,'Fleet'!$O117)-MAX(X$7,'Fleet'!$G117))</x:f>
        <x:v>365</x:v>
      </x:c>
      <x:c r="Y120" s="34" t="n">
        <x:f>MAX(0,MIN(Y$8+1,'Fleet'!$O117)-MAX(Y$7,'Fleet'!$G117))</x:f>
        <x:v>365</x:v>
      </x:c>
      <x:c r="Z120" s="34" t="n">
        <x:f>MAX(0,MIN(Z$8+1,'Fleet'!$O117)-MAX(Z$7,'Fleet'!$G117))</x:f>
        <x:v>273</x:v>
      </x:c>
      <x:c r="AA120" s="34" t="n">
        <x:f>MAX(0,MIN(AA$8+1,'Fleet'!$O117)-MAX(AA$7,'Fleet'!$G117))</x:f>
        <x:v>0</x:v>
      </x:c>
      <x:c r="AB120" s="34" t="n">
        <x:f>MAX(0,MIN(AB$8+1,'Fleet'!$O117)-MAX(AB$7,'Fleet'!$G117))</x:f>
        <x:v>0</x:v>
      </x:c>
      <x:c r="AC120" s="34" t="n">
        <x:f>MAX(0,MIN(AC$8+1,'Fleet'!$O117)-MAX(AC$7,'Fleet'!$G117))</x:f>
        <x:v>0</x:v>
      </x:c>
      <x:c r="AD120" s="34" t="n">
        <x:f>MAX(0,MIN(AD$8+1,'Fleet'!$O117)-MAX(AD$7,'Fleet'!$G117))</x:f>
        <x:v>0</x:v>
      </x:c>
      <x:c r="AE120" s="34" t="n">
        <x:f>MAX(0,MIN(AE$8+1,'Fleet'!$O117)-MAX(AE$7,'Fleet'!$G117))</x:f>
        <x:v>0</x:v>
      </x:c>
      <x:c r="AF120" s="34" t="n">
        <x:f>MAX(0,MIN(AF$8+1,'Fleet'!$O117)-MAX(AF$7,'Fleet'!$G117))</x:f>
        <x:v>0</x:v>
      </x:c>
      <x:c r="AG120" s="34" t="n">
        <x:f>MAX(0,MIN(AG$8+1,'Fleet'!$O117)-MAX(AG$7,'Fleet'!$G117))</x:f>
        <x:v>0</x:v>
      </x:c>
      <x:c r="AH120" s="34" t="n">
        <x:f>MAX(0,MIN(AH$8+1,'Fleet'!$O117)-MAX(AH$7,'Fleet'!$G117))</x:f>
        <x:v>0</x:v>
      </x:c>
      <x:c r="AI120" s="34" t="n">
        <x:f>MAX(0,MIN(AI$8+1,'Fleet'!$O117)-MAX(AI$7,'Fleet'!$G117))</x:f>
        <x:v>0</x:v>
      </x:c>
      <x:c r="AJ120" s="34" t="n">
        <x:f>MAX(0,MIN(AJ$8+1,'Fleet'!$O117)-MAX(AJ$7,'Fleet'!$G117))</x:f>
        <x:v>0</x:v>
      </x:c>
      <x:c r="AK120" s="34" t="n">
        <x:f>MAX(0,MIN(AK$8+1,'Fleet'!$O117)-MAX(AK$7,'Fleet'!$G117))</x:f>
        <x:v>0</x:v>
      </x:c>
      <x:c r="AL120" s="34" t="n">
        <x:f>MAX(0,MIN(AL$8+1,'Fleet'!$O117)-MAX(AL$7,'Fleet'!$G117))</x:f>
        <x:v>0</x:v>
      </x:c>
      <x:c r="AM120" s="34" t="n">
        <x:f>MAX(0,MIN(AM$8+1,'Fleet'!$O117)-MAX(AM$7,'Fleet'!$G117))</x:f>
        <x:v>0</x:v>
      </x:c>
      <x:c r="AN120" s="34" t="n">
        <x:f>MAX(0,MIN(AN$8+1,'Fleet'!$O117)-MAX(AN$7,'Fleet'!$G117))</x:f>
        <x:v>0</x:v>
      </x:c>
      <x:c r="AO120" s="34" t="n">
        <x:f>MAX(0,MIN(AO$8+1,'Fleet'!$O117)-MAX(AO$7,'Fleet'!$G117))</x:f>
        <x:v>0</x:v>
      </x:c>
      <x:c r="AP120" s="34" t="n">
        <x:f>MAX(0,MIN(AP$8+1,'Fleet'!$O117)-MAX(AP$7,'Fleet'!$G117))</x:f>
        <x:v>0</x:v>
      </x:c>
      <x:c r="AQ120" s="34" t="n">
        <x:f>MAX(0,MIN(AQ$8+1,'Fleet'!$O117)-MAX(AQ$7,'Fleet'!$G117))</x:f>
        <x:v>0</x:v>
      </x:c>
    </x:row>
    <x:row r="121" ht="21" customHeight="1">
      <x:c r="A121" s="2"/>
      <x:c r="B121" s="2"/>
      <x:c r="C121" s="5" t="str">
        <x:f>'Fleet'!C118</x:f>
        <x:v>Star Subaru</x:v>
      </x:c>
      <x:c r="D121" s="5" t="str">
        <x:f>'Fleet'!D118</x:f>
        <x:v>Ultramax</x:v>
      </x:c>
      <x:c r="E121" s="34" t="n">
        <x:f>MAX(0,MIN(E$8+1,'Fleet'!$O118)-MAX(E$7,'Fleet'!$G118))</x:f>
        <x:v>83</x:v>
      </x:c>
      <x:c r="F121" s="34" t="n">
        <x:f>MAX(0,MIN(F$8+1,'Fleet'!$O118)-MAX(F$7,'Fleet'!$G118))</x:f>
        <x:v>90</x:v>
      </x:c>
      <x:c r="G121" s="34" t="n">
        <x:f>MAX(0,MIN(G$8+1,'Fleet'!$O118)-MAX(G$7,'Fleet'!$G118))</x:f>
        <x:v>91</x:v>
      </x:c>
      <x:c r="H121" s="34" t="n">
        <x:f>MAX(0,MIN(H$8+1,'Fleet'!$O118)-MAX(H$7,'Fleet'!$G118))</x:f>
        <x:v>92</x:v>
      </x:c>
      <x:c r="I121" s="34" t="n">
        <x:f>MAX(0,MIN(I$8+1,'Fleet'!$O118)-MAX(I$7,'Fleet'!$G118))</x:f>
        <x:v>92</x:v>
      </x:c>
      <x:c r="J121" s="34" t="n">
        <x:f>MAX(0,MIN(J$8+1,'Fleet'!$O118)-MAX(J$7,'Fleet'!$G118))</x:f>
        <x:v>91</x:v>
      </x:c>
      <x:c r="K121" s="34" t="n">
        <x:f>MAX(0,MIN(K$8+1,'Fleet'!$O118)-MAX(K$7,'Fleet'!$G118))</x:f>
        <x:v>91</x:v>
      </x:c>
      <x:c r="L121" s="34" t="n">
        <x:f>MAX(0,MIN(L$8+1,'Fleet'!$O118)-MAX(L$7,'Fleet'!$G118))</x:f>
        <x:v>92</x:v>
      </x:c>
      <x:c r="M121" s="34" t="n">
        <x:f>MAX(0,MIN(M$8+1,'Fleet'!$O118)-MAX(M$7,'Fleet'!$G118))</x:f>
        <x:v>92</x:v>
      </x:c>
      <x:c r="N121" s="34" t="n">
        <x:f>MAX(0,MIN(N$8+1,'Fleet'!$O118)-MAX(N$7,'Fleet'!$G118))</x:f>
        <x:v>90</x:v>
      </x:c>
      <x:c r="O121" s="34" t="n">
        <x:f>MAX(0,MIN(O$8+1,'Fleet'!$O118)-MAX(O$7,'Fleet'!$G118))</x:f>
        <x:v>91</x:v>
      </x:c>
      <x:c r="P121" s="34" t="n">
        <x:f>MAX(0,MIN(P$8+1,'Fleet'!$O118)-MAX(P$7,'Fleet'!$G118))</x:f>
        <x:v>92</x:v>
      </x:c>
      <x:c r="Q121" s="34" t="n">
        <x:f>MAX(0,MIN(Q$8+1,'Fleet'!$O118)-MAX(Q$7,'Fleet'!$G118))</x:f>
        <x:v>365</x:v>
      </x:c>
      <x:c r="R121" s="34" t="n">
        <x:f>MAX(0,MIN(R$8+1,'Fleet'!$O118)-MAX(R$7,'Fleet'!$G118))</x:f>
        <x:v>365</x:v>
      </x:c>
      <x:c r="S121" s="34" t="n">
        <x:f>MAX(0,MIN(S$8+1,'Fleet'!$O118)-MAX(S$7,'Fleet'!$G118))</x:f>
        <x:v>366</x:v>
      </x:c>
      <x:c r="T121" s="34" t="n">
        <x:f>MAX(0,MIN(T$8+1,'Fleet'!$O118)-MAX(T$7,'Fleet'!$G118))</x:f>
        <x:v>365</x:v>
      </x:c>
      <x:c r="U121" s="34" t="n">
        <x:f>MAX(0,MIN(U$8+1,'Fleet'!$O118)-MAX(U$7,'Fleet'!$G118))</x:f>
        <x:v>365</x:v>
      </x:c>
      <x:c r="V121" s="34" t="n">
        <x:f>MAX(0,MIN(V$8+1,'Fleet'!$O118)-MAX(V$7,'Fleet'!$G118))</x:f>
        <x:v>365</x:v>
      </x:c>
      <x:c r="W121" s="34" t="n">
        <x:f>MAX(0,MIN(W$8+1,'Fleet'!$O118)-MAX(W$7,'Fleet'!$G118))</x:f>
        <x:v>366</x:v>
      </x:c>
      <x:c r="X121" s="34" t="n">
        <x:f>MAX(0,MIN(X$8+1,'Fleet'!$O118)-MAX(X$7,'Fleet'!$G118))</x:f>
        <x:v>365</x:v>
      </x:c>
      <x:c r="Y121" s="34" t="n">
        <x:f>MAX(0,MIN(Y$8+1,'Fleet'!$O118)-MAX(Y$7,'Fleet'!$G118))</x:f>
        <x:v>365</x:v>
      </x:c>
      <x:c r="Z121" s="34" t="n">
        <x:f>MAX(0,MIN(Z$8+1,'Fleet'!$O118)-MAX(Z$7,'Fleet'!$G118))</x:f>
        <x:v>365</x:v>
      </x:c>
      <x:c r="AA121" s="34" t="n">
        <x:f>MAX(0,MIN(AA$8+1,'Fleet'!$O118)-MAX(AA$7,'Fleet'!$G118))</x:f>
        <x:v>274</x:v>
      </x:c>
      <x:c r="AB121" s="34" t="n">
        <x:f>MAX(0,MIN(AB$8+1,'Fleet'!$O118)-MAX(AB$7,'Fleet'!$G118))</x:f>
        <x:v>0</x:v>
      </x:c>
      <x:c r="AC121" s="34" t="n">
        <x:f>MAX(0,MIN(AC$8+1,'Fleet'!$O118)-MAX(AC$7,'Fleet'!$G118))</x:f>
        <x:v>0</x:v>
      </x:c>
      <x:c r="AD121" s="34" t="n">
        <x:f>MAX(0,MIN(AD$8+1,'Fleet'!$O118)-MAX(AD$7,'Fleet'!$G118))</x:f>
        <x:v>0</x:v>
      </x:c>
      <x:c r="AE121" s="34" t="n">
        <x:f>MAX(0,MIN(AE$8+1,'Fleet'!$O118)-MAX(AE$7,'Fleet'!$G118))</x:f>
        <x:v>0</x:v>
      </x:c>
      <x:c r="AF121" s="34" t="n">
        <x:f>MAX(0,MIN(AF$8+1,'Fleet'!$O118)-MAX(AF$7,'Fleet'!$G118))</x:f>
        <x:v>0</x:v>
      </x:c>
      <x:c r="AG121" s="34" t="n">
        <x:f>MAX(0,MIN(AG$8+1,'Fleet'!$O118)-MAX(AG$7,'Fleet'!$G118))</x:f>
        <x:v>0</x:v>
      </x:c>
      <x:c r="AH121" s="34" t="n">
        <x:f>MAX(0,MIN(AH$8+1,'Fleet'!$O118)-MAX(AH$7,'Fleet'!$G118))</x:f>
        <x:v>0</x:v>
      </x:c>
      <x:c r="AI121" s="34" t="n">
        <x:f>MAX(0,MIN(AI$8+1,'Fleet'!$O118)-MAX(AI$7,'Fleet'!$G118))</x:f>
        <x:v>0</x:v>
      </x:c>
      <x:c r="AJ121" s="34" t="n">
        <x:f>MAX(0,MIN(AJ$8+1,'Fleet'!$O118)-MAX(AJ$7,'Fleet'!$G118))</x:f>
        <x:v>0</x:v>
      </x:c>
      <x:c r="AK121" s="34" t="n">
        <x:f>MAX(0,MIN(AK$8+1,'Fleet'!$O118)-MAX(AK$7,'Fleet'!$G118))</x:f>
        <x:v>0</x:v>
      </x:c>
      <x:c r="AL121" s="34" t="n">
        <x:f>MAX(0,MIN(AL$8+1,'Fleet'!$O118)-MAX(AL$7,'Fleet'!$G118))</x:f>
        <x:v>0</x:v>
      </x:c>
      <x:c r="AM121" s="34" t="n">
        <x:f>MAX(0,MIN(AM$8+1,'Fleet'!$O118)-MAX(AM$7,'Fleet'!$G118))</x:f>
        <x:v>0</x:v>
      </x:c>
      <x:c r="AN121" s="34" t="n">
        <x:f>MAX(0,MIN(AN$8+1,'Fleet'!$O118)-MAX(AN$7,'Fleet'!$G118))</x:f>
        <x:v>0</x:v>
      </x:c>
      <x:c r="AO121" s="34" t="n">
        <x:f>MAX(0,MIN(AO$8+1,'Fleet'!$O118)-MAX(AO$7,'Fleet'!$G118))</x:f>
        <x:v>0</x:v>
      </x:c>
      <x:c r="AP121" s="34" t="n">
        <x:f>MAX(0,MIN(AP$8+1,'Fleet'!$O118)-MAX(AP$7,'Fleet'!$G118))</x:f>
        <x:v>0</x:v>
      </x:c>
      <x:c r="AQ121" s="34" t="n">
        <x:f>MAX(0,MIN(AQ$8+1,'Fleet'!$O118)-MAX(AQ$7,'Fleet'!$G118))</x:f>
        <x:v>0</x:v>
      </x:c>
    </x:row>
    <x:row r="122" ht="21" customHeight="1">
      <x:c r="A122" s="2"/>
      <x:c r="B122" s="2"/>
      <x:c r="C122" s="5" t="str">
        <x:f>'Fleet'!C119</x:f>
        <x:v>Star Stamford</x:v>
      </x:c>
      <x:c r="D122" s="5" t="str">
        <x:f>'Fleet'!D119</x:f>
        <x:v>Ultramax</x:v>
      </x:c>
      <x:c r="E122" s="34" t="n">
        <x:f>MAX(0,MIN(E$8+1,'Fleet'!$O119)-MAX(E$7,'Fleet'!$G119))</x:f>
        <x:v>83</x:v>
      </x:c>
      <x:c r="F122" s="34" t="n">
        <x:f>MAX(0,MIN(F$8+1,'Fleet'!$O119)-MAX(F$7,'Fleet'!$G119))</x:f>
        <x:v>90</x:v>
      </x:c>
      <x:c r="G122" s="34" t="n">
        <x:f>MAX(0,MIN(G$8+1,'Fleet'!$O119)-MAX(G$7,'Fleet'!$G119))</x:f>
        <x:v>91</x:v>
      </x:c>
      <x:c r="H122" s="34" t="n">
        <x:f>MAX(0,MIN(H$8+1,'Fleet'!$O119)-MAX(H$7,'Fleet'!$G119))</x:f>
        <x:v>92</x:v>
      </x:c>
      <x:c r="I122" s="34" t="n">
        <x:f>MAX(0,MIN(I$8+1,'Fleet'!$O119)-MAX(I$7,'Fleet'!$G119))</x:f>
        <x:v>92</x:v>
      </x:c>
      <x:c r="J122" s="34" t="n">
        <x:f>MAX(0,MIN(J$8+1,'Fleet'!$O119)-MAX(J$7,'Fleet'!$G119))</x:f>
        <x:v>91</x:v>
      </x:c>
      <x:c r="K122" s="34" t="n">
        <x:f>MAX(0,MIN(K$8+1,'Fleet'!$O119)-MAX(K$7,'Fleet'!$G119))</x:f>
        <x:v>91</x:v>
      </x:c>
      <x:c r="L122" s="34" t="n">
        <x:f>MAX(0,MIN(L$8+1,'Fleet'!$O119)-MAX(L$7,'Fleet'!$G119))</x:f>
        <x:v>92</x:v>
      </x:c>
      <x:c r="M122" s="34" t="n">
        <x:f>MAX(0,MIN(M$8+1,'Fleet'!$O119)-MAX(M$7,'Fleet'!$G119))</x:f>
        <x:v>92</x:v>
      </x:c>
      <x:c r="N122" s="34" t="n">
        <x:f>MAX(0,MIN(N$8+1,'Fleet'!$O119)-MAX(N$7,'Fleet'!$G119))</x:f>
        <x:v>90</x:v>
      </x:c>
      <x:c r="O122" s="34" t="n">
        <x:f>MAX(0,MIN(O$8+1,'Fleet'!$O119)-MAX(O$7,'Fleet'!$G119))</x:f>
        <x:v>91</x:v>
      </x:c>
      <x:c r="P122" s="34" t="n">
        <x:f>MAX(0,MIN(P$8+1,'Fleet'!$O119)-MAX(P$7,'Fleet'!$G119))</x:f>
        <x:v>92</x:v>
      </x:c>
      <x:c r="Q122" s="34" t="n">
        <x:f>MAX(0,MIN(Q$8+1,'Fleet'!$O119)-MAX(Q$7,'Fleet'!$G119))</x:f>
        <x:v>365</x:v>
      </x:c>
      <x:c r="R122" s="34" t="n">
        <x:f>MAX(0,MIN(R$8+1,'Fleet'!$O119)-MAX(R$7,'Fleet'!$G119))</x:f>
        <x:v>365</x:v>
      </x:c>
      <x:c r="S122" s="34" t="n">
        <x:f>MAX(0,MIN(S$8+1,'Fleet'!$O119)-MAX(S$7,'Fleet'!$G119))</x:f>
        <x:v>366</x:v>
      </x:c>
      <x:c r="T122" s="34" t="n">
        <x:f>MAX(0,MIN(T$8+1,'Fleet'!$O119)-MAX(T$7,'Fleet'!$G119))</x:f>
        <x:v>365</x:v>
      </x:c>
      <x:c r="U122" s="34" t="n">
        <x:f>MAX(0,MIN(U$8+1,'Fleet'!$O119)-MAX(U$7,'Fleet'!$G119))</x:f>
        <x:v>365</x:v>
      </x:c>
      <x:c r="V122" s="34" t="n">
        <x:f>MAX(0,MIN(V$8+1,'Fleet'!$O119)-MAX(V$7,'Fleet'!$G119))</x:f>
        <x:v>365</x:v>
      </x:c>
      <x:c r="W122" s="34" t="n">
        <x:f>MAX(0,MIN(W$8+1,'Fleet'!$O119)-MAX(W$7,'Fleet'!$G119))</x:f>
        <x:v>366</x:v>
      </x:c>
      <x:c r="X122" s="34" t="n">
        <x:f>MAX(0,MIN(X$8+1,'Fleet'!$O119)-MAX(X$7,'Fleet'!$G119))</x:f>
        <x:v>365</x:v>
      </x:c>
      <x:c r="Y122" s="34" t="n">
        <x:f>MAX(0,MIN(Y$8+1,'Fleet'!$O119)-MAX(Y$7,'Fleet'!$G119))</x:f>
        <x:v>365</x:v>
      </x:c>
      <x:c r="Z122" s="34" t="n">
        <x:f>MAX(0,MIN(Z$8+1,'Fleet'!$O119)-MAX(Z$7,'Fleet'!$G119))</x:f>
        <x:v>365</x:v>
      </x:c>
      <x:c r="AA122" s="34" t="n">
        <x:f>MAX(0,MIN(AA$8+1,'Fleet'!$O119)-MAX(AA$7,'Fleet'!$G119))</x:f>
        <x:v>366</x:v>
      </x:c>
      <x:c r="AB122" s="34" t="n">
        <x:f>MAX(0,MIN(AB$8+1,'Fleet'!$O119)-MAX(AB$7,'Fleet'!$G119))</x:f>
        <x:v>273</x:v>
      </x:c>
      <x:c r="AC122" s="34" t="n">
        <x:f>MAX(0,MIN(AC$8+1,'Fleet'!$O119)-MAX(AC$7,'Fleet'!$G119))</x:f>
        <x:v>0</x:v>
      </x:c>
      <x:c r="AD122" s="34" t="n">
        <x:f>MAX(0,MIN(AD$8+1,'Fleet'!$O119)-MAX(AD$7,'Fleet'!$G119))</x:f>
        <x:v>0</x:v>
      </x:c>
      <x:c r="AE122" s="34" t="n">
        <x:f>MAX(0,MIN(AE$8+1,'Fleet'!$O119)-MAX(AE$7,'Fleet'!$G119))</x:f>
        <x:v>0</x:v>
      </x:c>
      <x:c r="AF122" s="34" t="n">
        <x:f>MAX(0,MIN(AF$8+1,'Fleet'!$O119)-MAX(AF$7,'Fleet'!$G119))</x:f>
        <x:v>0</x:v>
      </x:c>
      <x:c r="AG122" s="34" t="n">
        <x:f>MAX(0,MIN(AG$8+1,'Fleet'!$O119)-MAX(AG$7,'Fleet'!$G119))</x:f>
        <x:v>0</x:v>
      </x:c>
      <x:c r="AH122" s="34" t="n">
        <x:f>MAX(0,MIN(AH$8+1,'Fleet'!$O119)-MAX(AH$7,'Fleet'!$G119))</x:f>
        <x:v>0</x:v>
      </x:c>
      <x:c r="AI122" s="34" t="n">
        <x:f>MAX(0,MIN(AI$8+1,'Fleet'!$O119)-MAX(AI$7,'Fleet'!$G119))</x:f>
        <x:v>0</x:v>
      </x:c>
      <x:c r="AJ122" s="34" t="n">
        <x:f>MAX(0,MIN(AJ$8+1,'Fleet'!$O119)-MAX(AJ$7,'Fleet'!$G119))</x:f>
        <x:v>0</x:v>
      </x:c>
      <x:c r="AK122" s="34" t="n">
        <x:f>MAX(0,MIN(AK$8+1,'Fleet'!$O119)-MAX(AK$7,'Fleet'!$G119))</x:f>
        <x:v>0</x:v>
      </x:c>
      <x:c r="AL122" s="34" t="n">
        <x:f>MAX(0,MIN(AL$8+1,'Fleet'!$O119)-MAX(AL$7,'Fleet'!$G119))</x:f>
        <x:v>0</x:v>
      </x:c>
      <x:c r="AM122" s="34" t="n">
        <x:f>MAX(0,MIN(AM$8+1,'Fleet'!$O119)-MAX(AM$7,'Fleet'!$G119))</x:f>
        <x:v>0</x:v>
      </x:c>
      <x:c r="AN122" s="34" t="n">
        <x:f>MAX(0,MIN(AN$8+1,'Fleet'!$O119)-MAX(AN$7,'Fleet'!$G119))</x:f>
        <x:v>0</x:v>
      </x:c>
      <x:c r="AO122" s="34" t="n">
        <x:f>MAX(0,MIN(AO$8+1,'Fleet'!$O119)-MAX(AO$7,'Fleet'!$G119))</x:f>
        <x:v>0</x:v>
      </x:c>
      <x:c r="AP122" s="34" t="n">
        <x:f>MAX(0,MIN(AP$8+1,'Fleet'!$O119)-MAX(AP$7,'Fleet'!$G119))</x:f>
        <x:v>0</x:v>
      </x:c>
      <x:c r="AQ122" s="34" t="n">
        <x:f>MAX(0,MIN(AQ$8+1,'Fleet'!$O119)-MAX(AQ$7,'Fleet'!$G119))</x:f>
        <x:v>0</x:v>
      </x:c>
    </x:row>
    <x:row r="123" ht="21" customHeight="1">
      <x:c r="A123" s="2"/>
      <x:c r="B123" s="2"/>
      <x:c r="C123" s="5" t="str">
        <x:f>'Fleet'!C120</x:f>
        <x:v>Star Wave</x:v>
      </x:c>
      <x:c r="D123" s="5" t="str">
        <x:f>'Fleet'!D120</x:f>
        <x:v>Ultramax</x:v>
      </x:c>
      <x:c r="E123" s="34" t="n">
        <x:f>MAX(0,MIN(E$8+1,'Fleet'!$O120)-MAX(E$7,'Fleet'!$G120))</x:f>
        <x:v>83</x:v>
      </x:c>
      <x:c r="F123" s="34" t="n">
        <x:f>MAX(0,MIN(F$8+1,'Fleet'!$O120)-MAX(F$7,'Fleet'!$G120))</x:f>
        <x:v>90</x:v>
      </x:c>
      <x:c r="G123" s="34" t="n">
        <x:f>MAX(0,MIN(G$8+1,'Fleet'!$O120)-MAX(G$7,'Fleet'!$G120))</x:f>
        <x:v>91</x:v>
      </x:c>
      <x:c r="H123" s="34" t="n">
        <x:f>MAX(0,MIN(H$8+1,'Fleet'!$O120)-MAX(H$7,'Fleet'!$G120))</x:f>
        <x:v>92</x:v>
      </x:c>
      <x:c r="I123" s="34" t="n">
        <x:f>MAX(0,MIN(I$8+1,'Fleet'!$O120)-MAX(I$7,'Fleet'!$G120))</x:f>
        <x:v>92</x:v>
      </x:c>
      <x:c r="J123" s="34" t="n">
        <x:f>MAX(0,MIN(J$8+1,'Fleet'!$O120)-MAX(J$7,'Fleet'!$G120))</x:f>
        <x:v>91</x:v>
      </x:c>
      <x:c r="K123" s="34" t="n">
        <x:f>MAX(0,MIN(K$8+1,'Fleet'!$O120)-MAX(K$7,'Fleet'!$G120))</x:f>
        <x:v>91</x:v>
      </x:c>
      <x:c r="L123" s="34" t="n">
        <x:f>MAX(0,MIN(L$8+1,'Fleet'!$O120)-MAX(L$7,'Fleet'!$G120))</x:f>
        <x:v>92</x:v>
      </x:c>
      <x:c r="M123" s="34" t="n">
        <x:f>MAX(0,MIN(M$8+1,'Fleet'!$O120)-MAX(M$7,'Fleet'!$G120))</x:f>
        <x:v>92</x:v>
      </x:c>
      <x:c r="N123" s="34" t="n">
        <x:f>MAX(0,MIN(N$8+1,'Fleet'!$O120)-MAX(N$7,'Fleet'!$G120))</x:f>
        <x:v>90</x:v>
      </x:c>
      <x:c r="O123" s="34" t="n">
        <x:f>MAX(0,MIN(O$8+1,'Fleet'!$O120)-MAX(O$7,'Fleet'!$G120))</x:f>
        <x:v>91</x:v>
      </x:c>
      <x:c r="P123" s="34" t="n">
        <x:f>MAX(0,MIN(P$8+1,'Fleet'!$O120)-MAX(P$7,'Fleet'!$G120))</x:f>
        <x:v>92</x:v>
      </x:c>
      <x:c r="Q123" s="34" t="n">
        <x:f>MAX(0,MIN(Q$8+1,'Fleet'!$O120)-MAX(Q$7,'Fleet'!$G120))</x:f>
        <x:v>365</x:v>
      </x:c>
      <x:c r="R123" s="34" t="n">
        <x:f>MAX(0,MIN(R$8+1,'Fleet'!$O120)-MAX(R$7,'Fleet'!$G120))</x:f>
        <x:v>365</x:v>
      </x:c>
      <x:c r="S123" s="34" t="n">
        <x:f>MAX(0,MIN(S$8+1,'Fleet'!$O120)-MAX(S$7,'Fleet'!$G120))</x:f>
        <x:v>366</x:v>
      </x:c>
      <x:c r="T123" s="34" t="n">
        <x:f>MAX(0,MIN(T$8+1,'Fleet'!$O120)-MAX(T$7,'Fleet'!$G120))</x:f>
        <x:v>365</x:v>
      </x:c>
      <x:c r="U123" s="34" t="n">
        <x:f>MAX(0,MIN(U$8+1,'Fleet'!$O120)-MAX(U$7,'Fleet'!$G120))</x:f>
        <x:v>365</x:v>
      </x:c>
      <x:c r="V123" s="34" t="n">
        <x:f>MAX(0,MIN(V$8+1,'Fleet'!$O120)-MAX(V$7,'Fleet'!$G120))</x:f>
        <x:v>365</x:v>
      </x:c>
      <x:c r="W123" s="34" t="n">
        <x:f>MAX(0,MIN(W$8+1,'Fleet'!$O120)-MAX(W$7,'Fleet'!$G120))</x:f>
        <x:v>366</x:v>
      </x:c>
      <x:c r="X123" s="34" t="n">
        <x:f>MAX(0,MIN(X$8+1,'Fleet'!$O120)-MAX(X$7,'Fleet'!$G120))</x:f>
        <x:v>365</x:v>
      </x:c>
      <x:c r="Y123" s="34" t="n">
        <x:f>MAX(0,MIN(Y$8+1,'Fleet'!$O120)-MAX(Y$7,'Fleet'!$G120))</x:f>
        <x:v>365</x:v>
      </x:c>
      <x:c r="Z123" s="34" t="n">
        <x:f>MAX(0,MIN(Z$8+1,'Fleet'!$O120)-MAX(Z$7,'Fleet'!$G120))</x:f>
        <x:v>365</x:v>
      </x:c>
      <x:c r="AA123" s="34" t="n">
        <x:f>MAX(0,MIN(AA$8+1,'Fleet'!$O120)-MAX(AA$7,'Fleet'!$G120))</x:f>
        <x:v>366</x:v>
      </x:c>
      <x:c r="AB123" s="34" t="n">
        <x:f>MAX(0,MIN(AB$8+1,'Fleet'!$O120)-MAX(AB$7,'Fleet'!$G120))</x:f>
        <x:v>365</x:v>
      </x:c>
      <x:c r="AC123" s="34" t="n">
        <x:f>MAX(0,MIN(AC$8+1,'Fleet'!$O120)-MAX(AC$7,'Fleet'!$G120))</x:f>
        <x:v>273</x:v>
      </x:c>
      <x:c r="AD123" s="34" t="n">
        <x:f>MAX(0,MIN(AD$8+1,'Fleet'!$O120)-MAX(AD$7,'Fleet'!$G120))</x:f>
        <x:v>0</x:v>
      </x:c>
      <x:c r="AE123" s="34" t="n">
        <x:f>MAX(0,MIN(AE$8+1,'Fleet'!$O120)-MAX(AE$7,'Fleet'!$G120))</x:f>
        <x:v>0</x:v>
      </x:c>
      <x:c r="AF123" s="34" t="n">
        <x:f>MAX(0,MIN(AF$8+1,'Fleet'!$O120)-MAX(AF$7,'Fleet'!$G120))</x:f>
        <x:v>0</x:v>
      </x:c>
      <x:c r="AG123" s="34" t="n">
        <x:f>MAX(0,MIN(AG$8+1,'Fleet'!$O120)-MAX(AG$7,'Fleet'!$G120))</x:f>
        <x:v>0</x:v>
      </x:c>
      <x:c r="AH123" s="34" t="n">
        <x:f>MAX(0,MIN(AH$8+1,'Fleet'!$O120)-MAX(AH$7,'Fleet'!$G120))</x:f>
        <x:v>0</x:v>
      </x:c>
      <x:c r="AI123" s="34" t="n">
        <x:f>MAX(0,MIN(AI$8+1,'Fleet'!$O120)-MAX(AI$7,'Fleet'!$G120))</x:f>
        <x:v>0</x:v>
      </x:c>
      <x:c r="AJ123" s="34" t="n">
        <x:f>MAX(0,MIN(AJ$8+1,'Fleet'!$O120)-MAX(AJ$7,'Fleet'!$G120))</x:f>
        <x:v>0</x:v>
      </x:c>
      <x:c r="AK123" s="34" t="n">
        <x:f>MAX(0,MIN(AK$8+1,'Fleet'!$O120)-MAX(AK$7,'Fleet'!$G120))</x:f>
        <x:v>0</x:v>
      </x:c>
      <x:c r="AL123" s="34" t="n">
        <x:f>MAX(0,MIN(AL$8+1,'Fleet'!$O120)-MAX(AL$7,'Fleet'!$G120))</x:f>
        <x:v>0</x:v>
      </x:c>
      <x:c r="AM123" s="34" t="n">
        <x:f>MAX(0,MIN(AM$8+1,'Fleet'!$O120)-MAX(AM$7,'Fleet'!$G120))</x:f>
        <x:v>0</x:v>
      </x:c>
      <x:c r="AN123" s="34" t="n">
        <x:f>MAX(0,MIN(AN$8+1,'Fleet'!$O120)-MAX(AN$7,'Fleet'!$G120))</x:f>
        <x:v>0</x:v>
      </x:c>
      <x:c r="AO123" s="34" t="n">
        <x:f>MAX(0,MIN(AO$8+1,'Fleet'!$O120)-MAX(AO$7,'Fleet'!$G120))</x:f>
        <x:v>0</x:v>
      </x:c>
      <x:c r="AP123" s="34" t="n">
        <x:f>MAX(0,MIN(AP$8+1,'Fleet'!$O120)-MAX(AP$7,'Fleet'!$G120))</x:f>
        <x:v>0</x:v>
      </x:c>
      <x:c r="AQ123" s="34" t="n">
        <x:f>MAX(0,MIN(AQ$8+1,'Fleet'!$O120)-MAX(AQ$7,'Fleet'!$G120))</x:f>
        <x:v>0</x:v>
      </x:c>
    </x:row>
    <x:row r="124" ht="21" customHeight="1">
      <x:c r="A124" s="2"/>
      <x:c r="B124" s="2"/>
      <x:c r="C124" s="5" t="str">
        <x:f>'Fleet'!C121</x:f>
        <x:v>Star Challenger</x:v>
      </x:c>
      <x:c r="D124" s="5" t="str">
        <x:f>'Fleet'!D121</x:f>
        <x:v>Ultramax</x:v>
      </x:c>
      <x:c r="E124" s="34" t="n">
        <x:f>MAX(0,MIN(E$8+1,'Fleet'!$O121)-MAX(E$7,'Fleet'!$G121))</x:f>
        <x:v>83</x:v>
      </x:c>
      <x:c r="F124" s="34" t="n">
        <x:f>MAX(0,MIN(F$8+1,'Fleet'!$O121)-MAX(F$7,'Fleet'!$G121))</x:f>
        <x:v>90</x:v>
      </x:c>
      <x:c r="G124" s="34" t="n">
        <x:f>MAX(0,MIN(G$8+1,'Fleet'!$O121)-MAX(G$7,'Fleet'!$G121))</x:f>
        <x:v>91</x:v>
      </x:c>
      <x:c r="H124" s="34" t="n">
        <x:f>MAX(0,MIN(H$8+1,'Fleet'!$O121)-MAX(H$7,'Fleet'!$G121))</x:f>
        <x:v>92</x:v>
      </x:c>
      <x:c r="I124" s="34" t="n">
        <x:f>MAX(0,MIN(I$8+1,'Fleet'!$O121)-MAX(I$7,'Fleet'!$G121))</x:f>
        <x:v>92</x:v>
      </x:c>
      <x:c r="J124" s="34" t="n">
        <x:f>MAX(0,MIN(J$8+1,'Fleet'!$O121)-MAX(J$7,'Fleet'!$G121))</x:f>
        <x:v>91</x:v>
      </x:c>
      <x:c r="K124" s="34" t="n">
        <x:f>MAX(0,MIN(K$8+1,'Fleet'!$O121)-MAX(K$7,'Fleet'!$G121))</x:f>
        <x:v>91</x:v>
      </x:c>
      <x:c r="L124" s="34" t="n">
        <x:f>MAX(0,MIN(L$8+1,'Fleet'!$O121)-MAX(L$7,'Fleet'!$G121))</x:f>
        <x:v>92</x:v>
      </x:c>
      <x:c r="M124" s="34" t="n">
        <x:f>MAX(0,MIN(M$8+1,'Fleet'!$O121)-MAX(M$7,'Fleet'!$G121))</x:f>
        <x:v>92</x:v>
      </x:c>
      <x:c r="N124" s="34" t="n">
        <x:f>MAX(0,MIN(N$8+1,'Fleet'!$O121)-MAX(N$7,'Fleet'!$G121))</x:f>
        <x:v>90</x:v>
      </x:c>
      <x:c r="O124" s="34" t="n">
        <x:f>MAX(0,MIN(O$8+1,'Fleet'!$O121)-MAX(O$7,'Fleet'!$G121))</x:f>
        <x:v>91</x:v>
      </x:c>
      <x:c r="P124" s="34" t="n">
        <x:f>MAX(0,MIN(P$8+1,'Fleet'!$O121)-MAX(P$7,'Fleet'!$G121))</x:f>
        <x:v>92</x:v>
      </x:c>
      <x:c r="Q124" s="34" t="n">
        <x:f>MAX(0,MIN(Q$8+1,'Fleet'!$O121)-MAX(Q$7,'Fleet'!$G121))</x:f>
        <x:v>365</x:v>
      </x:c>
      <x:c r="R124" s="34" t="n">
        <x:f>MAX(0,MIN(R$8+1,'Fleet'!$O121)-MAX(R$7,'Fleet'!$G121))</x:f>
        <x:v>365</x:v>
      </x:c>
      <x:c r="S124" s="34" t="n">
        <x:f>MAX(0,MIN(S$8+1,'Fleet'!$O121)-MAX(S$7,'Fleet'!$G121))</x:f>
        <x:v>366</x:v>
      </x:c>
      <x:c r="T124" s="34" t="n">
        <x:f>MAX(0,MIN(T$8+1,'Fleet'!$O121)-MAX(T$7,'Fleet'!$G121))</x:f>
        <x:v>365</x:v>
      </x:c>
      <x:c r="U124" s="34" t="n">
        <x:f>MAX(0,MIN(U$8+1,'Fleet'!$O121)-MAX(U$7,'Fleet'!$G121))</x:f>
        <x:v>365</x:v>
      </x:c>
      <x:c r="V124" s="34" t="n">
        <x:f>MAX(0,MIN(V$8+1,'Fleet'!$O121)-MAX(V$7,'Fleet'!$G121))</x:f>
        <x:v>365</x:v>
      </x:c>
      <x:c r="W124" s="34" t="n">
        <x:f>MAX(0,MIN(W$8+1,'Fleet'!$O121)-MAX(W$7,'Fleet'!$G121))</x:f>
        <x:v>366</x:v>
      </x:c>
      <x:c r="X124" s="34" t="n">
        <x:f>MAX(0,MIN(X$8+1,'Fleet'!$O121)-MAX(X$7,'Fleet'!$G121))</x:f>
        <x:v>273</x:v>
      </x:c>
      <x:c r="Y124" s="34" t="n">
        <x:f>MAX(0,MIN(Y$8+1,'Fleet'!$O121)-MAX(Y$7,'Fleet'!$G121))</x:f>
        <x:v>0</x:v>
      </x:c>
      <x:c r="Z124" s="34" t="n">
        <x:f>MAX(0,MIN(Z$8+1,'Fleet'!$O121)-MAX(Z$7,'Fleet'!$G121))</x:f>
        <x:v>0</x:v>
      </x:c>
      <x:c r="AA124" s="34" t="n">
        <x:f>MAX(0,MIN(AA$8+1,'Fleet'!$O121)-MAX(AA$7,'Fleet'!$G121))</x:f>
        <x:v>0</x:v>
      </x:c>
      <x:c r="AB124" s="34" t="n">
        <x:f>MAX(0,MIN(AB$8+1,'Fleet'!$O121)-MAX(AB$7,'Fleet'!$G121))</x:f>
        <x:v>0</x:v>
      </x:c>
      <x:c r="AC124" s="34" t="n">
        <x:f>MAX(0,MIN(AC$8+1,'Fleet'!$O121)-MAX(AC$7,'Fleet'!$G121))</x:f>
        <x:v>0</x:v>
      </x:c>
      <x:c r="AD124" s="34" t="n">
        <x:f>MAX(0,MIN(AD$8+1,'Fleet'!$O121)-MAX(AD$7,'Fleet'!$G121))</x:f>
        <x:v>0</x:v>
      </x:c>
      <x:c r="AE124" s="34" t="n">
        <x:f>MAX(0,MIN(AE$8+1,'Fleet'!$O121)-MAX(AE$7,'Fleet'!$G121))</x:f>
        <x:v>0</x:v>
      </x:c>
      <x:c r="AF124" s="34" t="n">
        <x:f>MAX(0,MIN(AF$8+1,'Fleet'!$O121)-MAX(AF$7,'Fleet'!$G121))</x:f>
        <x:v>0</x:v>
      </x:c>
      <x:c r="AG124" s="34" t="n">
        <x:f>MAX(0,MIN(AG$8+1,'Fleet'!$O121)-MAX(AG$7,'Fleet'!$G121))</x:f>
        <x:v>0</x:v>
      </x:c>
      <x:c r="AH124" s="34" t="n">
        <x:f>MAX(0,MIN(AH$8+1,'Fleet'!$O121)-MAX(AH$7,'Fleet'!$G121))</x:f>
        <x:v>0</x:v>
      </x:c>
      <x:c r="AI124" s="34" t="n">
        <x:f>MAX(0,MIN(AI$8+1,'Fleet'!$O121)-MAX(AI$7,'Fleet'!$G121))</x:f>
        <x:v>0</x:v>
      </x:c>
      <x:c r="AJ124" s="34" t="n">
        <x:f>MAX(0,MIN(AJ$8+1,'Fleet'!$O121)-MAX(AJ$7,'Fleet'!$G121))</x:f>
        <x:v>0</x:v>
      </x:c>
      <x:c r="AK124" s="34" t="n">
        <x:f>MAX(0,MIN(AK$8+1,'Fleet'!$O121)-MAX(AK$7,'Fleet'!$G121))</x:f>
        <x:v>0</x:v>
      </x:c>
      <x:c r="AL124" s="34" t="n">
        <x:f>MAX(0,MIN(AL$8+1,'Fleet'!$O121)-MAX(AL$7,'Fleet'!$G121))</x:f>
        <x:v>0</x:v>
      </x:c>
      <x:c r="AM124" s="34" t="n">
        <x:f>MAX(0,MIN(AM$8+1,'Fleet'!$O121)-MAX(AM$7,'Fleet'!$G121))</x:f>
        <x:v>0</x:v>
      </x:c>
      <x:c r="AN124" s="34" t="n">
        <x:f>MAX(0,MIN(AN$8+1,'Fleet'!$O121)-MAX(AN$7,'Fleet'!$G121))</x:f>
        <x:v>0</x:v>
      </x:c>
      <x:c r="AO124" s="34" t="n">
        <x:f>MAX(0,MIN(AO$8+1,'Fleet'!$O121)-MAX(AO$7,'Fleet'!$G121))</x:f>
        <x:v>0</x:v>
      </x:c>
      <x:c r="AP124" s="34" t="n">
        <x:f>MAX(0,MIN(AP$8+1,'Fleet'!$O121)-MAX(AP$7,'Fleet'!$G121))</x:f>
        <x:v>0</x:v>
      </x:c>
      <x:c r="AQ124" s="34" t="n">
        <x:f>MAX(0,MIN(AQ$8+1,'Fleet'!$O121)-MAX(AQ$7,'Fleet'!$G121))</x:f>
        <x:v>0</x:v>
      </x:c>
    </x:row>
    <x:row r="125" ht="21" customHeight="1">
      <x:c r="A125" s="2"/>
      <x:c r="B125" s="2"/>
      <x:c r="C125" s="5" t="str">
        <x:f>'Fleet'!C122</x:f>
        <x:v>Star Fighter</x:v>
      </x:c>
      <x:c r="D125" s="5" t="str">
        <x:f>'Fleet'!D122</x:f>
        <x:v>Ultramax</x:v>
      </x:c>
      <x:c r="E125" s="34" t="n">
        <x:f>MAX(0,MIN(E$8+1,'Fleet'!$O122)-MAX(E$7,'Fleet'!$G122))</x:f>
        <x:v>83</x:v>
      </x:c>
      <x:c r="F125" s="34" t="n">
        <x:f>MAX(0,MIN(F$8+1,'Fleet'!$O122)-MAX(F$7,'Fleet'!$G122))</x:f>
        <x:v>90</x:v>
      </x:c>
      <x:c r="G125" s="34" t="n">
        <x:f>MAX(0,MIN(G$8+1,'Fleet'!$O122)-MAX(G$7,'Fleet'!$G122))</x:f>
        <x:v>91</x:v>
      </x:c>
      <x:c r="H125" s="34" t="n">
        <x:f>MAX(0,MIN(H$8+1,'Fleet'!$O122)-MAX(H$7,'Fleet'!$G122))</x:f>
        <x:v>92</x:v>
      </x:c>
      <x:c r="I125" s="34" t="n">
        <x:f>MAX(0,MIN(I$8+1,'Fleet'!$O122)-MAX(I$7,'Fleet'!$G122))</x:f>
        <x:v>92</x:v>
      </x:c>
      <x:c r="J125" s="34" t="n">
        <x:f>MAX(0,MIN(J$8+1,'Fleet'!$O122)-MAX(J$7,'Fleet'!$G122))</x:f>
        <x:v>91</x:v>
      </x:c>
      <x:c r="K125" s="34" t="n">
        <x:f>MAX(0,MIN(K$8+1,'Fleet'!$O122)-MAX(K$7,'Fleet'!$G122))</x:f>
        <x:v>91</x:v>
      </x:c>
      <x:c r="L125" s="34" t="n">
        <x:f>MAX(0,MIN(L$8+1,'Fleet'!$O122)-MAX(L$7,'Fleet'!$G122))</x:f>
        <x:v>92</x:v>
      </x:c>
      <x:c r="M125" s="34" t="n">
        <x:f>MAX(0,MIN(M$8+1,'Fleet'!$O122)-MAX(M$7,'Fleet'!$G122))</x:f>
        <x:v>92</x:v>
      </x:c>
      <x:c r="N125" s="34" t="n">
        <x:f>MAX(0,MIN(N$8+1,'Fleet'!$O122)-MAX(N$7,'Fleet'!$G122))</x:f>
        <x:v>90</x:v>
      </x:c>
      <x:c r="O125" s="34" t="n">
        <x:f>MAX(0,MIN(O$8+1,'Fleet'!$O122)-MAX(O$7,'Fleet'!$G122))</x:f>
        <x:v>91</x:v>
      </x:c>
      <x:c r="P125" s="34" t="n">
        <x:f>MAX(0,MIN(P$8+1,'Fleet'!$O122)-MAX(P$7,'Fleet'!$G122))</x:f>
        <x:v>92</x:v>
      </x:c>
      <x:c r="Q125" s="34" t="n">
        <x:f>MAX(0,MIN(Q$8+1,'Fleet'!$O122)-MAX(Q$7,'Fleet'!$G122))</x:f>
        <x:v>365</x:v>
      </x:c>
      <x:c r="R125" s="34" t="n">
        <x:f>MAX(0,MIN(R$8+1,'Fleet'!$O122)-MAX(R$7,'Fleet'!$G122))</x:f>
        <x:v>365</x:v>
      </x:c>
      <x:c r="S125" s="34" t="n">
        <x:f>MAX(0,MIN(S$8+1,'Fleet'!$O122)-MAX(S$7,'Fleet'!$G122))</x:f>
        <x:v>366</x:v>
      </x:c>
      <x:c r="T125" s="34" t="n">
        <x:f>MAX(0,MIN(T$8+1,'Fleet'!$O122)-MAX(T$7,'Fleet'!$G122))</x:f>
        <x:v>365</x:v>
      </x:c>
      <x:c r="U125" s="34" t="n">
        <x:f>MAX(0,MIN(U$8+1,'Fleet'!$O122)-MAX(U$7,'Fleet'!$G122))</x:f>
        <x:v>365</x:v>
      </x:c>
      <x:c r="V125" s="34" t="n">
        <x:f>MAX(0,MIN(V$8+1,'Fleet'!$O122)-MAX(V$7,'Fleet'!$G122))</x:f>
        <x:v>365</x:v>
      </x:c>
      <x:c r="W125" s="34" t="n">
        <x:f>MAX(0,MIN(W$8+1,'Fleet'!$O122)-MAX(W$7,'Fleet'!$G122))</x:f>
        <x:v>366</x:v>
      </x:c>
      <x:c r="X125" s="34" t="n">
        <x:f>MAX(0,MIN(X$8+1,'Fleet'!$O122)-MAX(X$7,'Fleet'!$G122))</x:f>
        <x:v>365</x:v>
      </x:c>
      <x:c r="Y125" s="34" t="n">
        <x:f>MAX(0,MIN(Y$8+1,'Fleet'!$O122)-MAX(Y$7,'Fleet'!$G122))</x:f>
        <x:v>273</x:v>
      </x:c>
      <x:c r="Z125" s="34" t="n">
        <x:f>MAX(0,MIN(Z$8+1,'Fleet'!$O122)-MAX(Z$7,'Fleet'!$G122))</x:f>
        <x:v>0</x:v>
      </x:c>
      <x:c r="AA125" s="34" t="n">
        <x:f>MAX(0,MIN(AA$8+1,'Fleet'!$O122)-MAX(AA$7,'Fleet'!$G122))</x:f>
        <x:v>0</x:v>
      </x:c>
      <x:c r="AB125" s="34" t="n">
        <x:f>MAX(0,MIN(AB$8+1,'Fleet'!$O122)-MAX(AB$7,'Fleet'!$G122))</x:f>
        <x:v>0</x:v>
      </x:c>
      <x:c r="AC125" s="34" t="n">
        <x:f>MAX(0,MIN(AC$8+1,'Fleet'!$O122)-MAX(AC$7,'Fleet'!$G122))</x:f>
        <x:v>0</x:v>
      </x:c>
      <x:c r="AD125" s="34" t="n">
        <x:f>MAX(0,MIN(AD$8+1,'Fleet'!$O122)-MAX(AD$7,'Fleet'!$G122))</x:f>
        <x:v>0</x:v>
      </x:c>
      <x:c r="AE125" s="34" t="n">
        <x:f>MAX(0,MIN(AE$8+1,'Fleet'!$O122)-MAX(AE$7,'Fleet'!$G122))</x:f>
        <x:v>0</x:v>
      </x:c>
      <x:c r="AF125" s="34" t="n">
        <x:f>MAX(0,MIN(AF$8+1,'Fleet'!$O122)-MAX(AF$7,'Fleet'!$G122))</x:f>
        <x:v>0</x:v>
      </x:c>
      <x:c r="AG125" s="34" t="n">
        <x:f>MAX(0,MIN(AG$8+1,'Fleet'!$O122)-MAX(AG$7,'Fleet'!$G122))</x:f>
        <x:v>0</x:v>
      </x:c>
      <x:c r="AH125" s="34" t="n">
        <x:f>MAX(0,MIN(AH$8+1,'Fleet'!$O122)-MAX(AH$7,'Fleet'!$G122))</x:f>
        <x:v>0</x:v>
      </x:c>
      <x:c r="AI125" s="34" t="n">
        <x:f>MAX(0,MIN(AI$8+1,'Fleet'!$O122)-MAX(AI$7,'Fleet'!$G122))</x:f>
        <x:v>0</x:v>
      </x:c>
      <x:c r="AJ125" s="34" t="n">
        <x:f>MAX(0,MIN(AJ$8+1,'Fleet'!$O122)-MAX(AJ$7,'Fleet'!$G122))</x:f>
        <x:v>0</x:v>
      </x:c>
      <x:c r="AK125" s="34" t="n">
        <x:f>MAX(0,MIN(AK$8+1,'Fleet'!$O122)-MAX(AK$7,'Fleet'!$G122))</x:f>
        <x:v>0</x:v>
      </x:c>
      <x:c r="AL125" s="34" t="n">
        <x:f>MAX(0,MIN(AL$8+1,'Fleet'!$O122)-MAX(AL$7,'Fleet'!$G122))</x:f>
        <x:v>0</x:v>
      </x:c>
      <x:c r="AM125" s="34" t="n">
        <x:f>MAX(0,MIN(AM$8+1,'Fleet'!$O122)-MAX(AM$7,'Fleet'!$G122))</x:f>
        <x:v>0</x:v>
      </x:c>
      <x:c r="AN125" s="34" t="n">
        <x:f>MAX(0,MIN(AN$8+1,'Fleet'!$O122)-MAX(AN$7,'Fleet'!$G122))</x:f>
        <x:v>0</x:v>
      </x:c>
      <x:c r="AO125" s="34" t="n">
        <x:f>MAX(0,MIN(AO$8+1,'Fleet'!$O122)-MAX(AO$7,'Fleet'!$G122))</x:f>
        <x:v>0</x:v>
      </x:c>
      <x:c r="AP125" s="34" t="n">
        <x:f>MAX(0,MIN(AP$8+1,'Fleet'!$O122)-MAX(AP$7,'Fleet'!$G122))</x:f>
        <x:v>0</x:v>
      </x:c>
      <x:c r="AQ125" s="34" t="n">
        <x:f>MAX(0,MIN(AQ$8+1,'Fleet'!$O122)-MAX(AQ$7,'Fleet'!$G122))</x:f>
        <x:v>0</x:v>
      </x:c>
    </x:row>
    <x:row r="126" ht="21" customHeight="1">
      <x:c r="A126" s="2"/>
      <x:c r="B126" s="2"/>
      <x:c r="C126" s="5" t="str">
        <x:f>'Fleet'!C123</x:f>
        <x:v>Star Lutas</x:v>
      </x:c>
      <x:c r="D126" s="5" t="str">
        <x:f>'Fleet'!D123</x:f>
        <x:v>Ultramax</x:v>
      </x:c>
      <x:c r="E126" s="34" t="n">
        <x:f>MAX(0,MIN(E$8+1,'Fleet'!$O123)-MAX(E$7,'Fleet'!$G123))</x:f>
        <x:v>83</x:v>
      </x:c>
      <x:c r="F126" s="34" t="n">
        <x:f>MAX(0,MIN(F$8+1,'Fleet'!$O123)-MAX(F$7,'Fleet'!$G123))</x:f>
        <x:v>90</x:v>
      </x:c>
      <x:c r="G126" s="34" t="n">
        <x:f>MAX(0,MIN(G$8+1,'Fleet'!$O123)-MAX(G$7,'Fleet'!$G123))</x:f>
        <x:v>91</x:v>
      </x:c>
      <x:c r="H126" s="34" t="n">
        <x:f>MAX(0,MIN(H$8+1,'Fleet'!$O123)-MAX(H$7,'Fleet'!$G123))</x:f>
        <x:v>92</x:v>
      </x:c>
      <x:c r="I126" s="34" t="n">
        <x:f>MAX(0,MIN(I$8+1,'Fleet'!$O123)-MAX(I$7,'Fleet'!$G123))</x:f>
        <x:v>92</x:v>
      </x:c>
      <x:c r="J126" s="34" t="n">
        <x:f>MAX(0,MIN(J$8+1,'Fleet'!$O123)-MAX(J$7,'Fleet'!$G123))</x:f>
        <x:v>91</x:v>
      </x:c>
      <x:c r="K126" s="34" t="n">
        <x:f>MAX(0,MIN(K$8+1,'Fleet'!$O123)-MAX(K$7,'Fleet'!$G123))</x:f>
        <x:v>91</x:v>
      </x:c>
      <x:c r="L126" s="34" t="n">
        <x:f>MAX(0,MIN(L$8+1,'Fleet'!$O123)-MAX(L$7,'Fleet'!$G123))</x:f>
        <x:v>92</x:v>
      </x:c>
      <x:c r="M126" s="34" t="n">
        <x:f>MAX(0,MIN(M$8+1,'Fleet'!$O123)-MAX(M$7,'Fleet'!$G123))</x:f>
        <x:v>92</x:v>
      </x:c>
      <x:c r="N126" s="34" t="n">
        <x:f>MAX(0,MIN(N$8+1,'Fleet'!$O123)-MAX(N$7,'Fleet'!$G123))</x:f>
        <x:v>90</x:v>
      </x:c>
      <x:c r="O126" s="34" t="n">
        <x:f>MAX(0,MIN(O$8+1,'Fleet'!$O123)-MAX(O$7,'Fleet'!$G123))</x:f>
        <x:v>91</x:v>
      </x:c>
      <x:c r="P126" s="34" t="n">
        <x:f>MAX(0,MIN(P$8+1,'Fleet'!$O123)-MAX(P$7,'Fleet'!$G123))</x:f>
        <x:v>92</x:v>
      </x:c>
      <x:c r="Q126" s="34" t="n">
        <x:f>MAX(0,MIN(Q$8+1,'Fleet'!$O123)-MAX(Q$7,'Fleet'!$G123))</x:f>
        <x:v>365</x:v>
      </x:c>
      <x:c r="R126" s="34" t="n">
        <x:f>MAX(0,MIN(R$8+1,'Fleet'!$O123)-MAX(R$7,'Fleet'!$G123))</x:f>
        <x:v>365</x:v>
      </x:c>
      <x:c r="S126" s="34" t="n">
        <x:f>MAX(0,MIN(S$8+1,'Fleet'!$O123)-MAX(S$7,'Fleet'!$G123))</x:f>
        <x:v>366</x:v>
      </x:c>
      <x:c r="T126" s="34" t="n">
        <x:f>MAX(0,MIN(T$8+1,'Fleet'!$O123)-MAX(T$7,'Fleet'!$G123))</x:f>
        <x:v>365</x:v>
      </x:c>
      <x:c r="U126" s="34" t="n">
        <x:f>MAX(0,MIN(U$8+1,'Fleet'!$O123)-MAX(U$7,'Fleet'!$G123))</x:f>
        <x:v>365</x:v>
      </x:c>
      <x:c r="V126" s="34" t="n">
        <x:f>MAX(0,MIN(V$8+1,'Fleet'!$O123)-MAX(V$7,'Fleet'!$G123))</x:f>
        <x:v>365</x:v>
      </x:c>
      <x:c r="W126" s="34" t="n">
        <x:f>MAX(0,MIN(W$8+1,'Fleet'!$O123)-MAX(W$7,'Fleet'!$G123))</x:f>
        <x:v>366</x:v>
      </x:c>
      <x:c r="X126" s="34" t="n">
        <x:f>MAX(0,MIN(X$8+1,'Fleet'!$O123)-MAX(X$7,'Fleet'!$G123))</x:f>
        <x:v>365</x:v>
      </x:c>
      <x:c r="Y126" s="34" t="n">
        <x:f>MAX(0,MIN(Y$8+1,'Fleet'!$O123)-MAX(Y$7,'Fleet'!$G123))</x:f>
        <x:v>365</x:v>
      </x:c>
      <x:c r="Z126" s="34" t="n">
        <x:f>MAX(0,MIN(Z$8+1,'Fleet'!$O123)-MAX(Z$7,'Fleet'!$G123))</x:f>
        <x:v>365</x:v>
      </x:c>
      <x:c r="AA126" s="34" t="n">
        <x:f>MAX(0,MIN(AA$8+1,'Fleet'!$O123)-MAX(AA$7,'Fleet'!$G123))</x:f>
        <x:v>366</x:v>
      </x:c>
      <x:c r="AB126" s="34" t="n">
        <x:f>MAX(0,MIN(AB$8+1,'Fleet'!$O123)-MAX(AB$7,'Fleet'!$G123))</x:f>
        <x:v>273</x:v>
      </x:c>
      <x:c r="AC126" s="34" t="n">
        <x:f>MAX(0,MIN(AC$8+1,'Fleet'!$O123)-MAX(AC$7,'Fleet'!$G123))</x:f>
        <x:v>0</x:v>
      </x:c>
      <x:c r="AD126" s="34" t="n">
        <x:f>MAX(0,MIN(AD$8+1,'Fleet'!$O123)-MAX(AD$7,'Fleet'!$G123))</x:f>
        <x:v>0</x:v>
      </x:c>
      <x:c r="AE126" s="34" t="n">
        <x:f>MAX(0,MIN(AE$8+1,'Fleet'!$O123)-MAX(AE$7,'Fleet'!$G123))</x:f>
        <x:v>0</x:v>
      </x:c>
      <x:c r="AF126" s="34" t="n">
        <x:f>MAX(0,MIN(AF$8+1,'Fleet'!$O123)-MAX(AF$7,'Fleet'!$G123))</x:f>
        <x:v>0</x:v>
      </x:c>
      <x:c r="AG126" s="34" t="n">
        <x:f>MAX(0,MIN(AG$8+1,'Fleet'!$O123)-MAX(AG$7,'Fleet'!$G123))</x:f>
        <x:v>0</x:v>
      </x:c>
      <x:c r="AH126" s="34" t="n">
        <x:f>MAX(0,MIN(AH$8+1,'Fleet'!$O123)-MAX(AH$7,'Fleet'!$G123))</x:f>
        <x:v>0</x:v>
      </x:c>
      <x:c r="AI126" s="34" t="n">
        <x:f>MAX(0,MIN(AI$8+1,'Fleet'!$O123)-MAX(AI$7,'Fleet'!$G123))</x:f>
        <x:v>0</x:v>
      </x:c>
      <x:c r="AJ126" s="34" t="n">
        <x:f>MAX(0,MIN(AJ$8+1,'Fleet'!$O123)-MAX(AJ$7,'Fleet'!$G123))</x:f>
        <x:v>0</x:v>
      </x:c>
      <x:c r="AK126" s="34" t="n">
        <x:f>MAX(0,MIN(AK$8+1,'Fleet'!$O123)-MAX(AK$7,'Fleet'!$G123))</x:f>
        <x:v>0</x:v>
      </x:c>
      <x:c r="AL126" s="34" t="n">
        <x:f>MAX(0,MIN(AL$8+1,'Fleet'!$O123)-MAX(AL$7,'Fleet'!$G123))</x:f>
        <x:v>0</x:v>
      </x:c>
      <x:c r="AM126" s="34" t="n">
        <x:f>MAX(0,MIN(AM$8+1,'Fleet'!$O123)-MAX(AM$7,'Fleet'!$G123))</x:f>
        <x:v>0</x:v>
      </x:c>
      <x:c r="AN126" s="34" t="n">
        <x:f>MAX(0,MIN(AN$8+1,'Fleet'!$O123)-MAX(AN$7,'Fleet'!$G123))</x:f>
        <x:v>0</x:v>
      </x:c>
      <x:c r="AO126" s="34" t="n">
        <x:f>MAX(0,MIN(AO$8+1,'Fleet'!$O123)-MAX(AO$7,'Fleet'!$G123))</x:f>
        <x:v>0</x:v>
      </x:c>
      <x:c r="AP126" s="34" t="n">
        <x:f>MAX(0,MIN(AP$8+1,'Fleet'!$O123)-MAX(AP$7,'Fleet'!$G123))</x:f>
        <x:v>0</x:v>
      </x:c>
      <x:c r="AQ126" s="34" t="n">
        <x:f>MAX(0,MIN(AQ$8+1,'Fleet'!$O123)-MAX(AQ$7,'Fleet'!$G123))</x:f>
        <x:v>0</x:v>
      </x:c>
    </x:row>
    <x:row r="127" ht="21" customHeight="1">
      <x:c r="A127" s="2"/>
      <x:c r="B127" s="2"/>
      <x:c r="C127" s="5" t="str">
        <x:f>'Fleet'!C124</x:f>
        <x:v>Honey Badger</x:v>
      </x:c>
      <x:c r="D127" s="5" t="str">
        <x:f>'Fleet'!D124</x:f>
        <x:v>Ultramax</x:v>
      </x:c>
      <x:c r="E127" s="34" t="n">
        <x:f>MAX(0,MIN(E$8+1,'Fleet'!$O124)-MAX(E$7,'Fleet'!$G124))</x:f>
        <x:v>83</x:v>
      </x:c>
      <x:c r="F127" s="34" t="n">
        <x:f>MAX(0,MIN(F$8+1,'Fleet'!$O124)-MAX(F$7,'Fleet'!$G124))</x:f>
        <x:v>90</x:v>
      </x:c>
      <x:c r="G127" s="34" t="n">
        <x:f>MAX(0,MIN(G$8+1,'Fleet'!$O124)-MAX(G$7,'Fleet'!$G124))</x:f>
        <x:v>91</x:v>
      </x:c>
      <x:c r="H127" s="34" t="n">
        <x:f>MAX(0,MIN(H$8+1,'Fleet'!$O124)-MAX(H$7,'Fleet'!$G124))</x:f>
        <x:v>92</x:v>
      </x:c>
      <x:c r="I127" s="34" t="n">
        <x:f>MAX(0,MIN(I$8+1,'Fleet'!$O124)-MAX(I$7,'Fleet'!$G124))</x:f>
        <x:v>92</x:v>
      </x:c>
      <x:c r="J127" s="34" t="n">
        <x:f>MAX(0,MIN(J$8+1,'Fleet'!$O124)-MAX(J$7,'Fleet'!$G124))</x:f>
        <x:v>91</x:v>
      </x:c>
      <x:c r="K127" s="34" t="n">
        <x:f>MAX(0,MIN(K$8+1,'Fleet'!$O124)-MAX(K$7,'Fleet'!$G124))</x:f>
        <x:v>91</x:v>
      </x:c>
      <x:c r="L127" s="34" t="n">
        <x:f>MAX(0,MIN(L$8+1,'Fleet'!$O124)-MAX(L$7,'Fleet'!$G124))</x:f>
        <x:v>92</x:v>
      </x:c>
      <x:c r="M127" s="34" t="n">
        <x:f>MAX(0,MIN(M$8+1,'Fleet'!$O124)-MAX(M$7,'Fleet'!$G124))</x:f>
        <x:v>92</x:v>
      </x:c>
      <x:c r="N127" s="34" t="n">
        <x:f>MAX(0,MIN(N$8+1,'Fleet'!$O124)-MAX(N$7,'Fleet'!$G124))</x:f>
        <x:v>90</x:v>
      </x:c>
      <x:c r="O127" s="34" t="n">
        <x:f>MAX(0,MIN(O$8+1,'Fleet'!$O124)-MAX(O$7,'Fleet'!$G124))</x:f>
        <x:v>91</x:v>
      </x:c>
      <x:c r="P127" s="34" t="n">
        <x:f>MAX(0,MIN(P$8+1,'Fleet'!$O124)-MAX(P$7,'Fleet'!$G124))</x:f>
        <x:v>92</x:v>
      </x:c>
      <x:c r="Q127" s="34" t="n">
        <x:f>MAX(0,MIN(Q$8+1,'Fleet'!$O124)-MAX(Q$7,'Fleet'!$G124))</x:f>
        <x:v>365</x:v>
      </x:c>
      <x:c r="R127" s="34" t="n">
        <x:f>MAX(0,MIN(R$8+1,'Fleet'!$O124)-MAX(R$7,'Fleet'!$G124))</x:f>
        <x:v>365</x:v>
      </x:c>
      <x:c r="S127" s="34" t="n">
        <x:f>MAX(0,MIN(S$8+1,'Fleet'!$O124)-MAX(S$7,'Fleet'!$G124))</x:f>
        <x:v>366</x:v>
      </x:c>
      <x:c r="T127" s="34" t="n">
        <x:f>MAX(0,MIN(T$8+1,'Fleet'!$O124)-MAX(T$7,'Fleet'!$G124))</x:f>
        <x:v>365</x:v>
      </x:c>
      <x:c r="U127" s="34" t="n">
        <x:f>MAX(0,MIN(U$8+1,'Fleet'!$O124)-MAX(U$7,'Fleet'!$G124))</x:f>
        <x:v>365</x:v>
      </x:c>
      <x:c r="V127" s="34" t="n">
        <x:f>MAX(0,MIN(V$8+1,'Fleet'!$O124)-MAX(V$7,'Fleet'!$G124))</x:f>
        <x:v>365</x:v>
      </x:c>
      <x:c r="W127" s="34" t="n">
        <x:f>MAX(0,MIN(W$8+1,'Fleet'!$O124)-MAX(W$7,'Fleet'!$G124))</x:f>
        <x:v>366</x:v>
      </x:c>
      <x:c r="X127" s="34" t="n">
        <x:f>MAX(0,MIN(X$8+1,'Fleet'!$O124)-MAX(X$7,'Fleet'!$G124))</x:f>
        <x:v>365</x:v>
      </x:c>
      <x:c r="Y127" s="34" t="n">
        <x:f>MAX(0,MIN(Y$8+1,'Fleet'!$O124)-MAX(Y$7,'Fleet'!$G124))</x:f>
        <x:v>365</x:v>
      </x:c>
      <x:c r="Z127" s="34" t="n">
        <x:f>MAX(0,MIN(Z$8+1,'Fleet'!$O124)-MAX(Z$7,'Fleet'!$G124))</x:f>
        <x:v>365</x:v>
      </x:c>
      <x:c r="AA127" s="34" t="n">
        <x:f>MAX(0,MIN(AA$8+1,'Fleet'!$O124)-MAX(AA$7,'Fleet'!$G124))</x:f>
        <x:v>274</x:v>
      </x:c>
      <x:c r="AB127" s="34" t="n">
        <x:f>MAX(0,MIN(AB$8+1,'Fleet'!$O124)-MAX(AB$7,'Fleet'!$G124))</x:f>
        <x:v>0</x:v>
      </x:c>
      <x:c r="AC127" s="34" t="n">
        <x:f>MAX(0,MIN(AC$8+1,'Fleet'!$O124)-MAX(AC$7,'Fleet'!$G124))</x:f>
        <x:v>0</x:v>
      </x:c>
      <x:c r="AD127" s="34" t="n">
        <x:f>MAX(0,MIN(AD$8+1,'Fleet'!$O124)-MAX(AD$7,'Fleet'!$G124))</x:f>
        <x:v>0</x:v>
      </x:c>
      <x:c r="AE127" s="34" t="n">
        <x:f>MAX(0,MIN(AE$8+1,'Fleet'!$O124)-MAX(AE$7,'Fleet'!$G124))</x:f>
        <x:v>0</x:v>
      </x:c>
      <x:c r="AF127" s="34" t="n">
        <x:f>MAX(0,MIN(AF$8+1,'Fleet'!$O124)-MAX(AF$7,'Fleet'!$G124))</x:f>
        <x:v>0</x:v>
      </x:c>
      <x:c r="AG127" s="34" t="n">
        <x:f>MAX(0,MIN(AG$8+1,'Fleet'!$O124)-MAX(AG$7,'Fleet'!$G124))</x:f>
        <x:v>0</x:v>
      </x:c>
      <x:c r="AH127" s="34" t="n">
        <x:f>MAX(0,MIN(AH$8+1,'Fleet'!$O124)-MAX(AH$7,'Fleet'!$G124))</x:f>
        <x:v>0</x:v>
      </x:c>
      <x:c r="AI127" s="34" t="n">
        <x:f>MAX(0,MIN(AI$8+1,'Fleet'!$O124)-MAX(AI$7,'Fleet'!$G124))</x:f>
        <x:v>0</x:v>
      </x:c>
      <x:c r="AJ127" s="34" t="n">
        <x:f>MAX(0,MIN(AJ$8+1,'Fleet'!$O124)-MAX(AJ$7,'Fleet'!$G124))</x:f>
        <x:v>0</x:v>
      </x:c>
      <x:c r="AK127" s="34" t="n">
        <x:f>MAX(0,MIN(AK$8+1,'Fleet'!$O124)-MAX(AK$7,'Fleet'!$G124))</x:f>
        <x:v>0</x:v>
      </x:c>
      <x:c r="AL127" s="34" t="n">
        <x:f>MAX(0,MIN(AL$8+1,'Fleet'!$O124)-MAX(AL$7,'Fleet'!$G124))</x:f>
        <x:v>0</x:v>
      </x:c>
      <x:c r="AM127" s="34" t="n">
        <x:f>MAX(0,MIN(AM$8+1,'Fleet'!$O124)-MAX(AM$7,'Fleet'!$G124))</x:f>
        <x:v>0</x:v>
      </x:c>
      <x:c r="AN127" s="34" t="n">
        <x:f>MAX(0,MIN(AN$8+1,'Fleet'!$O124)-MAX(AN$7,'Fleet'!$G124))</x:f>
        <x:v>0</x:v>
      </x:c>
      <x:c r="AO127" s="34" t="n">
        <x:f>MAX(0,MIN(AO$8+1,'Fleet'!$O124)-MAX(AO$7,'Fleet'!$G124))</x:f>
        <x:v>0</x:v>
      </x:c>
      <x:c r="AP127" s="34" t="n">
        <x:f>MAX(0,MIN(AP$8+1,'Fleet'!$O124)-MAX(AP$7,'Fleet'!$G124))</x:f>
        <x:v>0</x:v>
      </x:c>
      <x:c r="AQ127" s="34" t="n">
        <x:f>MAX(0,MIN(AQ$8+1,'Fleet'!$O124)-MAX(AQ$7,'Fleet'!$G124))</x:f>
        <x:v>0</x:v>
      </x:c>
    </x:row>
    <x:row r="128" ht="21" customHeight="1">
      <x:c r="A128" s="2"/>
      <x:c r="B128" s="2"/>
      <x:c r="C128" s="5" t="str">
        <x:f>'Fleet'!C125</x:f>
        <x:v>Wolverine</x:v>
      </x:c>
      <x:c r="D128" s="5" t="str">
        <x:f>'Fleet'!D125</x:f>
        <x:v>Ultramax</x:v>
      </x:c>
      <x:c r="E128" s="34" t="n">
        <x:f>MAX(0,MIN(E$8+1,'Fleet'!$O125)-MAX(E$7,'Fleet'!$G125))</x:f>
        <x:v>83</x:v>
      </x:c>
      <x:c r="F128" s="34" t="n">
        <x:f>MAX(0,MIN(F$8+1,'Fleet'!$O125)-MAX(F$7,'Fleet'!$G125))</x:f>
        <x:v>90</x:v>
      </x:c>
      <x:c r="G128" s="34" t="n">
        <x:f>MAX(0,MIN(G$8+1,'Fleet'!$O125)-MAX(G$7,'Fleet'!$G125))</x:f>
        <x:v>91</x:v>
      </x:c>
      <x:c r="H128" s="34" t="n">
        <x:f>MAX(0,MIN(H$8+1,'Fleet'!$O125)-MAX(H$7,'Fleet'!$G125))</x:f>
        <x:v>92</x:v>
      </x:c>
      <x:c r="I128" s="34" t="n">
        <x:f>MAX(0,MIN(I$8+1,'Fleet'!$O125)-MAX(I$7,'Fleet'!$G125))</x:f>
        <x:v>92</x:v>
      </x:c>
      <x:c r="J128" s="34" t="n">
        <x:f>MAX(0,MIN(J$8+1,'Fleet'!$O125)-MAX(J$7,'Fleet'!$G125))</x:f>
        <x:v>91</x:v>
      </x:c>
      <x:c r="K128" s="34" t="n">
        <x:f>MAX(0,MIN(K$8+1,'Fleet'!$O125)-MAX(K$7,'Fleet'!$G125))</x:f>
        <x:v>91</x:v>
      </x:c>
      <x:c r="L128" s="34" t="n">
        <x:f>MAX(0,MIN(L$8+1,'Fleet'!$O125)-MAX(L$7,'Fleet'!$G125))</x:f>
        <x:v>92</x:v>
      </x:c>
      <x:c r="M128" s="34" t="n">
        <x:f>MAX(0,MIN(M$8+1,'Fleet'!$O125)-MAX(M$7,'Fleet'!$G125))</x:f>
        <x:v>92</x:v>
      </x:c>
      <x:c r="N128" s="34" t="n">
        <x:f>MAX(0,MIN(N$8+1,'Fleet'!$O125)-MAX(N$7,'Fleet'!$G125))</x:f>
        <x:v>90</x:v>
      </x:c>
      <x:c r="O128" s="34" t="n">
        <x:f>MAX(0,MIN(O$8+1,'Fleet'!$O125)-MAX(O$7,'Fleet'!$G125))</x:f>
        <x:v>91</x:v>
      </x:c>
      <x:c r="P128" s="34" t="n">
        <x:f>MAX(0,MIN(P$8+1,'Fleet'!$O125)-MAX(P$7,'Fleet'!$G125))</x:f>
        <x:v>92</x:v>
      </x:c>
      <x:c r="Q128" s="34" t="n">
        <x:f>MAX(0,MIN(Q$8+1,'Fleet'!$O125)-MAX(Q$7,'Fleet'!$G125))</x:f>
        <x:v>365</x:v>
      </x:c>
      <x:c r="R128" s="34" t="n">
        <x:f>MAX(0,MIN(R$8+1,'Fleet'!$O125)-MAX(R$7,'Fleet'!$G125))</x:f>
        <x:v>365</x:v>
      </x:c>
      <x:c r="S128" s="34" t="n">
        <x:f>MAX(0,MIN(S$8+1,'Fleet'!$O125)-MAX(S$7,'Fleet'!$G125))</x:f>
        <x:v>366</x:v>
      </x:c>
      <x:c r="T128" s="34" t="n">
        <x:f>MAX(0,MIN(T$8+1,'Fleet'!$O125)-MAX(T$7,'Fleet'!$G125))</x:f>
        <x:v>365</x:v>
      </x:c>
      <x:c r="U128" s="34" t="n">
        <x:f>MAX(0,MIN(U$8+1,'Fleet'!$O125)-MAX(U$7,'Fleet'!$G125))</x:f>
        <x:v>365</x:v>
      </x:c>
      <x:c r="V128" s="34" t="n">
        <x:f>MAX(0,MIN(V$8+1,'Fleet'!$O125)-MAX(V$7,'Fleet'!$G125))</x:f>
        <x:v>365</x:v>
      </x:c>
      <x:c r="W128" s="34" t="n">
        <x:f>MAX(0,MIN(W$8+1,'Fleet'!$O125)-MAX(W$7,'Fleet'!$G125))</x:f>
        <x:v>366</x:v>
      </x:c>
      <x:c r="X128" s="34" t="n">
        <x:f>MAX(0,MIN(X$8+1,'Fleet'!$O125)-MAX(X$7,'Fleet'!$G125))</x:f>
        <x:v>365</x:v>
      </x:c>
      <x:c r="Y128" s="34" t="n">
        <x:f>MAX(0,MIN(Y$8+1,'Fleet'!$O125)-MAX(Y$7,'Fleet'!$G125))</x:f>
        <x:v>365</x:v>
      </x:c>
      <x:c r="Z128" s="34" t="n">
        <x:f>MAX(0,MIN(Z$8+1,'Fleet'!$O125)-MAX(Z$7,'Fleet'!$G125))</x:f>
        <x:v>365</x:v>
      </x:c>
      <x:c r="AA128" s="34" t="n">
        <x:f>MAX(0,MIN(AA$8+1,'Fleet'!$O125)-MAX(AA$7,'Fleet'!$G125))</x:f>
        <x:v>274</x:v>
      </x:c>
      <x:c r="AB128" s="34" t="n">
        <x:f>MAX(0,MIN(AB$8+1,'Fleet'!$O125)-MAX(AB$7,'Fleet'!$G125))</x:f>
        <x:v>0</x:v>
      </x:c>
      <x:c r="AC128" s="34" t="n">
        <x:f>MAX(0,MIN(AC$8+1,'Fleet'!$O125)-MAX(AC$7,'Fleet'!$G125))</x:f>
        <x:v>0</x:v>
      </x:c>
      <x:c r="AD128" s="34" t="n">
        <x:f>MAX(0,MIN(AD$8+1,'Fleet'!$O125)-MAX(AD$7,'Fleet'!$G125))</x:f>
        <x:v>0</x:v>
      </x:c>
      <x:c r="AE128" s="34" t="n">
        <x:f>MAX(0,MIN(AE$8+1,'Fleet'!$O125)-MAX(AE$7,'Fleet'!$G125))</x:f>
        <x:v>0</x:v>
      </x:c>
      <x:c r="AF128" s="34" t="n">
        <x:f>MAX(0,MIN(AF$8+1,'Fleet'!$O125)-MAX(AF$7,'Fleet'!$G125))</x:f>
        <x:v>0</x:v>
      </x:c>
      <x:c r="AG128" s="34" t="n">
        <x:f>MAX(0,MIN(AG$8+1,'Fleet'!$O125)-MAX(AG$7,'Fleet'!$G125))</x:f>
        <x:v>0</x:v>
      </x:c>
      <x:c r="AH128" s="34" t="n">
        <x:f>MAX(0,MIN(AH$8+1,'Fleet'!$O125)-MAX(AH$7,'Fleet'!$G125))</x:f>
        <x:v>0</x:v>
      </x:c>
      <x:c r="AI128" s="34" t="n">
        <x:f>MAX(0,MIN(AI$8+1,'Fleet'!$O125)-MAX(AI$7,'Fleet'!$G125))</x:f>
        <x:v>0</x:v>
      </x:c>
      <x:c r="AJ128" s="34" t="n">
        <x:f>MAX(0,MIN(AJ$8+1,'Fleet'!$O125)-MAX(AJ$7,'Fleet'!$G125))</x:f>
        <x:v>0</x:v>
      </x:c>
      <x:c r="AK128" s="34" t="n">
        <x:f>MAX(0,MIN(AK$8+1,'Fleet'!$O125)-MAX(AK$7,'Fleet'!$G125))</x:f>
        <x:v>0</x:v>
      </x:c>
      <x:c r="AL128" s="34" t="n">
        <x:f>MAX(0,MIN(AL$8+1,'Fleet'!$O125)-MAX(AL$7,'Fleet'!$G125))</x:f>
        <x:v>0</x:v>
      </x:c>
      <x:c r="AM128" s="34" t="n">
        <x:f>MAX(0,MIN(AM$8+1,'Fleet'!$O125)-MAX(AM$7,'Fleet'!$G125))</x:f>
        <x:v>0</x:v>
      </x:c>
      <x:c r="AN128" s="34" t="n">
        <x:f>MAX(0,MIN(AN$8+1,'Fleet'!$O125)-MAX(AN$7,'Fleet'!$G125))</x:f>
        <x:v>0</x:v>
      </x:c>
      <x:c r="AO128" s="34" t="n">
        <x:f>MAX(0,MIN(AO$8+1,'Fleet'!$O125)-MAX(AO$7,'Fleet'!$G125))</x:f>
        <x:v>0</x:v>
      </x:c>
      <x:c r="AP128" s="34" t="n">
        <x:f>MAX(0,MIN(AP$8+1,'Fleet'!$O125)-MAX(AP$7,'Fleet'!$G125))</x:f>
        <x:v>0</x:v>
      </x:c>
      <x:c r="AQ128" s="34" t="n">
        <x:f>MAX(0,MIN(AQ$8+1,'Fleet'!$O125)-MAX(AQ$7,'Fleet'!$G125))</x:f>
        <x:v>0</x:v>
      </x:c>
    </x:row>
    <x:row r="129" ht="21" customHeight="1">
      <x:c r="A129" s="2"/>
      <x:c r="B129" s="2"/>
      <x:c r="C129" s="5" t="str">
        <x:f>'Fleet'!C126</x:f>
        <x:v>Star Antares</x:v>
      </x:c>
      <x:c r="D129" s="5" t="str">
        <x:f>'Fleet'!D126</x:f>
        <x:v>Ultramax</x:v>
      </x:c>
      <x:c r="E129" s="34" t="n">
        <x:f>MAX(0,MIN(E$8+1,'Fleet'!$O126)-MAX(E$7,'Fleet'!$G126))</x:f>
        <x:v>83</x:v>
      </x:c>
      <x:c r="F129" s="34" t="n">
        <x:f>MAX(0,MIN(F$8+1,'Fleet'!$O126)-MAX(F$7,'Fleet'!$G126))</x:f>
        <x:v>90</x:v>
      </x:c>
      <x:c r="G129" s="34" t="n">
        <x:f>MAX(0,MIN(G$8+1,'Fleet'!$O126)-MAX(G$7,'Fleet'!$G126))</x:f>
        <x:v>91</x:v>
      </x:c>
      <x:c r="H129" s="34" t="n">
        <x:f>MAX(0,MIN(H$8+1,'Fleet'!$O126)-MAX(H$7,'Fleet'!$G126))</x:f>
        <x:v>92</x:v>
      </x:c>
      <x:c r="I129" s="34" t="n">
        <x:f>MAX(0,MIN(I$8+1,'Fleet'!$O126)-MAX(I$7,'Fleet'!$G126))</x:f>
        <x:v>92</x:v>
      </x:c>
      <x:c r="J129" s="34" t="n">
        <x:f>MAX(0,MIN(J$8+1,'Fleet'!$O126)-MAX(J$7,'Fleet'!$G126))</x:f>
        <x:v>91</x:v>
      </x:c>
      <x:c r="K129" s="34" t="n">
        <x:f>MAX(0,MIN(K$8+1,'Fleet'!$O126)-MAX(K$7,'Fleet'!$G126))</x:f>
        <x:v>91</x:v>
      </x:c>
      <x:c r="L129" s="34" t="n">
        <x:f>MAX(0,MIN(L$8+1,'Fleet'!$O126)-MAX(L$7,'Fleet'!$G126))</x:f>
        <x:v>92</x:v>
      </x:c>
      <x:c r="M129" s="34" t="n">
        <x:f>MAX(0,MIN(M$8+1,'Fleet'!$O126)-MAX(M$7,'Fleet'!$G126))</x:f>
        <x:v>92</x:v>
      </x:c>
      <x:c r="N129" s="34" t="n">
        <x:f>MAX(0,MIN(N$8+1,'Fleet'!$O126)-MAX(N$7,'Fleet'!$G126))</x:f>
        <x:v>90</x:v>
      </x:c>
      <x:c r="O129" s="34" t="n">
        <x:f>MAX(0,MIN(O$8+1,'Fleet'!$O126)-MAX(O$7,'Fleet'!$G126))</x:f>
        <x:v>91</x:v>
      </x:c>
      <x:c r="P129" s="34" t="n">
        <x:f>MAX(0,MIN(P$8+1,'Fleet'!$O126)-MAX(P$7,'Fleet'!$G126))</x:f>
        <x:v>92</x:v>
      </x:c>
      <x:c r="Q129" s="34" t="n">
        <x:f>MAX(0,MIN(Q$8+1,'Fleet'!$O126)-MAX(Q$7,'Fleet'!$G126))</x:f>
        <x:v>365</x:v>
      </x:c>
      <x:c r="R129" s="34" t="n">
        <x:f>MAX(0,MIN(R$8+1,'Fleet'!$O126)-MAX(R$7,'Fleet'!$G126))</x:f>
        <x:v>365</x:v>
      </x:c>
      <x:c r="S129" s="34" t="n">
        <x:f>MAX(0,MIN(S$8+1,'Fleet'!$O126)-MAX(S$7,'Fleet'!$G126))</x:f>
        <x:v>366</x:v>
      </x:c>
      <x:c r="T129" s="34" t="n">
        <x:f>MAX(0,MIN(T$8+1,'Fleet'!$O126)-MAX(T$7,'Fleet'!$G126))</x:f>
        <x:v>365</x:v>
      </x:c>
      <x:c r="U129" s="34" t="n">
        <x:f>MAX(0,MIN(U$8+1,'Fleet'!$O126)-MAX(U$7,'Fleet'!$G126))</x:f>
        <x:v>365</x:v>
      </x:c>
      <x:c r="V129" s="34" t="n">
        <x:f>MAX(0,MIN(V$8+1,'Fleet'!$O126)-MAX(V$7,'Fleet'!$G126))</x:f>
        <x:v>365</x:v>
      </x:c>
      <x:c r="W129" s="34" t="n">
        <x:f>MAX(0,MIN(W$8+1,'Fleet'!$O126)-MAX(W$7,'Fleet'!$G126))</x:f>
        <x:v>366</x:v>
      </x:c>
      <x:c r="X129" s="34" t="n">
        <x:f>MAX(0,MIN(X$8+1,'Fleet'!$O126)-MAX(X$7,'Fleet'!$G126))</x:f>
        <x:v>365</x:v>
      </x:c>
      <x:c r="Y129" s="34" t="n">
        <x:f>MAX(0,MIN(Y$8+1,'Fleet'!$O126)-MAX(Y$7,'Fleet'!$G126))</x:f>
        <x:v>365</x:v>
      </x:c>
      <x:c r="Z129" s="34" t="n">
        <x:f>MAX(0,MIN(Z$8+1,'Fleet'!$O126)-MAX(Z$7,'Fleet'!$G126))</x:f>
        <x:v>365</x:v>
      </x:c>
      <x:c r="AA129" s="34" t="n">
        <x:f>MAX(0,MIN(AA$8+1,'Fleet'!$O126)-MAX(AA$7,'Fleet'!$G126))</x:f>
        <x:v>274</x:v>
      </x:c>
      <x:c r="AB129" s="34" t="n">
        <x:f>MAX(0,MIN(AB$8+1,'Fleet'!$O126)-MAX(AB$7,'Fleet'!$G126))</x:f>
        <x:v>0</x:v>
      </x:c>
      <x:c r="AC129" s="34" t="n">
        <x:f>MAX(0,MIN(AC$8+1,'Fleet'!$O126)-MAX(AC$7,'Fleet'!$G126))</x:f>
        <x:v>0</x:v>
      </x:c>
      <x:c r="AD129" s="34" t="n">
        <x:f>MAX(0,MIN(AD$8+1,'Fleet'!$O126)-MAX(AD$7,'Fleet'!$G126))</x:f>
        <x:v>0</x:v>
      </x:c>
      <x:c r="AE129" s="34" t="n">
        <x:f>MAX(0,MIN(AE$8+1,'Fleet'!$O126)-MAX(AE$7,'Fleet'!$G126))</x:f>
        <x:v>0</x:v>
      </x:c>
      <x:c r="AF129" s="34" t="n">
        <x:f>MAX(0,MIN(AF$8+1,'Fleet'!$O126)-MAX(AF$7,'Fleet'!$G126))</x:f>
        <x:v>0</x:v>
      </x:c>
      <x:c r="AG129" s="34" t="n">
        <x:f>MAX(0,MIN(AG$8+1,'Fleet'!$O126)-MAX(AG$7,'Fleet'!$G126))</x:f>
        <x:v>0</x:v>
      </x:c>
      <x:c r="AH129" s="34" t="n">
        <x:f>MAX(0,MIN(AH$8+1,'Fleet'!$O126)-MAX(AH$7,'Fleet'!$G126))</x:f>
        <x:v>0</x:v>
      </x:c>
      <x:c r="AI129" s="34" t="n">
        <x:f>MAX(0,MIN(AI$8+1,'Fleet'!$O126)-MAX(AI$7,'Fleet'!$G126))</x:f>
        <x:v>0</x:v>
      </x:c>
      <x:c r="AJ129" s="34" t="n">
        <x:f>MAX(0,MIN(AJ$8+1,'Fleet'!$O126)-MAX(AJ$7,'Fleet'!$G126))</x:f>
        <x:v>0</x:v>
      </x:c>
      <x:c r="AK129" s="34" t="n">
        <x:f>MAX(0,MIN(AK$8+1,'Fleet'!$O126)-MAX(AK$7,'Fleet'!$G126))</x:f>
        <x:v>0</x:v>
      </x:c>
      <x:c r="AL129" s="34" t="n">
        <x:f>MAX(0,MIN(AL$8+1,'Fleet'!$O126)-MAX(AL$7,'Fleet'!$G126))</x:f>
        <x:v>0</x:v>
      </x:c>
      <x:c r="AM129" s="34" t="n">
        <x:f>MAX(0,MIN(AM$8+1,'Fleet'!$O126)-MAX(AM$7,'Fleet'!$G126))</x:f>
        <x:v>0</x:v>
      </x:c>
      <x:c r="AN129" s="34" t="n">
        <x:f>MAX(0,MIN(AN$8+1,'Fleet'!$O126)-MAX(AN$7,'Fleet'!$G126))</x:f>
        <x:v>0</x:v>
      </x:c>
      <x:c r="AO129" s="34" t="n">
        <x:f>MAX(0,MIN(AO$8+1,'Fleet'!$O126)-MAX(AO$7,'Fleet'!$G126))</x:f>
        <x:v>0</x:v>
      </x:c>
      <x:c r="AP129" s="34" t="n">
        <x:f>MAX(0,MIN(AP$8+1,'Fleet'!$O126)-MAX(AP$7,'Fleet'!$G126))</x:f>
        <x:v>0</x:v>
      </x:c>
      <x:c r="AQ129" s="34" t="n">
        <x:f>MAX(0,MIN(AQ$8+1,'Fleet'!$O126)-MAX(AQ$7,'Fleet'!$G126))</x:f>
        <x:v>0</x:v>
      </x:c>
    </x:row>
    <x:row r="130" ht="21" customHeight="1">
      <x:c r="A130" s="2"/>
      <x:c r="B130" s="2"/>
      <x:c r="C130" s="5" t="str">
        <x:f>'Fleet'!C127</x:f>
        <x:v>Star Tokyo</x:v>
      </x:c>
      <x:c r="D130" s="5" t="str">
        <x:f>'Fleet'!D127</x:f>
        <x:v>Ultramax</x:v>
      </x:c>
      <x:c r="E130" s="34" t="n">
        <x:f>MAX(0,MIN(E$8+1,'Fleet'!$O127)-MAX(E$7,'Fleet'!$G127))</x:f>
        <x:v>83</x:v>
      </x:c>
      <x:c r="F130" s="34" t="n">
        <x:f>MAX(0,MIN(F$8+1,'Fleet'!$O127)-MAX(F$7,'Fleet'!$G127))</x:f>
        <x:v>90</x:v>
      </x:c>
      <x:c r="G130" s="34" t="n">
        <x:f>MAX(0,MIN(G$8+1,'Fleet'!$O127)-MAX(G$7,'Fleet'!$G127))</x:f>
        <x:v>91</x:v>
      </x:c>
      <x:c r="H130" s="34" t="n">
        <x:f>MAX(0,MIN(H$8+1,'Fleet'!$O127)-MAX(H$7,'Fleet'!$G127))</x:f>
        <x:v>92</x:v>
      </x:c>
      <x:c r="I130" s="34" t="n">
        <x:f>MAX(0,MIN(I$8+1,'Fleet'!$O127)-MAX(I$7,'Fleet'!$G127))</x:f>
        <x:v>92</x:v>
      </x:c>
      <x:c r="J130" s="34" t="n">
        <x:f>MAX(0,MIN(J$8+1,'Fleet'!$O127)-MAX(J$7,'Fleet'!$G127))</x:f>
        <x:v>91</x:v>
      </x:c>
      <x:c r="K130" s="34" t="n">
        <x:f>MAX(0,MIN(K$8+1,'Fleet'!$O127)-MAX(K$7,'Fleet'!$G127))</x:f>
        <x:v>91</x:v>
      </x:c>
      <x:c r="L130" s="34" t="n">
        <x:f>MAX(0,MIN(L$8+1,'Fleet'!$O127)-MAX(L$7,'Fleet'!$G127))</x:f>
        <x:v>92</x:v>
      </x:c>
      <x:c r="M130" s="34" t="n">
        <x:f>MAX(0,MIN(M$8+1,'Fleet'!$O127)-MAX(M$7,'Fleet'!$G127))</x:f>
        <x:v>92</x:v>
      </x:c>
      <x:c r="N130" s="34" t="n">
        <x:f>MAX(0,MIN(N$8+1,'Fleet'!$O127)-MAX(N$7,'Fleet'!$G127))</x:f>
        <x:v>90</x:v>
      </x:c>
      <x:c r="O130" s="34" t="n">
        <x:f>MAX(0,MIN(O$8+1,'Fleet'!$O127)-MAX(O$7,'Fleet'!$G127))</x:f>
        <x:v>91</x:v>
      </x:c>
      <x:c r="P130" s="34" t="n">
        <x:f>MAX(0,MIN(P$8+1,'Fleet'!$O127)-MAX(P$7,'Fleet'!$G127))</x:f>
        <x:v>92</x:v>
      </x:c>
      <x:c r="Q130" s="34" t="n">
        <x:f>MAX(0,MIN(Q$8+1,'Fleet'!$O127)-MAX(Q$7,'Fleet'!$G127))</x:f>
        <x:v>365</x:v>
      </x:c>
      <x:c r="R130" s="34" t="n">
        <x:f>MAX(0,MIN(R$8+1,'Fleet'!$O127)-MAX(R$7,'Fleet'!$G127))</x:f>
        <x:v>365</x:v>
      </x:c>
      <x:c r="S130" s="34" t="n">
        <x:f>MAX(0,MIN(S$8+1,'Fleet'!$O127)-MAX(S$7,'Fleet'!$G127))</x:f>
        <x:v>366</x:v>
      </x:c>
      <x:c r="T130" s="34" t="n">
        <x:f>MAX(0,MIN(T$8+1,'Fleet'!$O127)-MAX(T$7,'Fleet'!$G127))</x:f>
        <x:v>365</x:v>
      </x:c>
      <x:c r="U130" s="34" t="n">
        <x:f>MAX(0,MIN(U$8+1,'Fleet'!$O127)-MAX(U$7,'Fleet'!$G127))</x:f>
        <x:v>365</x:v>
      </x:c>
      <x:c r="V130" s="34" t="n">
        <x:f>MAX(0,MIN(V$8+1,'Fleet'!$O127)-MAX(V$7,'Fleet'!$G127))</x:f>
        <x:v>365</x:v>
      </x:c>
      <x:c r="W130" s="34" t="n">
        <x:f>MAX(0,MIN(W$8+1,'Fleet'!$O127)-MAX(W$7,'Fleet'!$G127))</x:f>
        <x:v>366</x:v>
      </x:c>
      <x:c r="X130" s="34" t="n">
        <x:f>MAX(0,MIN(X$8+1,'Fleet'!$O127)-MAX(X$7,'Fleet'!$G127))</x:f>
        <x:v>365</x:v>
      </x:c>
      <x:c r="Y130" s="34" t="n">
        <x:f>MAX(0,MIN(Y$8+1,'Fleet'!$O127)-MAX(Y$7,'Fleet'!$G127))</x:f>
        <x:v>365</x:v>
      </x:c>
      <x:c r="Z130" s="34" t="n">
        <x:f>MAX(0,MIN(Z$8+1,'Fleet'!$O127)-MAX(Z$7,'Fleet'!$G127))</x:f>
        <x:v>365</x:v>
      </x:c>
      <x:c r="AA130" s="34" t="n">
        <x:f>MAX(0,MIN(AA$8+1,'Fleet'!$O127)-MAX(AA$7,'Fleet'!$G127))</x:f>
        <x:v>274</x:v>
      </x:c>
      <x:c r="AB130" s="34" t="n">
        <x:f>MAX(0,MIN(AB$8+1,'Fleet'!$O127)-MAX(AB$7,'Fleet'!$G127))</x:f>
        <x:v>0</x:v>
      </x:c>
      <x:c r="AC130" s="34" t="n">
        <x:f>MAX(0,MIN(AC$8+1,'Fleet'!$O127)-MAX(AC$7,'Fleet'!$G127))</x:f>
        <x:v>0</x:v>
      </x:c>
      <x:c r="AD130" s="34" t="n">
        <x:f>MAX(0,MIN(AD$8+1,'Fleet'!$O127)-MAX(AD$7,'Fleet'!$G127))</x:f>
        <x:v>0</x:v>
      </x:c>
      <x:c r="AE130" s="34" t="n">
        <x:f>MAX(0,MIN(AE$8+1,'Fleet'!$O127)-MAX(AE$7,'Fleet'!$G127))</x:f>
        <x:v>0</x:v>
      </x:c>
      <x:c r="AF130" s="34" t="n">
        <x:f>MAX(0,MIN(AF$8+1,'Fleet'!$O127)-MAX(AF$7,'Fleet'!$G127))</x:f>
        <x:v>0</x:v>
      </x:c>
      <x:c r="AG130" s="34" t="n">
        <x:f>MAX(0,MIN(AG$8+1,'Fleet'!$O127)-MAX(AG$7,'Fleet'!$G127))</x:f>
        <x:v>0</x:v>
      </x:c>
      <x:c r="AH130" s="34" t="n">
        <x:f>MAX(0,MIN(AH$8+1,'Fleet'!$O127)-MAX(AH$7,'Fleet'!$G127))</x:f>
        <x:v>0</x:v>
      </x:c>
      <x:c r="AI130" s="34" t="n">
        <x:f>MAX(0,MIN(AI$8+1,'Fleet'!$O127)-MAX(AI$7,'Fleet'!$G127))</x:f>
        <x:v>0</x:v>
      </x:c>
      <x:c r="AJ130" s="34" t="n">
        <x:f>MAX(0,MIN(AJ$8+1,'Fleet'!$O127)-MAX(AJ$7,'Fleet'!$G127))</x:f>
        <x:v>0</x:v>
      </x:c>
      <x:c r="AK130" s="34" t="n">
        <x:f>MAX(0,MIN(AK$8+1,'Fleet'!$O127)-MAX(AK$7,'Fleet'!$G127))</x:f>
        <x:v>0</x:v>
      </x:c>
      <x:c r="AL130" s="34" t="n">
        <x:f>MAX(0,MIN(AL$8+1,'Fleet'!$O127)-MAX(AL$7,'Fleet'!$G127))</x:f>
        <x:v>0</x:v>
      </x:c>
      <x:c r="AM130" s="34" t="n">
        <x:f>MAX(0,MIN(AM$8+1,'Fleet'!$O127)-MAX(AM$7,'Fleet'!$G127))</x:f>
        <x:v>0</x:v>
      </x:c>
      <x:c r="AN130" s="34" t="n">
        <x:f>MAX(0,MIN(AN$8+1,'Fleet'!$O127)-MAX(AN$7,'Fleet'!$G127))</x:f>
        <x:v>0</x:v>
      </x:c>
      <x:c r="AO130" s="34" t="n">
        <x:f>MAX(0,MIN(AO$8+1,'Fleet'!$O127)-MAX(AO$7,'Fleet'!$G127))</x:f>
        <x:v>0</x:v>
      </x:c>
      <x:c r="AP130" s="34" t="n">
        <x:f>MAX(0,MIN(AP$8+1,'Fleet'!$O127)-MAX(AP$7,'Fleet'!$G127))</x:f>
        <x:v>0</x:v>
      </x:c>
      <x:c r="AQ130" s="34" t="n">
        <x:f>MAX(0,MIN(AQ$8+1,'Fleet'!$O127)-MAX(AQ$7,'Fleet'!$G127))</x:f>
        <x:v>0</x:v>
      </x:c>
    </x:row>
    <x:row r="131" ht="21" customHeight="1">
      <x:c r="A131" s="2"/>
      <x:c r="B131" s="2"/>
      <x:c r="C131" s="5" t="str">
        <x:f>'Fleet'!C128</x:f>
        <x:v>Star Monica</x:v>
      </x:c>
      <x:c r="D131" s="5" t="str">
        <x:f>'Fleet'!D128</x:f>
        <x:v>Ultramax</x:v>
      </x:c>
      <x:c r="E131" s="34" t="n">
        <x:f>MAX(0,MIN(E$8+1,'Fleet'!$O128)-MAX(E$7,'Fleet'!$G128))</x:f>
        <x:v>83</x:v>
      </x:c>
      <x:c r="F131" s="34" t="n">
        <x:f>MAX(0,MIN(F$8+1,'Fleet'!$O128)-MAX(F$7,'Fleet'!$G128))</x:f>
        <x:v>90</x:v>
      </x:c>
      <x:c r="G131" s="34" t="n">
        <x:f>MAX(0,MIN(G$8+1,'Fleet'!$O128)-MAX(G$7,'Fleet'!$G128))</x:f>
        <x:v>91</x:v>
      </x:c>
      <x:c r="H131" s="34" t="n">
        <x:f>MAX(0,MIN(H$8+1,'Fleet'!$O128)-MAX(H$7,'Fleet'!$G128))</x:f>
        <x:v>92</x:v>
      </x:c>
      <x:c r="I131" s="34" t="n">
        <x:f>MAX(0,MIN(I$8+1,'Fleet'!$O128)-MAX(I$7,'Fleet'!$G128))</x:f>
        <x:v>92</x:v>
      </x:c>
      <x:c r="J131" s="34" t="n">
        <x:f>MAX(0,MIN(J$8+1,'Fleet'!$O128)-MAX(J$7,'Fleet'!$G128))</x:f>
        <x:v>91</x:v>
      </x:c>
      <x:c r="K131" s="34" t="n">
        <x:f>MAX(0,MIN(K$8+1,'Fleet'!$O128)-MAX(K$7,'Fleet'!$G128))</x:f>
        <x:v>91</x:v>
      </x:c>
      <x:c r="L131" s="34" t="n">
        <x:f>MAX(0,MIN(L$8+1,'Fleet'!$O128)-MAX(L$7,'Fleet'!$G128))</x:f>
        <x:v>92</x:v>
      </x:c>
      <x:c r="M131" s="34" t="n">
        <x:f>MAX(0,MIN(M$8+1,'Fleet'!$O128)-MAX(M$7,'Fleet'!$G128))</x:f>
        <x:v>92</x:v>
      </x:c>
      <x:c r="N131" s="34" t="n">
        <x:f>MAX(0,MIN(N$8+1,'Fleet'!$O128)-MAX(N$7,'Fleet'!$G128))</x:f>
        <x:v>90</x:v>
      </x:c>
      <x:c r="O131" s="34" t="n">
        <x:f>MAX(0,MIN(O$8+1,'Fleet'!$O128)-MAX(O$7,'Fleet'!$G128))</x:f>
        <x:v>91</x:v>
      </x:c>
      <x:c r="P131" s="34" t="n">
        <x:f>MAX(0,MIN(P$8+1,'Fleet'!$O128)-MAX(P$7,'Fleet'!$G128))</x:f>
        <x:v>92</x:v>
      </x:c>
      <x:c r="Q131" s="34" t="n">
        <x:f>MAX(0,MIN(Q$8+1,'Fleet'!$O128)-MAX(Q$7,'Fleet'!$G128))</x:f>
        <x:v>365</x:v>
      </x:c>
      <x:c r="R131" s="34" t="n">
        <x:f>MAX(0,MIN(R$8+1,'Fleet'!$O128)-MAX(R$7,'Fleet'!$G128))</x:f>
        <x:v>365</x:v>
      </x:c>
      <x:c r="S131" s="34" t="n">
        <x:f>MAX(0,MIN(S$8+1,'Fleet'!$O128)-MAX(S$7,'Fleet'!$G128))</x:f>
        <x:v>366</x:v>
      </x:c>
      <x:c r="T131" s="34" t="n">
        <x:f>MAX(0,MIN(T$8+1,'Fleet'!$O128)-MAX(T$7,'Fleet'!$G128))</x:f>
        <x:v>365</x:v>
      </x:c>
      <x:c r="U131" s="34" t="n">
        <x:f>MAX(0,MIN(U$8+1,'Fleet'!$O128)-MAX(U$7,'Fleet'!$G128))</x:f>
        <x:v>365</x:v>
      </x:c>
      <x:c r="V131" s="34" t="n">
        <x:f>MAX(0,MIN(V$8+1,'Fleet'!$O128)-MAX(V$7,'Fleet'!$G128))</x:f>
        <x:v>365</x:v>
      </x:c>
      <x:c r="W131" s="34" t="n">
        <x:f>MAX(0,MIN(W$8+1,'Fleet'!$O128)-MAX(W$7,'Fleet'!$G128))</x:f>
        <x:v>366</x:v>
      </x:c>
      <x:c r="X131" s="34" t="n">
        <x:f>MAX(0,MIN(X$8+1,'Fleet'!$O128)-MAX(X$7,'Fleet'!$G128))</x:f>
        <x:v>365</x:v>
      </x:c>
      <x:c r="Y131" s="34" t="n">
        <x:f>MAX(0,MIN(Y$8+1,'Fleet'!$O128)-MAX(Y$7,'Fleet'!$G128))</x:f>
        <x:v>365</x:v>
      </x:c>
      <x:c r="Z131" s="34" t="n">
        <x:f>MAX(0,MIN(Z$8+1,'Fleet'!$O128)-MAX(Z$7,'Fleet'!$G128))</x:f>
        <x:v>365</x:v>
      </x:c>
      <x:c r="AA131" s="34" t="n">
        <x:f>MAX(0,MIN(AA$8+1,'Fleet'!$O128)-MAX(AA$7,'Fleet'!$G128))</x:f>
        <x:v>274</x:v>
      </x:c>
      <x:c r="AB131" s="34" t="n">
        <x:f>MAX(0,MIN(AB$8+1,'Fleet'!$O128)-MAX(AB$7,'Fleet'!$G128))</x:f>
        <x:v>0</x:v>
      </x:c>
      <x:c r="AC131" s="34" t="n">
        <x:f>MAX(0,MIN(AC$8+1,'Fleet'!$O128)-MAX(AC$7,'Fleet'!$G128))</x:f>
        <x:v>0</x:v>
      </x:c>
      <x:c r="AD131" s="34" t="n">
        <x:f>MAX(0,MIN(AD$8+1,'Fleet'!$O128)-MAX(AD$7,'Fleet'!$G128))</x:f>
        <x:v>0</x:v>
      </x:c>
      <x:c r="AE131" s="34" t="n">
        <x:f>MAX(0,MIN(AE$8+1,'Fleet'!$O128)-MAX(AE$7,'Fleet'!$G128))</x:f>
        <x:v>0</x:v>
      </x:c>
      <x:c r="AF131" s="34" t="n">
        <x:f>MAX(0,MIN(AF$8+1,'Fleet'!$O128)-MAX(AF$7,'Fleet'!$G128))</x:f>
        <x:v>0</x:v>
      </x:c>
      <x:c r="AG131" s="34" t="n">
        <x:f>MAX(0,MIN(AG$8+1,'Fleet'!$O128)-MAX(AG$7,'Fleet'!$G128))</x:f>
        <x:v>0</x:v>
      </x:c>
      <x:c r="AH131" s="34" t="n">
        <x:f>MAX(0,MIN(AH$8+1,'Fleet'!$O128)-MAX(AH$7,'Fleet'!$G128))</x:f>
        <x:v>0</x:v>
      </x:c>
      <x:c r="AI131" s="34" t="n">
        <x:f>MAX(0,MIN(AI$8+1,'Fleet'!$O128)-MAX(AI$7,'Fleet'!$G128))</x:f>
        <x:v>0</x:v>
      </x:c>
      <x:c r="AJ131" s="34" t="n">
        <x:f>MAX(0,MIN(AJ$8+1,'Fleet'!$O128)-MAX(AJ$7,'Fleet'!$G128))</x:f>
        <x:v>0</x:v>
      </x:c>
      <x:c r="AK131" s="34" t="n">
        <x:f>MAX(0,MIN(AK$8+1,'Fleet'!$O128)-MAX(AK$7,'Fleet'!$G128))</x:f>
        <x:v>0</x:v>
      </x:c>
      <x:c r="AL131" s="34" t="n">
        <x:f>MAX(0,MIN(AL$8+1,'Fleet'!$O128)-MAX(AL$7,'Fleet'!$G128))</x:f>
        <x:v>0</x:v>
      </x:c>
      <x:c r="AM131" s="34" t="n">
        <x:f>MAX(0,MIN(AM$8+1,'Fleet'!$O128)-MAX(AM$7,'Fleet'!$G128))</x:f>
        <x:v>0</x:v>
      </x:c>
      <x:c r="AN131" s="34" t="n">
        <x:f>MAX(0,MIN(AN$8+1,'Fleet'!$O128)-MAX(AN$7,'Fleet'!$G128))</x:f>
        <x:v>0</x:v>
      </x:c>
      <x:c r="AO131" s="34" t="n">
        <x:f>MAX(0,MIN(AO$8+1,'Fleet'!$O128)-MAX(AO$7,'Fleet'!$G128))</x:f>
        <x:v>0</x:v>
      </x:c>
      <x:c r="AP131" s="34" t="n">
        <x:f>MAX(0,MIN(AP$8+1,'Fleet'!$O128)-MAX(AP$7,'Fleet'!$G128))</x:f>
        <x:v>0</x:v>
      </x:c>
      <x:c r="AQ131" s="34" t="n">
        <x:f>MAX(0,MIN(AQ$8+1,'Fleet'!$O128)-MAX(AQ$7,'Fleet'!$G128))</x:f>
        <x:v>0</x:v>
      </x:c>
    </x:row>
    <x:row r="132" ht="21" customHeight="1">
      <x:c r="A132" s="2"/>
      <x:c r="B132" s="2"/>
      <x:c r="C132" s="5" t="str">
        <x:f>'Fleet'!C129</x:f>
        <x:v>Star Aquarius</x:v>
      </x:c>
      <x:c r="D132" s="5" t="str">
        <x:f>'Fleet'!D129</x:f>
        <x:v>Ultramax</x:v>
      </x:c>
      <x:c r="E132" s="34" t="n">
        <x:f>MAX(0,MIN(E$8+1,'Fleet'!$O129)-MAX(E$7,'Fleet'!$G129))</x:f>
        <x:v>83</x:v>
      </x:c>
      <x:c r="F132" s="34" t="n">
        <x:f>MAX(0,MIN(F$8+1,'Fleet'!$O129)-MAX(F$7,'Fleet'!$G129))</x:f>
        <x:v>90</x:v>
      </x:c>
      <x:c r="G132" s="34" t="n">
        <x:f>MAX(0,MIN(G$8+1,'Fleet'!$O129)-MAX(G$7,'Fleet'!$G129))</x:f>
        <x:v>91</x:v>
      </x:c>
      <x:c r="H132" s="34" t="n">
        <x:f>MAX(0,MIN(H$8+1,'Fleet'!$O129)-MAX(H$7,'Fleet'!$G129))</x:f>
        <x:v>92</x:v>
      </x:c>
      <x:c r="I132" s="34" t="n">
        <x:f>MAX(0,MIN(I$8+1,'Fleet'!$O129)-MAX(I$7,'Fleet'!$G129))</x:f>
        <x:v>92</x:v>
      </x:c>
      <x:c r="J132" s="34" t="n">
        <x:f>MAX(0,MIN(J$8+1,'Fleet'!$O129)-MAX(J$7,'Fleet'!$G129))</x:f>
        <x:v>91</x:v>
      </x:c>
      <x:c r="K132" s="34" t="n">
        <x:f>MAX(0,MIN(K$8+1,'Fleet'!$O129)-MAX(K$7,'Fleet'!$G129))</x:f>
        <x:v>91</x:v>
      </x:c>
      <x:c r="L132" s="34" t="n">
        <x:f>MAX(0,MIN(L$8+1,'Fleet'!$O129)-MAX(L$7,'Fleet'!$G129))</x:f>
        <x:v>92</x:v>
      </x:c>
      <x:c r="M132" s="34" t="n">
        <x:f>MAX(0,MIN(M$8+1,'Fleet'!$O129)-MAX(M$7,'Fleet'!$G129))</x:f>
        <x:v>92</x:v>
      </x:c>
      <x:c r="N132" s="34" t="n">
        <x:f>MAX(0,MIN(N$8+1,'Fleet'!$O129)-MAX(N$7,'Fleet'!$G129))</x:f>
        <x:v>90</x:v>
      </x:c>
      <x:c r="O132" s="34" t="n">
        <x:f>MAX(0,MIN(O$8+1,'Fleet'!$O129)-MAX(O$7,'Fleet'!$G129))</x:f>
        <x:v>91</x:v>
      </x:c>
      <x:c r="P132" s="34" t="n">
        <x:f>MAX(0,MIN(P$8+1,'Fleet'!$O129)-MAX(P$7,'Fleet'!$G129))</x:f>
        <x:v>92</x:v>
      </x:c>
      <x:c r="Q132" s="34" t="n">
        <x:f>MAX(0,MIN(Q$8+1,'Fleet'!$O129)-MAX(Q$7,'Fleet'!$G129))</x:f>
        <x:v>365</x:v>
      </x:c>
      <x:c r="R132" s="34" t="n">
        <x:f>MAX(0,MIN(R$8+1,'Fleet'!$O129)-MAX(R$7,'Fleet'!$G129))</x:f>
        <x:v>365</x:v>
      </x:c>
      <x:c r="S132" s="34" t="n">
        <x:f>MAX(0,MIN(S$8+1,'Fleet'!$O129)-MAX(S$7,'Fleet'!$G129))</x:f>
        <x:v>366</x:v>
      </x:c>
      <x:c r="T132" s="34" t="n">
        <x:f>MAX(0,MIN(T$8+1,'Fleet'!$O129)-MAX(T$7,'Fleet'!$G129))</x:f>
        <x:v>365</x:v>
      </x:c>
      <x:c r="U132" s="34" t="n">
        <x:f>MAX(0,MIN(U$8+1,'Fleet'!$O129)-MAX(U$7,'Fleet'!$G129))</x:f>
        <x:v>365</x:v>
      </x:c>
      <x:c r="V132" s="34" t="n">
        <x:f>MAX(0,MIN(V$8+1,'Fleet'!$O129)-MAX(V$7,'Fleet'!$G129))</x:f>
        <x:v>365</x:v>
      </x:c>
      <x:c r="W132" s="34" t="n">
        <x:f>MAX(0,MIN(W$8+1,'Fleet'!$O129)-MAX(W$7,'Fleet'!$G129))</x:f>
        <x:v>366</x:v>
      </x:c>
      <x:c r="X132" s="34" t="n">
        <x:f>MAX(0,MIN(X$8+1,'Fleet'!$O129)-MAX(X$7,'Fleet'!$G129))</x:f>
        <x:v>365</x:v>
      </x:c>
      <x:c r="Y132" s="34" t="n">
        <x:f>MAX(0,MIN(Y$8+1,'Fleet'!$O129)-MAX(Y$7,'Fleet'!$G129))</x:f>
        <x:v>365</x:v>
      </x:c>
      <x:c r="Z132" s="34" t="n">
        <x:f>MAX(0,MIN(Z$8+1,'Fleet'!$O129)-MAX(Z$7,'Fleet'!$G129))</x:f>
        <x:v>365</x:v>
      </x:c>
      <x:c r="AA132" s="34" t="n">
        <x:f>MAX(0,MIN(AA$8+1,'Fleet'!$O129)-MAX(AA$7,'Fleet'!$G129))</x:f>
        <x:v>274</x:v>
      </x:c>
      <x:c r="AB132" s="34" t="n">
        <x:f>MAX(0,MIN(AB$8+1,'Fleet'!$O129)-MAX(AB$7,'Fleet'!$G129))</x:f>
        <x:v>0</x:v>
      </x:c>
      <x:c r="AC132" s="34" t="n">
        <x:f>MAX(0,MIN(AC$8+1,'Fleet'!$O129)-MAX(AC$7,'Fleet'!$G129))</x:f>
        <x:v>0</x:v>
      </x:c>
      <x:c r="AD132" s="34" t="n">
        <x:f>MAX(0,MIN(AD$8+1,'Fleet'!$O129)-MAX(AD$7,'Fleet'!$G129))</x:f>
        <x:v>0</x:v>
      </x:c>
      <x:c r="AE132" s="34" t="n">
        <x:f>MAX(0,MIN(AE$8+1,'Fleet'!$O129)-MAX(AE$7,'Fleet'!$G129))</x:f>
        <x:v>0</x:v>
      </x:c>
      <x:c r="AF132" s="34" t="n">
        <x:f>MAX(0,MIN(AF$8+1,'Fleet'!$O129)-MAX(AF$7,'Fleet'!$G129))</x:f>
        <x:v>0</x:v>
      </x:c>
      <x:c r="AG132" s="34" t="n">
        <x:f>MAX(0,MIN(AG$8+1,'Fleet'!$O129)-MAX(AG$7,'Fleet'!$G129))</x:f>
        <x:v>0</x:v>
      </x:c>
      <x:c r="AH132" s="34" t="n">
        <x:f>MAX(0,MIN(AH$8+1,'Fleet'!$O129)-MAX(AH$7,'Fleet'!$G129))</x:f>
        <x:v>0</x:v>
      </x:c>
      <x:c r="AI132" s="34" t="n">
        <x:f>MAX(0,MIN(AI$8+1,'Fleet'!$O129)-MAX(AI$7,'Fleet'!$G129))</x:f>
        <x:v>0</x:v>
      </x:c>
      <x:c r="AJ132" s="34" t="n">
        <x:f>MAX(0,MIN(AJ$8+1,'Fleet'!$O129)-MAX(AJ$7,'Fleet'!$G129))</x:f>
        <x:v>0</x:v>
      </x:c>
      <x:c r="AK132" s="34" t="n">
        <x:f>MAX(0,MIN(AK$8+1,'Fleet'!$O129)-MAX(AK$7,'Fleet'!$G129))</x:f>
        <x:v>0</x:v>
      </x:c>
      <x:c r="AL132" s="34" t="n">
        <x:f>MAX(0,MIN(AL$8+1,'Fleet'!$O129)-MAX(AL$7,'Fleet'!$G129))</x:f>
        <x:v>0</x:v>
      </x:c>
      <x:c r="AM132" s="34" t="n">
        <x:f>MAX(0,MIN(AM$8+1,'Fleet'!$O129)-MAX(AM$7,'Fleet'!$G129))</x:f>
        <x:v>0</x:v>
      </x:c>
      <x:c r="AN132" s="34" t="n">
        <x:f>MAX(0,MIN(AN$8+1,'Fleet'!$O129)-MAX(AN$7,'Fleet'!$G129))</x:f>
        <x:v>0</x:v>
      </x:c>
      <x:c r="AO132" s="34" t="n">
        <x:f>MAX(0,MIN(AO$8+1,'Fleet'!$O129)-MAX(AO$7,'Fleet'!$G129))</x:f>
        <x:v>0</x:v>
      </x:c>
      <x:c r="AP132" s="34" t="n">
        <x:f>MAX(0,MIN(AP$8+1,'Fleet'!$O129)-MAX(AP$7,'Fleet'!$G129))</x:f>
        <x:v>0</x:v>
      </x:c>
      <x:c r="AQ132" s="34" t="n">
        <x:f>MAX(0,MIN(AQ$8+1,'Fleet'!$O129)-MAX(AQ$7,'Fleet'!$G129))</x:f>
        <x:v>0</x:v>
      </x:c>
    </x:row>
    <x:row r="133" ht="21" customHeight="1">
      <x:c r="A133" s="2"/>
      <x:c r="B133" s="2"/>
      <x:c r="C133" s="5" t="str">
        <x:f>'Fleet'!C130</x:f>
        <x:v>Star Pisces</x:v>
      </x:c>
      <x:c r="D133" s="5" t="str">
        <x:f>'Fleet'!D130</x:f>
        <x:v>Ultramax</x:v>
      </x:c>
      <x:c r="E133" s="34" t="n">
        <x:f>MAX(0,MIN(E$8+1,'Fleet'!$O130)-MAX(E$7,'Fleet'!$G130))</x:f>
        <x:v>83</x:v>
      </x:c>
      <x:c r="F133" s="34" t="n">
        <x:f>MAX(0,MIN(F$8+1,'Fleet'!$O130)-MAX(F$7,'Fleet'!$G130))</x:f>
        <x:v>90</x:v>
      </x:c>
      <x:c r="G133" s="34" t="n">
        <x:f>MAX(0,MIN(G$8+1,'Fleet'!$O130)-MAX(G$7,'Fleet'!$G130))</x:f>
        <x:v>91</x:v>
      </x:c>
      <x:c r="H133" s="34" t="n">
        <x:f>MAX(0,MIN(H$8+1,'Fleet'!$O130)-MAX(H$7,'Fleet'!$G130))</x:f>
        <x:v>92</x:v>
      </x:c>
      <x:c r="I133" s="34" t="n">
        <x:f>MAX(0,MIN(I$8+1,'Fleet'!$O130)-MAX(I$7,'Fleet'!$G130))</x:f>
        <x:v>92</x:v>
      </x:c>
      <x:c r="J133" s="34" t="n">
        <x:f>MAX(0,MIN(J$8+1,'Fleet'!$O130)-MAX(J$7,'Fleet'!$G130))</x:f>
        <x:v>91</x:v>
      </x:c>
      <x:c r="K133" s="34" t="n">
        <x:f>MAX(0,MIN(K$8+1,'Fleet'!$O130)-MAX(K$7,'Fleet'!$G130))</x:f>
        <x:v>91</x:v>
      </x:c>
      <x:c r="L133" s="34" t="n">
        <x:f>MAX(0,MIN(L$8+1,'Fleet'!$O130)-MAX(L$7,'Fleet'!$G130))</x:f>
        <x:v>92</x:v>
      </x:c>
      <x:c r="M133" s="34" t="n">
        <x:f>MAX(0,MIN(M$8+1,'Fleet'!$O130)-MAX(M$7,'Fleet'!$G130))</x:f>
        <x:v>92</x:v>
      </x:c>
      <x:c r="N133" s="34" t="n">
        <x:f>MAX(0,MIN(N$8+1,'Fleet'!$O130)-MAX(N$7,'Fleet'!$G130))</x:f>
        <x:v>90</x:v>
      </x:c>
      <x:c r="O133" s="34" t="n">
        <x:f>MAX(0,MIN(O$8+1,'Fleet'!$O130)-MAX(O$7,'Fleet'!$G130))</x:f>
        <x:v>91</x:v>
      </x:c>
      <x:c r="P133" s="34" t="n">
        <x:f>MAX(0,MIN(P$8+1,'Fleet'!$O130)-MAX(P$7,'Fleet'!$G130))</x:f>
        <x:v>92</x:v>
      </x:c>
      <x:c r="Q133" s="34" t="n">
        <x:f>MAX(0,MIN(Q$8+1,'Fleet'!$O130)-MAX(Q$7,'Fleet'!$G130))</x:f>
        <x:v>365</x:v>
      </x:c>
      <x:c r="R133" s="34" t="n">
        <x:f>MAX(0,MIN(R$8+1,'Fleet'!$O130)-MAX(R$7,'Fleet'!$G130))</x:f>
        <x:v>365</x:v>
      </x:c>
      <x:c r="S133" s="34" t="n">
        <x:f>MAX(0,MIN(S$8+1,'Fleet'!$O130)-MAX(S$7,'Fleet'!$G130))</x:f>
        <x:v>366</x:v>
      </x:c>
      <x:c r="T133" s="34" t="n">
        <x:f>MAX(0,MIN(T$8+1,'Fleet'!$O130)-MAX(T$7,'Fleet'!$G130))</x:f>
        <x:v>365</x:v>
      </x:c>
      <x:c r="U133" s="34" t="n">
        <x:f>MAX(0,MIN(U$8+1,'Fleet'!$O130)-MAX(U$7,'Fleet'!$G130))</x:f>
        <x:v>365</x:v>
      </x:c>
      <x:c r="V133" s="34" t="n">
        <x:f>MAX(0,MIN(V$8+1,'Fleet'!$O130)-MAX(V$7,'Fleet'!$G130))</x:f>
        <x:v>365</x:v>
      </x:c>
      <x:c r="W133" s="34" t="n">
        <x:f>MAX(0,MIN(W$8+1,'Fleet'!$O130)-MAX(W$7,'Fleet'!$G130))</x:f>
        <x:v>366</x:v>
      </x:c>
      <x:c r="X133" s="34" t="n">
        <x:f>MAX(0,MIN(X$8+1,'Fleet'!$O130)-MAX(X$7,'Fleet'!$G130))</x:f>
        <x:v>365</x:v>
      </x:c>
      <x:c r="Y133" s="34" t="n">
        <x:f>MAX(0,MIN(Y$8+1,'Fleet'!$O130)-MAX(Y$7,'Fleet'!$G130))</x:f>
        <x:v>365</x:v>
      </x:c>
      <x:c r="Z133" s="34" t="n">
        <x:f>MAX(0,MIN(Z$8+1,'Fleet'!$O130)-MAX(Z$7,'Fleet'!$G130))</x:f>
        <x:v>365</x:v>
      </x:c>
      <x:c r="AA133" s="34" t="n">
        <x:f>MAX(0,MIN(AA$8+1,'Fleet'!$O130)-MAX(AA$7,'Fleet'!$G130))</x:f>
        <x:v>274</x:v>
      </x:c>
      <x:c r="AB133" s="34" t="n">
        <x:f>MAX(0,MIN(AB$8+1,'Fleet'!$O130)-MAX(AB$7,'Fleet'!$G130))</x:f>
        <x:v>0</x:v>
      </x:c>
      <x:c r="AC133" s="34" t="n">
        <x:f>MAX(0,MIN(AC$8+1,'Fleet'!$O130)-MAX(AC$7,'Fleet'!$G130))</x:f>
        <x:v>0</x:v>
      </x:c>
      <x:c r="AD133" s="34" t="n">
        <x:f>MAX(0,MIN(AD$8+1,'Fleet'!$O130)-MAX(AD$7,'Fleet'!$G130))</x:f>
        <x:v>0</x:v>
      </x:c>
      <x:c r="AE133" s="34" t="n">
        <x:f>MAX(0,MIN(AE$8+1,'Fleet'!$O130)-MAX(AE$7,'Fleet'!$G130))</x:f>
        <x:v>0</x:v>
      </x:c>
      <x:c r="AF133" s="34" t="n">
        <x:f>MAX(0,MIN(AF$8+1,'Fleet'!$O130)-MAX(AF$7,'Fleet'!$G130))</x:f>
        <x:v>0</x:v>
      </x:c>
      <x:c r="AG133" s="34" t="n">
        <x:f>MAX(0,MIN(AG$8+1,'Fleet'!$O130)-MAX(AG$7,'Fleet'!$G130))</x:f>
        <x:v>0</x:v>
      </x:c>
      <x:c r="AH133" s="34" t="n">
        <x:f>MAX(0,MIN(AH$8+1,'Fleet'!$O130)-MAX(AH$7,'Fleet'!$G130))</x:f>
        <x:v>0</x:v>
      </x:c>
      <x:c r="AI133" s="34" t="n">
        <x:f>MAX(0,MIN(AI$8+1,'Fleet'!$O130)-MAX(AI$7,'Fleet'!$G130))</x:f>
        <x:v>0</x:v>
      </x:c>
      <x:c r="AJ133" s="34" t="n">
        <x:f>MAX(0,MIN(AJ$8+1,'Fleet'!$O130)-MAX(AJ$7,'Fleet'!$G130))</x:f>
        <x:v>0</x:v>
      </x:c>
      <x:c r="AK133" s="34" t="n">
        <x:f>MAX(0,MIN(AK$8+1,'Fleet'!$O130)-MAX(AK$7,'Fleet'!$G130))</x:f>
        <x:v>0</x:v>
      </x:c>
      <x:c r="AL133" s="34" t="n">
        <x:f>MAX(0,MIN(AL$8+1,'Fleet'!$O130)-MAX(AL$7,'Fleet'!$G130))</x:f>
        <x:v>0</x:v>
      </x:c>
      <x:c r="AM133" s="34" t="n">
        <x:f>MAX(0,MIN(AM$8+1,'Fleet'!$O130)-MAX(AM$7,'Fleet'!$G130))</x:f>
        <x:v>0</x:v>
      </x:c>
      <x:c r="AN133" s="34" t="n">
        <x:f>MAX(0,MIN(AN$8+1,'Fleet'!$O130)-MAX(AN$7,'Fleet'!$G130))</x:f>
        <x:v>0</x:v>
      </x:c>
      <x:c r="AO133" s="34" t="n">
        <x:f>MAX(0,MIN(AO$8+1,'Fleet'!$O130)-MAX(AO$7,'Fleet'!$G130))</x:f>
        <x:v>0</x:v>
      </x:c>
      <x:c r="AP133" s="34" t="n">
        <x:f>MAX(0,MIN(AP$8+1,'Fleet'!$O130)-MAX(AP$7,'Fleet'!$G130))</x:f>
        <x:v>0</x:v>
      </x:c>
      <x:c r="AQ133" s="34" t="n">
        <x:f>MAX(0,MIN(AQ$8+1,'Fleet'!$O130)-MAX(AQ$7,'Fleet'!$G130))</x:f>
        <x:v>0</x:v>
      </x:c>
    </x:row>
    <x:row r="134" ht="21" customHeight="1">
      <x:c r="A134" s="2"/>
      <x:c r="B134" s="2"/>
      <x:c r="C134" s="5" t="str">
        <x:f>'Fleet'!C131</x:f>
        <x:v>Crane</x:v>
      </x:c>
      <x:c r="D134" s="5" t="str">
        <x:f>'Fleet'!D131</x:f>
        <x:v>Supramax</x:v>
      </x:c>
      <x:c r="E134" s="34" t="n">
        <x:f>MAX(0,MIN(E$8+1,'Fleet'!$O131)-MAX(E$7,'Fleet'!$G131))</x:f>
        <x:v>83</x:v>
      </x:c>
      <x:c r="F134" s="34" t="n">
        <x:f>MAX(0,MIN(F$8+1,'Fleet'!$O131)-MAX(F$7,'Fleet'!$G131))</x:f>
        <x:v>90</x:v>
      </x:c>
      <x:c r="G134" s="34" t="n">
        <x:f>MAX(0,MIN(G$8+1,'Fleet'!$O131)-MAX(G$7,'Fleet'!$G131))</x:f>
        <x:v>91</x:v>
      </x:c>
      <x:c r="H134" s="34" t="n">
        <x:f>MAX(0,MIN(H$8+1,'Fleet'!$O131)-MAX(H$7,'Fleet'!$G131))</x:f>
        <x:v>92</x:v>
      </x:c>
      <x:c r="I134" s="34" t="n">
        <x:f>MAX(0,MIN(I$8+1,'Fleet'!$O131)-MAX(I$7,'Fleet'!$G131))</x:f>
        <x:v>92</x:v>
      </x:c>
      <x:c r="J134" s="34" t="n">
        <x:f>MAX(0,MIN(J$8+1,'Fleet'!$O131)-MAX(J$7,'Fleet'!$G131))</x:f>
        <x:v>91</x:v>
      </x:c>
      <x:c r="K134" s="34" t="n">
        <x:f>MAX(0,MIN(K$8+1,'Fleet'!$O131)-MAX(K$7,'Fleet'!$G131))</x:f>
        <x:v>91</x:v>
      </x:c>
      <x:c r="L134" s="34" t="n">
        <x:f>MAX(0,MIN(L$8+1,'Fleet'!$O131)-MAX(L$7,'Fleet'!$G131))</x:f>
        <x:v>92</x:v>
      </x:c>
      <x:c r="M134" s="34" t="n">
        <x:f>MAX(0,MIN(M$8+1,'Fleet'!$O131)-MAX(M$7,'Fleet'!$G131))</x:f>
        <x:v>92</x:v>
      </x:c>
      <x:c r="N134" s="34" t="n">
        <x:f>MAX(0,MIN(N$8+1,'Fleet'!$O131)-MAX(N$7,'Fleet'!$G131))</x:f>
        <x:v>90</x:v>
      </x:c>
      <x:c r="O134" s="34" t="n">
        <x:f>MAX(0,MIN(O$8+1,'Fleet'!$O131)-MAX(O$7,'Fleet'!$G131))</x:f>
        <x:v>91</x:v>
      </x:c>
      <x:c r="P134" s="34" t="n">
        <x:f>MAX(0,MIN(P$8+1,'Fleet'!$O131)-MAX(P$7,'Fleet'!$G131))</x:f>
        <x:v>92</x:v>
      </x:c>
      <x:c r="Q134" s="34" t="n">
        <x:f>MAX(0,MIN(Q$8+1,'Fleet'!$O131)-MAX(Q$7,'Fleet'!$G131))</x:f>
        <x:v>365</x:v>
      </x:c>
      <x:c r="R134" s="34" t="n">
        <x:f>MAX(0,MIN(R$8+1,'Fleet'!$O131)-MAX(R$7,'Fleet'!$G131))</x:f>
        <x:v>365</x:v>
      </x:c>
      <x:c r="S134" s="34" t="n">
        <x:f>MAX(0,MIN(S$8+1,'Fleet'!$O131)-MAX(S$7,'Fleet'!$G131))</x:f>
        <x:v>366</x:v>
      </x:c>
      <x:c r="T134" s="34" t="n">
        <x:f>MAX(0,MIN(T$8+1,'Fleet'!$O131)-MAX(T$7,'Fleet'!$G131))</x:f>
        <x:v>365</x:v>
      </x:c>
      <x:c r="U134" s="34" t="n">
        <x:f>MAX(0,MIN(U$8+1,'Fleet'!$O131)-MAX(U$7,'Fleet'!$G131))</x:f>
        <x:v>365</x:v>
      </x:c>
      <x:c r="V134" s="34" t="n">
        <x:f>MAX(0,MIN(V$8+1,'Fleet'!$O131)-MAX(V$7,'Fleet'!$G131))</x:f>
        <x:v>273</x:v>
      </x:c>
      <x:c r="W134" s="34" t="n">
        <x:f>MAX(0,MIN(W$8+1,'Fleet'!$O131)-MAX(W$7,'Fleet'!$G131))</x:f>
        <x:v>0</x:v>
      </x:c>
      <x:c r="X134" s="34" t="n">
        <x:f>MAX(0,MIN(X$8+1,'Fleet'!$O131)-MAX(X$7,'Fleet'!$G131))</x:f>
        <x:v>0</x:v>
      </x:c>
      <x:c r="Y134" s="34" t="n">
        <x:f>MAX(0,MIN(Y$8+1,'Fleet'!$O131)-MAX(Y$7,'Fleet'!$G131))</x:f>
        <x:v>0</x:v>
      </x:c>
      <x:c r="Z134" s="34" t="n">
        <x:f>MAX(0,MIN(Z$8+1,'Fleet'!$O131)-MAX(Z$7,'Fleet'!$G131))</x:f>
        <x:v>0</x:v>
      </x:c>
      <x:c r="AA134" s="34" t="n">
        <x:f>MAX(0,MIN(AA$8+1,'Fleet'!$O131)-MAX(AA$7,'Fleet'!$G131))</x:f>
        <x:v>0</x:v>
      </x:c>
      <x:c r="AB134" s="34" t="n">
        <x:f>MAX(0,MIN(AB$8+1,'Fleet'!$O131)-MAX(AB$7,'Fleet'!$G131))</x:f>
        <x:v>0</x:v>
      </x:c>
      <x:c r="AC134" s="34" t="n">
        <x:f>MAX(0,MIN(AC$8+1,'Fleet'!$O131)-MAX(AC$7,'Fleet'!$G131))</x:f>
        <x:v>0</x:v>
      </x:c>
      <x:c r="AD134" s="34" t="n">
        <x:f>MAX(0,MIN(AD$8+1,'Fleet'!$O131)-MAX(AD$7,'Fleet'!$G131))</x:f>
        <x:v>0</x:v>
      </x:c>
      <x:c r="AE134" s="34" t="n">
        <x:f>MAX(0,MIN(AE$8+1,'Fleet'!$O131)-MAX(AE$7,'Fleet'!$G131))</x:f>
        <x:v>0</x:v>
      </x:c>
      <x:c r="AF134" s="34" t="n">
        <x:f>MAX(0,MIN(AF$8+1,'Fleet'!$O131)-MAX(AF$7,'Fleet'!$G131))</x:f>
        <x:v>0</x:v>
      </x:c>
      <x:c r="AG134" s="34" t="n">
        <x:f>MAX(0,MIN(AG$8+1,'Fleet'!$O131)-MAX(AG$7,'Fleet'!$G131))</x:f>
        <x:v>0</x:v>
      </x:c>
      <x:c r="AH134" s="34" t="n">
        <x:f>MAX(0,MIN(AH$8+1,'Fleet'!$O131)-MAX(AH$7,'Fleet'!$G131))</x:f>
        <x:v>0</x:v>
      </x:c>
      <x:c r="AI134" s="34" t="n">
        <x:f>MAX(0,MIN(AI$8+1,'Fleet'!$O131)-MAX(AI$7,'Fleet'!$G131))</x:f>
        <x:v>0</x:v>
      </x:c>
      <x:c r="AJ134" s="34" t="n">
        <x:f>MAX(0,MIN(AJ$8+1,'Fleet'!$O131)-MAX(AJ$7,'Fleet'!$G131))</x:f>
        <x:v>0</x:v>
      </x:c>
      <x:c r="AK134" s="34" t="n">
        <x:f>MAX(0,MIN(AK$8+1,'Fleet'!$O131)-MAX(AK$7,'Fleet'!$G131))</x:f>
        <x:v>0</x:v>
      </x:c>
      <x:c r="AL134" s="34" t="n">
        <x:f>MAX(0,MIN(AL$8+1,'Fleet'!$O131)-MAX(AL$7,'Fleet'!$G131))</x:f>
        <x:v>0</x:v>
      </x:c>
      <x:c r="AM134" s="34" t="n">
        <x:f>MAX(0,MIN(AM$8+1,'Fleet'!$O131)-MAX(AM$7,'Fleet'!$G131))</x:f>
        <x:v>0</x:v>
      </x:c>
      <x:c r="AN134" s="34" t="n">
        <x:f>MAX(0,MIN(AN$8+1,'Fleet'!$O131)-MAX(AN$7,'Fleet'!$G131))</x:f>
        <x:v>0</x:v>
      </x:c>
      <x:c r="AO134" s="34" t="n">
        <x:f>MAX(0,MIN(AO$8+1,'Fleet'!$O131)-MAX(AO$7,'Fleet'!$G131))</x:f>
        <x:v>0</x:v>
      </x:c>
      <x:c r="AP134" s="34" t="n">
        <x:f>MAX(0,MIN(AP$8+1,'Fleet'!$O131)-MAX(AP$7,'Fleet'!$G131))</x:f>
        <x:v>0</x:v>
      </x:c>
      <x:c r="AQ134" s="34" t="n">
        <x:f>MAX(0,MIN(AQ$8+1,'Fleet'!$O131)-MAX(AQ$7,'Fleet'!$G131))</x:f>
        <x:v>0</x:v>
      </x:c>
    </x:row>
    <x:row r="135" ht="21" customHeight="1">
      <x:c r="A135" s="2"/>
      <x:c r="B135" s="2"/>
      <x:c r="C135" s="5" t="str">
        <x:f>'Fleet'!C132</x:f>
        <x:v>Egret Bulker</x:v>
      </x:c>
      <x:c r="D135" s="5" t="str">
        <x:f>'Fleet'!D132</x:f>
        <x:v>Supramax</x:v>
      </x:c>
      <x:c r="E135" s="34" t="n">
        <x:f>MAX(0,MIN(E$8+1,'Fleet'!$O132)-MAX(E$7,'Fleet'!$G132))</x:f>
        <x:v>83</x:v>
      </x:c>
      <x:c r="F135" s="34" t="n">
        <x:f>MAX(0,MIN(F$8+1,'Fleet'!$O132)-MAX(F$7,'Fleet'!$G132))</x:f>
        <x:v>90</x:v>
      </x:c>
      <x:c r="G135" s="34" t="n">
        <x:f>MAX(0,MIN(G$8+1,'Fleet'!$O132)-MAX(G$7,'Fleet'!$G132))</x:f>
        <x:v>91</x:v>
      </x:c>
      <x:c r="H135" s="34" t="n">
        <x:f>MAX(0,MIN(H$8+1,'Fleet'!$O132)-MAX(H$7,'Fleet'!$G132))</x:f>
        <x:v>92</x:v>
      </x:c>
      <x:c r="I135" s="34" t="n">
        <x:f>MAX(0,MIN(I$8+1,'Fleet'!$O132)-MAX(I$7,'Fleet'!$G132))</x:f>
        <x:v>92</x:v>
      </x:c>
      <x:c r="J135" s="34" t="n">
        <x:f>MAX(0,MIN(J$8+1,'Fleet'!$O132)-MAX(J$7,'Fleet'!$G132))</x:f>
        <x:v>91</x:v>
      </x:c>
      <x:c r="K135" s="34" t="n">
        <x:f>MAX(0,MIN(K$8+1,'Fleet'!$O132)-MAX(K$7,'Fleet'!$G132))</x:f>
        <x:v>91</x:v>
      </x:c>
      <x:c r="L135" s="34" t="n">
        <x:f>MAX(0,MIN(L$8+1,'Fleet'!$O132)-MAX(L$7,'Fleet'!$G132))</x:f>
        <x:v>92</x:v>
      </x:c>
      <x:c r="M135" s="34" t="n">
        <x:f>MAX(0,MIN(M$8+1,'Fleet'!$O132)-MAX(M$7,'Fleet'!$G132))</x:f>
        <x:v>92</x:v>
      </x:c>
      <x:c r="N135" s="34" t="n">
        <x:f>MAX(0,MIN(N$8+1,'Fleet'!$O132)-MAX(N$7,'Fleet'!$G132))</x:f>
        <x:v>90</x:v>
      </x:c>
      <x:c r="O135" s="34" t="n">
        <x:f>MAX(0,MIN(O$8+1,'Fleet'!$O132)-MAX(O$7,'Fleet'!$G132))</x:f>
        <x:v>91</x:v>
      </x:c>
      <x:c r="P135" s="34" t="n">
        <x:f>MAX(0,MIN(P$8+1,'Fleet'!$O132)-MAX(P$7,'Fleet'!$G132))</x:f>
        <x:v>92</x:v>
      </x:c>
      <x:c r="Q135" s="34" t="n">
        <x:f>MAX(0,MIN(Q$8+1,'Fleet'!$O132)-MAX(Q$7,'Fleet'!$G132))</x:f>
        <x:v>365</x:v>
      </x:c>
      <x:c r="R135" s="34" t="n">
        <x:f>MAX(0,MIN(R$8+1,'Fleet'!$O132)-MAX(R$7,'Fleet'!$G132))</x:f>
        <x:v>365</x:v>
      </x:c>
      <x:c r="S135" s="34" t="n">
        <x:f>MAX(0,MIN(S$8+1,'Fleet'!$O132)-MAX(S$7,'Fleet'!$G132))</x:f>
        <x:v>366</x:v>
      </x:c>
      <x:c r="T135" s="34" t="n">
        <x:f>MAX(0,MIN(T$8+1,'Fleet'!$O132)-MAX(T$7,'Fleet'!$G132))</x:f>
        <x:v>365</x:v>
      </x:c>
      <x:c r="U135" s="34" t="n">
        <x:f>MAX(0,MIN(U$8+1,'Fleet'!$O132)-MAX(U$7,'Fleet'!$G132))</x:f>
        <x:v>365</x:v>
      </x:c>
      <x:c r="V135" s="34" t="n">
        <x:f>MAX(0,MIN(V$8+1,'Fleet'!$O132)-MAX(V$7,'Fleet'!$G132))</x:f>
        <x:v>273</x:v>
      </x:c>
      <x:c r="W135" s="34" t="n">
        <x:f>MAX(0,MIN(W$8+1,'Fleet'!$O132)-MAX(W$7,'Fleet'!$G132))</x:f>
        <x:v>0</x:v>
      </x:c>
      <x:c r="X135" s="34" t="n">
        <x:f>MAX(0,MIN(X$8+1,'Fleet'!$O132)-MAX(X$7,'Fleet'!$G132))</x:f>
        <x:v>0</x:v>
      </x:c>
      <x:c r="Y135" s="34" t="n">
        <x:f>MAX(0,MIN(Y$8+1,'Fleet'!$O132)-MAX(Y$7,'Fleet'!$G132))</x:f>
        <x:v>0</x:v>
      </x:c>
      <x:c r="Z135" s="34" t="n">
        <x:f>MAX(0,MIN(Z$8+1,'Fleet'!$O132)-MAX(Z$7,'Fleet'!$G132))</x:f>
        <x:v>0</x:v>
      </x:c>
      <x:c r="AA135" s="34" t="n">
        <x:f>MAX(0,MIN(AA$8+1,'Fleet'!$O132)-MAX(AA$7,'Fleet'!$G132))</x:f>
        <x:v>0</x:v>
      </x:c>
      <x:c r="AB135" s="34" t="n">
        <x:f>MAX(0,MIN(AB$8+1,'Fleet'!$O132)-MAX(AB$7,'Fleet'!$G132))</x:f>
        <x:v>0</x:v>
      </x:c>
      <x:c r="AC135" s="34" t="n">
        <x:f>MAX(0,MIN(AC$8+1,'Fleet'!$O132)-MAX(AC$7,'Fleet'!$G132))</x:f>
        <x:v>0</x:v>
      </x:c>
      <x:c r="AD135" s="34" t="n">
        <x:f>MAX(0,MIN(AD$8+1,'Fleet'!$O132)-MAX(AD$7,'Fleet'!$G132))</x:f>
        <x:v>0</x:v>
      </x:c>
      <x:c r="AE135" s="34" t="n">
        <x:f>MAX(0,MIN(AE$8+1,'Fleet'!$O132)-MAX(AE$7,'Fleet'!$G132))</x:f>
        <x:v>0</x:v>
      </x:c>
      <x:c r="AF135" s="34" t="n">
        <x:f>MAX(0,MIN(AF$8+1,'Fleet'!$O132)-MAX(AF$7,'Fleet'!$G132))</x:f>
        <x:v>0</x:v>
      </x:c>
      <x:c r="AG135" s="34" t="n">
        <x:f>MAX(0,MIN(AG$8+1,'Fleet'!$O132)-MAX(AG$7,'Fleet'!$G132))</x:f>
        <x:v>0</x:v>
      </x:c>
      <x:c r="AH135" s="34" t="n">
        <x:f>MAX(0,MIN(AH$8+1,'Fleet'!$O132)-MAX(AH$7,'Fleet'!$G132))</x:f>
        <x:v>0</x:v>
      </x:c>
      <x:c r="AI135" s="34" t="n">
        <x:f>MAX(0,MIN(AI$8+1,'Fleet'!$O132)-MAX(AI$7,'Fleet'!$G132))</x:f>
        <x:v>0</x:v>
      </x:c>
      <x:c r="AJ135" s="34" t="n">
        <x:f>MAX(0,MIN(AJ$8+1,'Fleet'!$O132)-MAX(AJ$7,'Fleet'!$G132))</x:f>
        <x:v>0</x:v>
      </x:c>
      <x:c r="AK135" s="34" t="n">
        <x:f>MAX(0,MIN(AK$8+1,'Fleet'!$O132)-MAX(AK$7,'Fleet'!$G132))</x:f>
        <x:v>0</x:v>
      </x:c>
      <x:c r="AL135" s="34" t="n">
        <x:f>MAX(0,MIN(AL$8+1,'Fleet'!$O132)-MAX(AL$7,'Fleet'!$G132))</x:f>
        <x:v>0</x:v>
      </x:c>
      <x:c r="AM135" s="34" t="n">
        <x:f>MAX(0,MIN(AM$8+1,'Fleet'!$O132)-MAX(AM$7,'Fleet'!$G132))</x:f>
        <x:v>0</x:v>
      </x:c>
      <x:c r="AN135" s="34" t="n">
        <x:f>MAX(0,MIN(AN$8+1,'Fleet'!$O132)-MAX(AN$7,'Fleet'!$G132))</x:f>
        <x:v>0</x:v>
      </x:c>
      <x:c r="AO135" s="34" t="n">
        <x:f>MAX(0,MIN(AO$8+1,'Fleet'!$O132)-MAX(AO$7,'Fleet'!$G132))</x:f>
        <x:v>0</x:v>
      </x:c>
      <x:c r="AP135" s="34" t="n">
        <x:f>MAX(0,MIN(AP$8+1,'Fleet'!$O132)-MAX(AP$7,'Fleet'!$G132))</x:f>
        <x:v>0</x:v>
      </x:c>
      <x:c r="AQ135" s="34" t="n">
        <x:f>MAX(0,MIN(AQ$8+1,'Fleet'!$O132)-MAX(AQ$7,'Fleet'!$G132))</x:f>
        <x:v>0</x:v>
      </x:c>
    </x:row>
    <x:row r="136" ht="21" customHeight="1">
      <x:c r="A136" s="2"/>
      <x:c r="B136" s="2"/>
      <x:c r="C136" s="5" t="str">
        <x:f>'Fleet'!C133</x:f>
        <x:v>Gannet Bulker</x:v>
      </x:c>
      <x:c r="D136" s="5" t="str">
        <x:f>'Fleet'!D133</x:f>
        <x:v>Supramax</x:v>
      </x:c>
      <x:c r="E136" s="34" t="n">
        <x:f>MAX(0,MIN(E$8+1,'Fleet'!$O133)-MAX(E$7,'Fleet'!$G133))</x:f>
        <x:v>83</x:v>
      </x:c>
      <x:c r="F136" s="34" t="n">
        <x:f>MAX(0,MIN(F$8+1,'Fleet'!$O133)-MAX(F$7,'Fleet'!$G133))</x:f>
        <x:v>90</x:v>
      </x:c>
      <x:c r="G136" s="34" t="n">
        <x:f>MAX(0,MIN(G$8+1,'Fleet'!$O133)-MAX(G$7,'Fleet'!$G133))</x:f>
        <x:v>91</x:v>
      </x:c>
      <x:c r="H136" s="34" t="n">
        <x:f>MAX(0,MIN(H$8+1,'Fleet'!$O133)-MAX(H$7,'Fleet'!$G133))</x:f>
        <x:v>92</x:v>
      </x:c>
      <x:c r="I136" s="34" t="n">
        <x:f>MAX(0,MIN(I$8+1,'Fleet'!$O133)-MAX(I$7,'Fleet'!$G133))</x:f>
        <x:v>92</x:v>
      </x:c>
      <x:c r="J136" s="34" t="n">
        <x:f>MAX(0,MIN(J$8+1,'Fleet'!$O133)-MAX(J$7,'Fleet'!$G133))</x:f>
        <x:v>91</x:v>
      </x:c>
      <x:c r="K136" s="34" t="n">
        <x:f>MAX(0,MIN(K$8+1,'Fleet'!$O133)-MAX(K$7,'Fleet'!$G133))</x:f>
        <x:v>91</x:v>
      </x:c>
      <x:c r="L136" s="34" t="n">
        <x:f>MAX(0,MIN(L$8+1,'Fleet'!$O133)-MAX(L$7,'Fleet'!$G133))</x:f>
        <x:v>92</x:v>
      </x:c>
      <x:c r="M136" s="34" t="n">
        <x:f>MAX(0,MIN(M$8+1,'Fleet'!$O133)-MAX(M$7,'Fleet'!$G133))</x:f>
        <x:v>92</x:v>
      </x:c>
      <x:c r="N136" s="34" t="n">
        <x:f>MAX(0,MIN(N$8+1,'Fleet'!$O133)-MAX(N$7,'Fleet'!$G133))</x:f>
        <x:v>90</x:v>
      </x:c>
      <x:c r="O136" s="34" t="n">
        <x:f>MAX(0,MIN(O$8+1,'Fleet'!$O133)-MAX(O$7,'Fleet'!$G133))</x:f>
        <x:v>91</x:v>
      </x:c>
      <x:c r="P136" s="34" t="n">
        <x:f>MAX(0,MIN(P$8+1,'Fleet'!$O133)-MAX(P$7,'Fleet'!$G133))</x:f>
        <x:v>92</x:v>
      </x:c>
      <x:c r="Q136" s="34" t="n">
        <x:f>MAX(0,MIN(Q$8+1,'Fleet'!$O133)-MAX(Q$7,'Fleet'!$G133))</x:f>
        <x:v>365</x:v>
      </x:c>
      <x:c r="R136" s="34" t="n">
        <x:f>MAX(0,MIN(R$8+1,'Fleet'!$O133)-MAX(R$7,'Fleet'!$G133))</x:f>
        <x:v>365</x:v>
      </x:c>
      <x:c r="S136" s="34" t="n">
        <x:f>MAX(0,MIN(S$8+1,'Fleet'!$O133)-MAX(S$7,'Fleet'!$G133))</x:f>
        <x:v>366</x:v>
      </x:c>
      <x:c r="T136" s="34" t="n">
        <x:f>MAX(0,MIN(T$8+1,'Fleet'!$O133)-MAX(T$7,'Fleet'!$G133))</x:f>
        <x:v>365</x:v>
      </x:c>
      <x:c r="U136" s="34" t="n">
        <x:f>MAX(0,MIN(U$8+1,'Fleet'!$O133)-MAX(U$7,'Fleet'!$G133))</x:f>
        <x:v>365</x:v>
      </x:c>
      <x:c r="V136" s="34" t="n">
        <x:f>MAX(0,MIN(V$8+1,'Fleet'!$O133)-MAX(V$7,'Fleet'!$G133))</x:f>
        <x:v>273</x:v>
      </x:c>
      <x:c r="W136" s="34" t="n">
        <x:f>MAX(0,MIN(W$8+1,'Fleet'!$O133)-MAX(W$7,'Fleet'!$G133))</x:f>
        <x:v>0</x:v>
      </x:c>
      <x:c r="X136" s="34" t="n">
        <x:f>MAX(0,MIN(X$8+1,'Fleet'!$O133)-MAX(X$7,'Fleet'!$G133))</x:f>
        <x:v>0</x:v>
      </x:c>
      <x:c r="Y136" s="34" t="n">
        <x:f>MAX(0,MIN(Y$8+1,'Fleet'!$O133)-MAX(Y$7,'Fleet'!$G133))</x:f>
        <x:v>0</x:v>
      </x:c>
      <x:c r="Z136" s="34" t="n">
        <x:f>MAX(0,MIN(Z$8+1,'Fleet'!$O133)-MAX(Z$7,'Fleet'!$G133))</x:f>
        <x:v>0</x:v>
      </x:c>
      <x:c r="AA136" s="34" t="n">
        <x:f>MAX(0,MIN(AA$8+1,'Fleet'!$O133)-MAX(AA$7,'Fleet'!$G133))</x:f>
        <x:v>0</x:v>
      </x:c>
      <x:c r="AB136" s="34" t="n">
        <x:f>MAX(0,MIN(AB$8+1,'Fleet'!$O133)-MAX(AB$7,'Fleet'!$G133))</x:f>
        <x:v>0</x:v>
      </x:c>
      <x:c r="AC136" s="34" t="n">
        <x:f>MAX(0,MIN(AC$8+1,'Fleet'!$O133)-MAX(AC$7,'Fleet'!$G133))</x:f>
        <x:v>0</x:v>
      </x:c>
      <x:c r="AD136" s="34" t="n">
        <x:f>MAX(0,MIN(AD$8+1,'Fleet'!$O133)-MAX(AD$7,'Fleet'!$G133))</x:f>
        <x:v>0</x:v>
      </x:c>
      <x:c r="AE136" s="34" t="n">
        <x:f>MAX(0,MIN(AE$8+1,'Fleet'!$O133)-MAX(AE$7,'Fleet'!$G133))</x:f>
        <x:v>0</x:v>
      </x:c>
      <x:c r="AF136" s="34" t="n">
        <x:f>MAX(0,MIN(AF$8+1,'Fleet'!$O133)-MAX(AF$7,'Fleet'!$G133))</x:f>
        <x:v>0</x:v>
      </x:c>
      <x:c r="AG136" s="34" t="n">
        <x:f>MAX(0,MIN(AG$8+1,'Fleet'!$O133)-MAX(AG$7,'Fleet'!$G133))</x:f>
        <x:v>0</x:v>
      </x:c>
      <x:c r="AH136" s="34" t="n">
        <x:f>MAX(0,MIN(AH$8+1,'Fleet'!$O133)-MAX(AH$7,'Fleet'!$G133))</x:f>
        <x:v>0</x:v>
      </x:c>
      <x:c r="AI136" s="34" t="n">
        <x:f>MAX(0,MIN(AI$8+1,'Fleet'!$O133)-MAX(AI$7,'Fleet'!$G133))</x:f>
        <x:v>0</x:v>
      </x:c>
      <x:c r="AJ136" s="34" t="n">
        <x:f>MAX(0,MIN(AJ$8+1,'Fleet'!$O133)-MAX(AJ$7,'Fleet'!$G133))</x:f>
        <x:v>0</x:v>
      </x:c>
      <x:c r="AK136" s="34" t="n">
        <x:f>MAX(0,MIN(AK$8+1,'Fleet'!$O133)-MAX(AK$7,'Fleet'!$G133))</x:f>
        <x:v>0</x:v>
      </x:c>
      <x:c r="AL136" s="34" t="n">
        <x:f>MAX(0,MIN(AL$8+1,'Fleet'!$O133)-MAX(AL$7,'Fleet'!$G133))</x:f>
        <x:v>0</x:v>
      </x:c>
      <x:c r="AM136" s="34" t="n">
        <x:f>MAX(0,MIN(AM$8+1,'Fleet'!$O133)-MAX(AM$7,'Fleet'!$G133))</x:f>
        <x:v>0</x:v>
      </x:c>
      <x:c r="AN136" s="34" t="n">
        <x:f>MAX(0,MIN(AN$8+1,'Fleet'!$O133)-MAX(AN$7,'Fleet'!$G133))</x:f>
        <x:v>0</x:v>
      </x:c>
      <x:c r="AO136" s="34" t="n">
        <x:f>MAX(0,MIN(AO$8+1,'Fleet'!$O133)-MAX(AO$7,'Fleet'!$G133))</x:f>
        <x:v>0</x:v>
      </x:c>
      <x:c r="AP136" s="34" t="n">
        <x:f>MAX(0,MIN(AP$8+1,'Fleet'!$O133)-MAX(AP$7,'Fleet'!$G133))</x:f>
        <x:v>0</x:v>
      </x:c>
      <x:c r="AQ136" s="34" t="n">
        <x:f>MAX(0,MIN(AQ$8+1,'Fleet'!$O133)-MAX(AQ$7,'Fleet'!$G133))</x:f>
        <x:v>0</x:v>
      </x:c>
    </x:row>
    <x:row r="137" ht="21" customHeight="1">
      <x:c r="A137" s="2"/>
      <x:c r="B137" s="2"/>
      <x:c r="C137" s="5" t="str">
        <x:f>'Fleet'!C134</x:f>
        <x:v>Grebe Bulker</x:v>
      </x:c>
      <x:c r="D137" s="5" t="str">
        <x:f>'Fleet'!D134</x:f>
        <x:v>Supramax</x:v>
      </x:c>
      <x:c r="E137" s="34" t="n">
        <x:f>MAX(0,MIN(E$8+1,'Fleet'!$O134)-MAX(E$7,'Fleet'!$G134))</x:f>
        <x:v>83</x:v>
      </x:c>
      <x:c r="F137" s="34" t="n">
        <x:f>MAX(0,MIN(F$8+1,'Fleet'!$O134)-MAX(F$7,'Fleet'!$G134))</x:f>
        <x:v>90</x:v>
      </x:c>
      <x:c r="G137" s="34" t="n">
        <x:f>MAX(0,MIN(G$8+1,'Fleet'!$O134)-MAX(G$7,'Fleet'!$G134))</x:f>
        <x:v>91</x:v>
      </x:c>
      <x:c r="H137" s="34" t="n">
        <x:f>MAX(0,MIN(H$8+1,'Fleet'!$O134)-MAX(H$7,'Fleet'!$G134))</x:f>
        <x:v>92</x:v>
      </x:c>
      <x:c r="I137" s="34" t="n">
        <x:f>MAX(0,MIN(I$8+1,'Fleet'!$O134)-MAX(I$7,'Fleet'!$G134))</x:f>
        <x:v>92</x:v>
      </x:c>
      <x:c r="J137" s="34" t="n">
        <x:f>MAX(0,MIN(J$8+1,'Fleet'!$O134)-MAX(J$7,'Fleet'!$G134))</x:f>
        <x:v>91</x:v>
      </x:c>
      <x:c r="K137" s="34" t="n">
        <x:f>MAX(0,MIN(K$8+1,'Fleet'!$O134)-MAX(K$7,'Fleet'!$G134))</x:f>
        <x:v>91</x:v>
      </x:c>
      <x:c r="L137" s="34" t="n">
        <x:f>MAX(0,MIN(L$8+1,'Fleet'!$O134)-MAX(L$7,'Fleet'!$G134))</x:f>
        <x:v>92</x:v>
      </x:c>
      <x:c r="M137" s="34" t="n">
        <x:f>MAX(0,MIN(M$8+1,'Fleet'!$O134)-MAX(M$7,'Fleet'!$G134))</x:f>
        <x:v>92</x:v>
      </x:c>
      <x:c r="N137" s="34" t="n">
        <x:f>MAX(0,MIN(N$8+1,'Fleet'!$O134)-MAX(N$7,'Fleet'!$G134))</x:f>
        <x:v>90</x:v>
      </x:c>
      <x:c r="O137" s="34" t="n">
        <x:f>MAX(0,MIN(O$8+1,'Fleet'!$O134)-MAX(O$7,'Fleet'!$G134))</x:f>
        <x:v>91</x:v>
      </x:c>
      <x:c r="P137" s="34" t="n">
        <x:f>MAX(0,MIN(P$8+1,'Fleet'!$O134)-MAX(P$7,'Fleet'!$G134))</x:f>
        <x:v>92</x:v>
      </x:c>
      <x:c r="Q137" s="34" t="n">
        <x:f>MAX(0,MIN(Q$8+1,'Fleet'!$O134)-MAX(Q$7,'Fleet'!$G134))</x:f>
        <x:v>365</x:v>
      </x:c>
      <x:c r="R137" s="34" t="n">
        <x:f>MAX(0,MIN(R$8+1,'Fleet'!$O134)-MAX(R$7,'Fleet'!$G134))</x:f>
        <x:v>365</x:v>
      </x:c>
      <x:c r="S137" s="34" t="n">
        <x:f>MAX(0,MIN(S$8+1,'Fleet'!$O134)-MAX(S$7,'Fleet'!$G134))</x:f>
        <x:v>366</x:v>
      </x:c>
      <x:c r="T137" s="34" t="n">
        <x:f>MAX(0,MIN(T$8+1,'Fleet'!$O134)-MAX(T$7,'Fleet'!$G134))</x:f>
        <x:v>365</x:v>
      </x:c>
      <x:c r="U137" s="34" t="n">
        <x:f>MAX(0,MIN(U$8+1,'Fleet'!$O134)-MAX(U$7,'Fleet'!$G134))</x:f>
        <x:v>365</x:v>
      </x:c>
      <x:c r="V137" s="34" t="n">
        <x:f>MAX(0,MIN(V$8+1,'Fleet'!$O134)-MAX(V$7,'Fleet'!$G134))</x:f>
        <x:v>273</x:v>
      </x:c>
      <x:c r="W137" s="34" t="n">
        <x:f>MAX(0,MIN(W$8+1,'Fleet'!$O134)-MAX(W$7,'Fleet'!$G134))</x:f>
        <x:v>0</x:v>
      </x:c>
      <x:c r="X137" s="34" t="n">
        <x:f>MAX(0,MIN(X$8+1,'Fleet'!$O134)-MAX(X$7,'Fleet'!$G134))</x:f>
        <x:v>0</x:v>
      </x:c>
      <x:c r="Y137" s="34" t="n">
        <x:f>MAX(0,MIN(Y$8+1,'Fleet'!$O134)-MAX(Y$7,'Fleet'!$G134))</x:f>
        <x:v>0</x:v>
      </x:c>
      <x:c r="Z137" s="34" t="n">
        <x:f>MAX(0,MIN(Z$8+1,'Fleet'!$O134)-MAX(Z$7,'Fleet'!$G134))</x:f>
        <x:v>0</x:v>
      </x:c>
      <x:c r="AA137" s="34" t="n">
        <x:f>MAX(0,MIN(AA$8+1,'Fleet'!$O134)-MAX(AA$7,'Fleet'!$G134))</x:f>
        <x:v>0</x:v>
      </x:c>
      <x:c r="AB137" s="34" t="n">
        <x:f>MAX(0,MIN(AB$8+1,'Fleet'!$O134)-MAX(AB$7,'Fleet'!$G134))</x:f>
        <x:v>0</x:v>
      </x:c>
      <x:c r="AC137" s="34" t="n">
        <x:f>MAX(0,MIN(AC$8+1,'Fleet'!$O134)-MAX(AC$7,'Fleet'!$G134))</x:f>
        <x:v>0</x:v>
      </x:c>
      <x:c r="AD137" s="34" t="n">
        <x:f>MAX(0,MIN(AD$8+1,'Fleet'!$O134)-MAX(AD$7,'Fleet'!$G134))</x:f>
        <x:v>0</x:v>
      </x:c>
      <x:c r="AE137" s="34" t="n">
        <x:f>MAX(0,MIN(AE$8+1,'Fleet'!$O134)-MAX(AE$7,'Fleet'!$G134))</x:f>
        <x:v>0</x:v>
      </x:c>
      <x:c r="AF137" s="34" t="n">
        <x:f>MAX(0,MIN(AF$8+1,'Fleet'!$O134)-MAX(AF$7,'Fleet'!$G134))</x:f>
        <x:v>0</x:v>
      </x:c>
      <x:c r="AG137" s="34" t="n">
        <x:f>MAX(0,MIN(AG$8+1,'Fleet'!$O134)-MAX(AG$7,'Fleet'!$G134))</x:f>
        <x:v>0</x:v>
      </x:c>
      <x:c r="AH137" s="34" t="n">
        <x:f>MAX(0,MIN(AH$8+1,'Fleet'!$O134)-MAX(AH$7,'Fleet'!$G134))</x:f>
        <x:v>0</x:v>
      </x:c>
      <x:c r="AI137" s="34" t="n">
        <x:f>MAX(0,MIN(AI$8+1,'Fleet'!$O134)-MAX(AI$7,'Fleet'!$G134))</x:f>
        <x:v>0</x:v>
      </x:c>
      <x:c r="AJ137" s="34" t="n">
        <x:f>MAX(0,MIN(AJ$8+1,'Fleet'!$O134)-MAX(AJ$7,'Fleet'!$G134))</x:f>
        <x:v>0</x:v>
      </x:c>
      <x:c r="AK137" s="34" t="n">
        <x:f>MAX(0,MIN(AK$8+1,'Fleet'!$O134)-MAX(AK$7,'Fleet'!$G134))</x:f>
        <x:v>0</x:v>
      </x:c>
      <x:c r="AL137" s="34" t="n">
        <x:f>MAX(0,MIN(AL$8+1,'Fleet'!$O134)-MAX(AL$7,'Fleet'!$G134))</x:f>
        <x:v>0</x:v>
      </x:c>
      <x:c r="AM137" s="34" t="n">
        <x:f>MAX(0,MIN(AM$8+1,'Fleet'!$O134)-MAX(AM$7,'Fleet'!$G134))</x:f>
        <x:v>0</x:v>
      </x:c>
      <x:c r="AN137" s="34" t="n">
        <x:f>MAX(0,MIN(AN$8+1,'Fleet'!$O134)-MAX(AN$7,'Fleet'!$G134))</x:f>
        <x:v>0</x:v>
      </x:c>
      <x:c r="AO137" s="34" t="n">
        <x:f>MAX(0,MIN(AO$8+1,'Fleet'!$O134)-MAX(AO$7,'Fleet'!$G134))</x:f>
        <x:v>0</x:v>
      </x:c>
      <x:c r="AP137" s="34" t="n">
        <x:f>MAX(0,MIN(AP$8+1,'Fleet'!$O134)-MAX(AP$7,'Fleet'!$G134))</x:f>
        <x:v>0</x:v>
      </x:c>
      <x:c r="AQ137" s="34" t="n">
        <x:f>MAX(0,MIN(AQ$8+1,'Fleet'!$O134)-MAX(AQ$7,'Fleet'!$G134))</x:f>
        <x:v>0</x:v>
      </x:c>
    </x:row>
    <x:row r="138" ht="21" customHeight="1">
      <x:c r="A138" s="2"/>
      <x:c r="B138" s="2"/>
      <x:c r="C138" s="5" t="str">
        <x:f>'Fleet'!C135</x:f>
        <x:v>Ibis Bulker</x:v>
      </x:c>
      <x:c r="D138" s="5" t="str">
        <x:f>'Fleet'!D135</x:f>
        <x:v>Supramax</x:v>
      </x:c>
      <x:c r="E138" s="34" t="n">
        <x:f>MAX(0,MIN(E$8+1,'Fleet'!$O135)-MAX(E$7,'Fleet'!$G135))</x:f>
        <x:v>83</x:v>
      </x:c>
      <x:c r="F138" s="34" t="n">
        <x:f>MAX(0,MIN(F$8+1,'Fleet'!$O135)-MAX(F$7,'Fleet'!$G135))</x:f>
        <x:v>90</x:v>
      </x:c>
      <x:c r="G138" s="34" t="n">
        <x:f>MAX(0,MIN(G$8+1,'Fleet'!$O135)-MAX(G$7,'Fleet'!$G135))</x:f>
        <x:v>91</x:v>
      </x:c>
      <x:c r="H138" s="34" t="n">
        <x:f>MAX(0,MIN(H$8+1,'Fleet'!$O135)-MAX(H$7,'Fleet'!$G135))</x:f>
        <x:v>92</x:v>
      </x:c>
      <x:c r="I138" s="34" t="n">
        <x:f>MAX(0,MIN(I$8+1,'Fleet'!$O135)-MAX(I$7,'Fleet'!$G135))</x:f>
        <x:v>92</x:v>
      </x:c>
      <x:c r="J138" s="34" t="n">
        <x:f>MAX(0,MIN(J$8+1,'Fleet'!$O135)-MAX(J$7,'Fleet'!$G135))</x:f>
        <x:v>91</x:v>
      </x:c>
      <x:c r="K138" s="34" t="n">
        <x:f>MAX(0,MIN(K$8+1,'Fleet'!$O135)-MAX(K$7,'Fleet'!$G135))</x:f>
        <x:v>91</x:v>
      </x:c>
      <x:c r="L138" s="34" t="n">
        <x:f>MAX(0,MIN(L$8+1,'Fleet'!$O135)-MAX(L$7,'Fleet'!$G135))</x:f>
        <x:v>92</x:v>
      </x:c>
      <x:c r="M138" s="34" t="n">
        <x:f>MAX(0,MIN(M$8+1,'Fleet'!$O135)-MAX(M$7,'Fleet'!$G135))</x:f>
        <x:v>92</x:v>
      </x:c>
      <x:c r="N138" s="34" t="n">
        <x:f>MAX(0,MIN(N$8+1,'Fleet'!$O135)-MAX(N$7,'Fleet'!$G135))</x:f>
        <x:v>90</x:v>
      </x:c>
      <x:c r="O138" s="34" t="n">
        <x:f>MAX(0,MIN(O$8+1,'Fleet'!$O135)-MAX(O$7,'Fleet'!$G135))</x:f>
        <x:v>91</x:v>
      </x:c>
      <x:c r="P138" s="34" t="n">
        <x:f>MAX(0,MIN(P$8+1,'Fleet'!$O135)-MAX(P$7,'Fleet'!$G135))</x:f>
        <x:v>92</x:v>
      </x:c>
      <x:c r="Q138" s="34" t="n">
        <x:f>MAX(0,MIN(Q$8+1,'Fleet'!$O135)-MAX(Q$7,'Fleet'!$G135))</x:f>
        <x:v>365</x:v>
      </x:c>
      <x:c r="R138" s="34" t="n">
        <x:f>MAX(0,MIN(R$8+1,'Fleet'!$O135)-MAX(R$7,'Fleet'!$G135))</x:f>
        <x:v>365</x:v>
      </x:c>
      <x:c r="S138" s="34" t="n">
        <x:f>MAX(0,MIN(S$8+1,'Fleet'!$O135)-MAX(S$7,'Fleet'!$G135))</x:f>
        <x:v>366</x:v>
      </x:c>
      <x:c r="T138" s="34" t="n">
        <x:f>MAX(0,MIN(T$8+1,'Fleet'!$O135)-MAX(T$7,'Fleet'!$G135))</x:f>
        <x:v>365</x:v>
      </x:c>
      <x:c r="U138" s="34" t="n">
        <x:f>MAX(0,MIN(U$8+1,'Fleet'!$O135)-MAX(U$7,'Fleet'!$G135))</x:f>
        <x:v>365</x:v>
      </x:c>
      <x:c r="V138" s="34" t="n">
        <x:f>MAX(0,MIN(V$8+1,'Fleet'!$O135)-MAX(V$7,'Fleet'!$G135))</x:f>
        <x:v>273</x:v>
      </x:c>
      <x:c r="W138" s="34" t="n">
        <x:f>MAX(0,MIN(W$8+1,'Fleet'!$O135)-MAX(W$7,'Fleet'!$G135))</x:f>
        <x:v>0</x:v>
      </x:c>
      <x:c r="X138" s="34" t="n">
        <x:f>MAX(0,MIN(X$8+1,'Fleet'!$O135)-MAX(X$7,'Fleet'!$G135))</x:f>
        <x:v>0</x:v>
      </x:c>
      <x:c r="Y138" s="34" t="n">
        <x:f>MAX(0,MIN(Y$8+1,'Fleet'!$O135)-MAX(Y$7,'Fleet'!$G135))</x:f>
        <x:v>0</x:v>
      </x:c>
      <x:c r="Z138" s="34" t="n">
        <x:f>MAX(0,MIN(Z$8+1,'Fleet'!$O135)-MAX(Z$7,'Fleet'!$G135))</x:f>
        <x:v>0</x:v>
      </x:c>
      <x:c r="AA138" s="34" t="n">
        <x:f>MAX(0,MIN(AA$8+1,'Fleet'!$O135)-MAX(AA$7,'Fleet'!$G135))</x:f>
        <x:v>0</x:v>
      </x:c>
      <x:c r="AB138" s="34" t="n">
        <x:f>MAX(0,MIN(AB$8+1,'Fleet'!$O135)-MAX(AB$7,'Fleet'!$G135))</x:f>
        <x:v>0</x:v>
      </x:c>
      <x:c r="AC138" s="34" t="n">
        <x:f>MAX(0,MIN(AC$8+1,'Fleet'!$O135)-MAX(AC$7,'Fleet'!$G135))</x:f>
        <x:v>0</x:v>
      </x:c>
      <x:c r="AD138" s="34" t="n">
        <x:f>MAX(0,MIN(AD$8+1,'Fleet'!$O135)-MAX(AD$7,'Fleet'!$G135))</x:f>
        <x:v>0</x:v>
      </x:c>
      <x:c r="AE138" s="34" t="n">
        <x:f>MAX(0,MIN(AE$8+1,'Fleet'!$O135)-MAX(AE$7,'Fleet'!$G135))</x:f>
        <x:v>0</x:v>
      </x:c>
      <x:c r="AF138" s="34" t="n">
        <x:f>MAX(0,MIN(AF$8+1,'Fleet'!$O135)-MAX(AF$7,'Fleet'!$G135))</x:f>
        <x:v>0</x:v>
      </x:c>
      <x:c r="AG138" s="34" t="n">
        <x:f>MAX(0,MIN(AG$8+1,'Fleet'!$O135)-MAX(AG$7,'Fleet'!$G135))</x:f>
        <x:v>0</x:v>
      </x:c>
      <x:c r="AH138" s="34" t="n">
        <x:f>MAX(0,MIN(AH$8+1,'Fleet'!$O135)-MAX(AH$7,'Fleet'!$G135))</x:f>
        <x:v>0</x:v>
      </x:c>
      <x:c r="AI138" s="34" t="n">
        <x:f>MAX(0,MIN(AI$8+1,'Fleet'!$O135)-MAX(AI$7,'Fleet'!$G135))</x:f>
        <x:v>0</x:v>
      </x:c>
      <x:c r="AJ138" s="34" t="n">
        <x:f>MAX(0,MIN(AJ$8+1,'Fleet'!$O135)-MAX(AJ$7,'Fleet'!$G135))</x:f>
        <x:v>0</x:v>
      </x:c>
      <x:c r="AK138" s="34" t="n">
        <x:f>MAX(0,MIN(AK$8+1,'Fleet'!$O135)-MAX(AK$7,'Fleet'!$G135))</x:f>
        <x:v>0</x:v>
      </x:c>
      <x:c r="AL138" s="34" t="n">
        <x:f>MAX(0,MIN(AL$8+1,'Fleet'!$O135)-MAX(AL$7,'Fleet'!$G135))</x:f>
        <x:v>0</x:v>
      </x:c>
      <x:c r="AM138" s="34" t="n">
        <x:f>MAX(0,MIN(AM$8+1,'Fleet'!$O135)-MAX(AM$7,'Fleet'!$G135))</x:f>
        <x:v>0</x:v>
      </x:c>
      <x:c r="AN138" s="34" t="n">
        <x:f>MAX(0,MIN(AN$8+1,'Fleet'!$O135)-MAX(AN$7,'Fleet'!$G135))</x:f>
        <x:v>0</x:v>
      </x:c>
      <x:c r="AO138" s="34" t="n">
        <x:f>MAX(0,MIN(AO$8+1,'Fleet'!$O135)-MAX(AO$7,'Fleet'!$G135))</x:f>
        <x:v>0</x:v>
      </x:c>
      <x:c r="AP138" s="34" t="n">
        <x:f>MAX(0,MIN(AP$8+1,'Fleet'!$O135)-MAX(AP$7,'Fleet'!$G135))</x:f>
        <x:v>0</x:v>
      </x:c>
      <x:c r="AQ138" s="34" t="n">
        <x:f>MAX(0,MIN(AQ$8+1,'Fleet'!$O135)-MAX(AQ$7,'Fleet'!$G135))</x:f>
        <x:v>0</x:v>
      </x:c>
    </x:row>
    <x:row r="139" ht="21" customHeight="1">
      <x:c r="A139" s="2"/>
      <x:c r="B139" s="2"/>
      <x:c r="C139" s="5" t="str">
        <x:f>'Fleet'!C136</x:f>
        <x:v>Jay</x:v>
      </x:c>
      <x:c r="D139" s="5" t="str">
        <x:f>'Fleet'!D136</x:f>
        <x:v>Supramax</x:v>
      </x:c>
      <x:c r="E139" s="34" t="n">
        <x:f>MAX(0,MIN(E$8+1,'Fleet'!$O136)-MAX(E$7,'Fleet'!$G136))</x:f>
        <x:v>83</x:v>
      </x:c>
      <x:c r="F139" s="34" t="n">
        <x:f>MAX(0,MIN(F$8+1,'Fleet'!$O136)-MAX(F$7,'Fleet'!$G136))</x:f>
        <x:v>90</x:v>
      </x:c>
      <x:c r="G139" s="34" t="n">
        <x:f>MAX(0,MIN(G$8+1,'Fleet'!$O136)-MAX(G$7,'Fleet'!$G136))</x:f>
        <x:v>91</x:v>
      </x:c>
      <x:c r="H139" s="34" t="n">
        <x:f>MAX(0,MIN(H$8+1,'Fleet'!$O136)-MAX(H$7,'Fleet'!$G136))</x:f>
        <x:v>92</x:v>
      </x:c>
      <x:c r="I139" s="34" t="n">
        <x:f>MAX(0,MIN(I$8+1,'Fleet'!$O136)-MAX(I$7,'Fleet'!$G136))</x:f>
        <x:v>92</x:v>
      </x:c>
      <x:c r="J139" s="34" t="n">
        <x:f>MAX(0,MIN(J$8+1,'Fleet'!$O136)-MAX(J$7,'Fleet'!$G136))</x:f>
        <x:v>91</x:v>
      </x:c>
      <x:c r="K139" s="34" t="n">
        <x:f>MAX(0,MIN(K$8+1,'Fleet'!$O136)-MAX(K$7,'Fleet'!$G136))</x:f>
        <x:v>91</x:v>
      </x:c>
      <x:c r="L139" s="34" t="n">
        <x:f>MAX(0,MIN(L$8+1,'Fleet'!$O136)-MAX(L$7,'Fleet'!$G136))</x:f>
        <x:v>92</x:v>
      </x:c>
      <x:c r="M139" s="34" t="n">
        <x:f>MAX(0,MIN(M$8+1,'Fleet'!$O136)-MAX(M$7,'Fleet'!$G136))</x:f>
        <x:v>92</x:v>
      </x:c>
      <x:c r="N139" s="34" t="n">
        <x:f>MAX(0,MIN(N$8+1,'Fleet'!$O136)-MAX(N$7,'Fleet'!$G136))</x:f>
        <x:v>90</x:v>
      </x:c>
      <x:c r="O139" s="34" t="n">
        <x:f>MAX(0,MIN(O$8+1,'Fleet'!$O136)-MAX(O$7,'Fleet'!$G136))</x:f>
        <x:v>91</x:v>
      </x:c>
      <x:c r="P139" s="34" t="n">
        <x:f>MAX(0,MIN(P$8+1,'Fleet'!$O136)-MAX(P$7,'Fleet'!$G136))</x:f>
        <x:v>92</x:v>
      </x:c>
      <x:c r="Q139" s="34" t="n">
        <x:f>MAX(0,MIN(Q$8+1,'Fleet'!$O136)-MAX(Q$7,'Fleet'!$G136))</x:f>
        <x:v>365</x:v>
      </x:c>
      <x:c r="R139" s="34" t="n">
        <x:f>MAX(0,MIN(R$8+1,'Fleet'!$O136)-MAX(R$7,'Fleet'!$G136))</x:f>
        <x:v>365</x:v>
      </x:c>
      <x:c r="S139" s="34" t="n">
        <x:f>MAX(0,MIN(S$8+1,'Fleet'!$O136)-MAX(S$7,'Fleet'!$G136))</x:f>
        <x:v>366</x:v>
      </x:c>
      <x:c r="T139" s="34" t="n">
        <x:f>MAX(0,MIN(T$8+1,'Fleet'!$O136)-MAX(T$7,'Fleet'!$G136))</x:f>
        <x:v>365</x:v>
      </x:c>
      <x:c r="U139" s="34" t="n">
        <x:f>MAX(0,MIN(U$8+1,'Fleet'!$O136)-MAX(U$7,'Fleet'!$G136))</x:f>
        <x:v>365</x:v>
      </x:c>
      <x:c r="V139" s="34" t="n">
        <x:f>MAX(0,MIN(V$8+1,'Fleet'!$O136)-MAX(V$7,'Fleet'!$G136))</x:f>
        <x:v>273</x:v>
      </x:c>
      <x:c r="W139" s="34" t="n">
        <x:f>MAX(0,MIN(W$8+1,'Fleet'!$O136)-MAX(W$7,'Fleet'!$G136))</x:f>
        <x:v>0</x:v>
      </x:c>
      <x:c r="X139" s="34" t="n">
        <x:f>MAX(0,MIN(X$8+1,'Fleet'!$O136)-MAX(X$7,'Fleet'!$G136))</x:f>
        <x:v>0</x:v>
      </x:c>
      <x:c r="Y139" s="34" t="n">
        <x:f>MAX(0,MIN(Y$8+1,'Fleet'!$O136)-MAX(Y$7,'Fleet'!$G136))</x:f>
        <x:v>0</x:v>
      </x:c>
      <x:c r="Z139" s="34" t="n">
        <x:f>MAX(0,MIN(Z$8+1,'Fleet'!$O136)-MAX(Z$7,'Fleet'!$G136))</x:f>
        <x:v>0</x:v>
      </x:c>
      <x:c r="AA139" s="34" t="n">
        <x:f>MAX(0,MIN(AA$8+1,'Fleet'!$O136)-MAX(AA$7,'Fleet'!$G136))</x:f>
        <x:v>0</x:v>
      </x:c>
      <x:c r="AB139" s="34" t="n">
        <x:f>MAX(0,MIN(AB$8+1,'Fleet'!$O136)-MAX(AB$7,'Fleet'!$G136))</x:f>
        <x:v>0</x:v>
      </x:c>
      <x:c r="AC139" s="34" t="n">
        <x:f>MAX(0,MIN(AC$8+1,'Fleet'!$O136)-MAX(AC$7,'Fleet'!$G136))</x:f>
        <x:v>0</x:v>
      </x:c>
      <x:c r="AD139" s="34" t="n">
        <x:f>MAX(0,MIN(AD$8+1,'Fleet'!$O136)-MAX(AD$7,'Fleet'!$G136))</x:f>
        <x:v>0</x:v>
      </x:c>
      <x:c r="AE139" s="34" t="n">
        <x:f>MAX(0,MIN(AE$8+1,'Fleet'!$O136)-MAX(AE$7,'Fleet'!$G136))</x:f>
        <x:v>0</x:v>
      </x:c>
      <x:c r="AF139" s="34" t="n">
        <x:f>MAX(0,MIN(AF$8+1,'Fleet'!$O136)-MAX(AF$7,'Fleet'!$G136))</x:f>
        <x:v>0</x:v>
      </x:c>
      <x:c r="AG139" s="34" t="n">
        <x:f>MAX(0,MIN(AG$8+1,'Fleet'!$O136)-MAX(AG$7,'Fleet'!$G136))</x:f>
        <x:v>0</x:v>
      </x:c>
      <x:c r="AH139" s="34" t="n">
        <x:f>MAX(0,MIN(AH$8+1,'Fleet'!$O136)-MAX(AH$7,'Fleet'!$G136))</x:f>
        <x:v>0</x:v>
      </x:c>
      <x:c r="AI139" s="34" t="n">
        <x:f>MAX(0,MIN(AI$8+1,'Fleet'!$O136)-MAX(AI$7,'Fleet'!$G136))</x:f>
        <x:v>0</x:v>
      </x:c>
      <x:c r="AJ139" s="34" t="n">
        <x:f>MAX(0,MIN(AJ$8+1,'Fleet'!$O136)-MAX(AJ$7,'Fleet'!$G136))</x:f>
        <x:v>0</x:v>
      </x:c>
      <x:c r="AK139" s="34" t="n">
        <x:f>MAX(0,MIN(AK$8+1,'Fleet'!$O136)-MAX(AK$7,'Fleet'!$G136))</x:f>
        <x:v>0</x:v>
      </x:c>
      <x:c r="AL139" s="34" t="n">
        <x:f>MAX(0,MIN(AL$8+1,'Fleet'!$O136)-MAX(AL$7,'Fleet'!$G136))</x:f>
        <x:v>0</x:v>
      </x:c>
      <x:c r="AM139" s="34" t="n">
        <x:f>MAX(0,MIN(AM$8+1,'Fleet'!$O136)-MAX(AM$7,'Fleet'!$G136))</x:f>
        <x:v>0</x:v>
      </x:c>
      <x:c r="AN139" s="34" t="n">
        <x:f>MAX(0,MIN(AN$8+1,'Fleet'!$O136)-MAX(AN$7,'Fleet'!$G136))</x:f>
        <x:v>0</x:v>
      </x:c>
      <x:c r="AO139" s="34" t="n">
        <x:f>MAX(0,MIN(AO$8+1,'Fleet'!$O136)-MAX(AO$7,'Fleet'!$G136))</x:f>
        <x:v>0</x:v>
      </x:c>
      <x:c r="AP139" s="34" t="n">
        <x:f>MAX(0,MIN(AP$8+1,'Fleet'!$O136)-MAX(AP$7,'Fleet'!$G136))</x:f>
        <x:v>0</x:v>
      </x:c>
      <x:c r="AQ139" s="34" t="n">
        <x:f>MAX(0,MIN(AQ$8+1,'Fleet'!$O136)-MAX(AQ$7,'Fleet'!$G136))</x:f>
        <x:v>0</x:v>
      </x:c>
    </x:row>
    <x:row r="140" ht="21" customHeight="1">
      <x:c r="A140" s="2"/>
      <x:c r="B140" s="2"/>
      <x:c r="C140" s="5" t="str">
        <x:f>'Fleet'!C137</x:f>
        <x:v>Kingfisher</x:v>
      </x:c>
      <x:c r="D140" s="5" t="str">
        <x:f>'Fleet'!D137</x:f>
        <x:v>Supramax</x:v>
      </x:c>
      <x:c r="E140" s="34" t="n">
        <x:f>MAX(0,MIN(E$8+1,'Fleet'!$O137)-MAX(E$7,'Fleet'!$G137))</x:f>
        <x:v>83</x:v>
      </x:c>
      <x:c r="F140" s="34" t="n">
        <x:f>MAX(0,MIN(F$8+1,'Fleet'!$O137)-MAX(F$7,'Fleet'!$G137))</x:f>
        <x:v>90</x:v>
      </x:c>
      <x:c r="G140" s="34" t="n">
        <x:f>MAX(0,MIN(G$8+1,'Fleet'!$O137)-MAX(G$7,'Fleet'!$G137))</x:f>
        <x:v>91</x:v>
      </x:c>
      <x:c r="H140" s="34" t="n">
        <x:f>MAX(0,MIN(H$8+1,'Fleet'!$O137)-MAX(H$7,'Fleet'!$G137))</x:f>
        <x:v>92</x:v>
      </x:c>
      <x:c r="I140" s="34" t="n">
        <x:f>MAX(0,MIN(I$8+1,'Fleet'!$O137)-MAX(I$7,'Fleet'!$G137))</x:f>
        <x:v>92</x:v>
      </x:c>
      <x:c r="J140" s="34" t="n">
        <x:f>MAX(0,MIN(J$8+1,'Fleet'!$O137)-MAX(J$7,'Fleet'!$G137))</x:f>
        <x:v>91</x:v>
      </x:c>
      <x:c r="K140" s="34" t="n">
        <x:f>MAX(0,MIN(K$8+1,'Fleet'!$O137)-MAX(K$7,'Fleet'!$G137))</x:f>
        <x:v>91</x:v>
      </x:c>
      <x:c r="L140" s="34" t="n">
        <x:f>MAX(0,MIN(L$8+1,'Fleet'!$O137)-MAX(L$7,'Fleet'!$G137))</x:f>
        <x:v>92</x:v>
      </x:c>
      <x:c r="M140" s="34" t="n">
        <x:f>MAX(0,MIN(M$8+1,'Fleet'!$O137)-MAX(M$7,'Fleet'!$G137))</x:f>
        <x:v>92</x:v>
      </x:c>
      <x:c r="N140" s="34" t="n">
        <x:f>MAX(0,MIN(N$8+1,'Fleet'!$O137)-MAX(N$7,'Fleet'!$G137))</x:f>
        <x:v>90</x:v>
      </x:c>
      <x:c r="O140" s="34" t="n">
        <x:f>MAX(0,MIN(O$8+1,'Fleet'!$O137)-MAX(O$7,'Fleet'!$G137))</x:f>
        <x:v>91</x:v>
      </x:c>
      <x:c r="P140" s="34" t="n">
        <x:f>MAX(0,MIN(P$8+1,'Fleet'!$O137)-MAX(P$7,'Fleet'!$G137))</x:f>
        <x:v>92</x:v>
      </x:c>
      <x:c r="Q140" s="34" t="n">
        <x:f>MAX(0,MIN(Q$8+1,'Fleet'!$O137)-MAX(Q$7,'Fleet'!$G137))</x:f>
        <x:v>365</x:v>
      </x:c>
      <x:c r="R140" s="34" t="n">
        <x:f>MAX(0,MIN(R$8+1,'Fleet'!$O137)-MAX(R$7,'Fleet'!$G137))</x:f>
        <x:v>365</x:v>
      </x:c>
      <x:c r="S140" s="34" t="n">
        <x:f>MAX(0,MIN(S$8+1,'Fleet'!$O137)-MAX(S$7,'Fleet'!$G137))</x:f>
        <x:v>366</x:v>
      </x:c>
      <x:c r="T140" s="34" t="n">
        <x:f>MAX(0,MIN(T$8+1,'Fleet'!$O137)-MAX(T$7,'Fleet'!$G137))</x:f>
        <x:v>365</x:v>
      </x:c>
      <x:c r="U140" s="34" t="n">
        <x:f>MAX(0,MIN(U$8+1,'Fleet'!$O137)-MAX(U$7,'Fleet'!$G137))</x:f>
        <x:v>365</x:v>
      </x:c>
      <x:c r="V140" s="34" t="n">
        <x:f>MAX(0,MIN(V$8+1,'Fleet'!$O137)-MAX(V$7,'Fleet'!$G137))</x:f>
        <x:v>273</x:v>
      </x:c>
      <x:c r="W140" s="34" t="n">
        <x:f>MAX(0,MIN(W$8+1,'Fleet'!$O137)-MAX(W$7,'Fleet'!$G137))</x:f>
        <x:v>0</x:v>
      </x:c>
      <x:c r="X140" s="34" t="n">
        <x:f>MAX(0,MIN(X$8+1,'Fleet'!$O137)-MAX(X$7,'Fleet'!$G137))</x:f>
        <x:v>0</x:v>
      </x:c>
      <x:c r="Y140" s="34" t="n">
        <x:f>MAX(0,MIN(Y$8+1,'Fleet'!$O137)-MAX(Y$7,'Fleet'!$G137))</x:f>
        <x:v>0</x:v>
      </x:c>
      <x:c r="Z140" s="34" t="n">
        <x:f>MAX(0,MIN(Z$8+1,'Fleet'!$O137)-MAX(Z$7,'Fleet'!$G137))</x:f>
        <x:v>0</x:v>
      </x:c>
      <x:c r="AA140" s="34" t="n">
        <x:f>MAX(0,MIN(AA$8+1,'Fleet'!$O137)-MAX(AA$7,'Fleet'!$G137))</x:f>
        <x:v>0</x:v>
      </x:c>
      <x:c r="AB140" s="34" t="n">
        <x:f>MAX(0,MIN(AB$8+1,'Fleet'!$O137)-MAX(AB$7,'Fleet'!$G137))</x:f>
        <x:v>0</x:v>
      </x:c>
      <x:c r="AC140" s="34" t="n">
        <x:f>MAX(0,MIN(AC$8+1,'Fleet'!$O137)-MAX(AC$7,'Fleet'!$G137))</x:f>
        <x:v>0</x:v>
      </x:c>
      <x:c r="AD140" s="34" t="n">
        <x:f>MAX(0,MIN(AD$8+1,'Fleet'!$O137)-MAX(AD$7,'Fleet'!$G137))</x:f>
        <x:v>0</x:v>
      </x:c>
      <x:c r="AE140" s="34" t="n">
        <x:f>MAX(0,MIN(AE$8+1,'Fleet'!$O137)-MAX(AE$7,'Fleet'!$G137))</x:f>
        <x:v>0</x:v>
      </x:c>
      <x:c r="AF140" s="34" t="n">
        <x:f>MAX(0,MIN(AF$8+1,'Fleet'!$O137)-MAX(AF$7,'Fleet'!$G137))</x:f>
        <x:v>0</x:v>
      </x:c>
      <x:c r="AG140" s="34" t="n">
        <x:f>MAX(0,MIN(AG$8+1,'Fleet'!$O137)-MAX(AG$7,'Fleet'!$G137))</x:f>
        <x:v>0</x:v>
      </x:c>
      <x:c r="AH140" s="34" t="n">
        <x:f>MAX(0,MIN(AH$8+1,'Fleet'!$O137)-MAX(AH$7,'Fleet'!$G137))</x:f>
        <x:v>0</x:v>
      </x:c>
      <x:c r="AI140" s="34" t="n">
        <x:f>MAX(0,MIN(AI$8+1,'Fleet'!$O137)-MAX(AI$7,'Fleet'!$G137))</x:f>
        <x:v>0</x:v>
      </x:c>
      <x:c r="AJ140" s="34" t="n">
        <x:f>MAX(0,MIN(AJ$8+1,'Fleet'!$O137)-MAX(AJ$7,'Fleet'!$G137))</x:f>
        <x:v>0</x:v>
      </x:c>
      <x:c r="AK140" s="34" t="n">
        <x:f>MAX(0,MIN(AK$8+1,'Fleet'!$O137)-MAX(AK$7,'Fleet'!$G137))</x:f>
        <x:v>0</x:v>
      </x:c>
      <x:c r="AL140" s="34" t="n">
        <x:f>MAX(0,MIN(AL$8+1,'Fleet'!$O137)-MAX(AL$7,'Fleet'!$G137))</x:f>
        <x:v>0</x:v>
      </x:c>
      <x:c r="AM140" s="34" t="n">
        <x:f>MAX(0,MIN(AM$8+1,'Fleet'!$O137)-MAX(AM$7,'Fleet'!$G137))</x:f>
        <x:v>0</x:v>
      </x:c>
      <x:c r="AN140" s="34" t="n">
        <x:f>MAX(0,MIN(AN$8+1,'Fleet'!$O137)-MAX(AN$7,'Fleet'!$G137))</x:f>
        <x:v>0</x:v>
      </x:c>
      <x:c r="AO140" s="34" t="n">
        <x:f>MAX(0,MIN(AO$8+1,'Fleet'!$O137)-MAX(AO$7,'Fleet'!$G137))</x:f>
        <x:v>0</x:v>
      </x:c>
      <x:c r="AP140" s="34" t="n">
        <x:f>MAX(0,MIN(AP$8+1,'Fleet'!$O137)-MAX(AP$7,'Fleet'!$G137))</x:f>
        <x:v>0</x:v>
      </x:c>
      <x:c r="AQ140" s="34" t="n">
        <x:f>MAX(0,MIN(AQ$8+1,'Fleet'!$O137)-MAX(AQ$7,'Fleet'!$G137))</x:f>
        <x:v>0</x:v>
      </x:c>
    </x:row>
    <x:row r="141" ht="21" customHeight="1">
      <x:c r="A141" s="2"/>
      <x:c r="B141" s="2"/>
      <x:c r="C141" s="5" t="str">
        <x:f>'Fleet'!C138</x:f>
        <x:v>Martin</x:v>
      </x:c>
      <x:c r="D141" s="5" t="str">
        <x:f>'Fleet'!D138</x:f>
        <x:v>Supramax</x:v>
      </x:c>
      <x:c r="E141" s="34" t="n">
        <x:f>MAX(0,MIN(E$8+1,'Fleet'!$O138)-MAX(E$7,'Fleet'!$G138))</x:f>
        <x:v>83</x:v>
      </x:c>
      <x:c r="F141" s="34" t="n">
        <x:f>MAX(0,MIN(F$8+1,'Fleet'!$O138)-MAX(F$7,'Fleet'!$G138))</x:f>
        <x:v>90</x:v>
      </x:c>
      <x:c r="G141" s="34" t="n">
        <x:f>MAX(0,MIN(G$8+1,'Fleet'!$O138)-MAX(G$7,'Fleet'!$G138))</x:f>
        <x:v>91</x:v>
      </x:c>
      <x:c r="H141" s="34" t="n">
        <x:f>MAX(0,MIN(H$8+1,'Fleet'!$O138)-MAX(H$7,'Fleet'!$G138))</x:f>
        <x:v>92</x:v>
      </x:c>
      <x:c r="I141" s="34" t="n">
        <x:f>MAX(0,MIN(I$8+1,'Fleet'!$O138)-MAX(I$7,'Fleet'!$G138))</x:f>
        <x:v>92</x:v>
      </x:c>
      <x:c r="J141" s="34" t="n">
        <x:f>MAX(0,MIN(J$8+1,'Fleet'!$O138)-MAX(J$7,'Fleet'!$G138))</x:f>
        <x:v>91</x:v>
      </x:c>
      <x:c r="K141" s="34" t="n">
        <x:f>MAX(0,MIN(K$8+1,'Fleet'!$O138)-MAX(K$7,'Fleet'!$G138))</x:f>
        <x:v>91</x:v>
      </x:c>
      <x:c r="L141" s="34" t="n">
        <x:f>MAX(0,MIN(L$8+1,'Fleet'!$O138)-MAX(L$7,'Fleet'!$G138))</x:f>
        <x:v>92</x:v>
      </x:c>
      <x:c r="M141" s="34" t="n">
        <x:f>MAX(0,MIN(M$8+1,'Fleet'!$O138)-MAX(M$7,'Fleet'!$G138))</x:f>
        <x:v>92</x:v>
      </x:c>
      <x:c r="N141" s="34" t="n">
        <x:f>MAX(0,MIN(N$8+1,'Fleet'!$O138)-MAX(N$7,'Fleet'!$G138))</x:f>
        <x:v>90</x:v>
      </x:c>
      <x:c r="O141" s="34" t="n">
        <x:f>MAX(0,MIN(O$8+1,'Fleet'!$O138)-MAX(O$7,'Fleet'!$G138))</x:f>
        <x:v>91</x:v>
      </x:c>
      <x:c r="P141" s="34" t="n">
        <x:f>MAX(0,MIN(P$8+1,'Fleet'!$O138)-MAX(P$7,'Fleet'!$G138))</x:f>
        <x:v>92</x:v>
      </x:c>
      <x:c r="Q141" s="34" t="n">
        <x:f>MAX(0,MIN(Q$8+1,'Fleet'!$O138)-MAX(Q$7,'Fleet'!$G138))</x:f>
        <x:v>365</x:v>
      </x:c>
      <x:c r="R141" s="34" t="n">
        <x:f>MAX(0,MIN(R$8+1,'Fleet'!$O138)-MAX(R$7,'Fleet'!$G138))</x:f>
        <x:v>365</x:v>
      </x:c>
      <x:c r="S141" s="34" t="n">
        <x:f>MAX(0,MIN(S$8+1,'Fleet'!$O138)-MAX(S$7,'Fleet'!$G138))</x:f>
        <x:v>366</x:v>
      </x:c>
      <x:c r="T141" s="34" t="n">
        <x:f>MAX(0,MIN(T$8+1,'Fleet'!$O138)-MAX(T$7,'Fleet'!$G138))</x:f>
        <x:v>365</x:v>
      </x:c>
      <x:c r="U141" s="34" t="n">
        <x:f>MAX(0,MIN(U$8+1,'Fleet'!$O138)-MAX(U$7,'Fleet'!$G138))</x:f>
        <x:v>365</x:v>
      </x:c>
      <x:c r="V141" s="34" t="n">
        <x:f>MAX(0,MIN(V$8+1,'Fleet'!$O138)-MAX(V$7,'Fleet'!$G138))</x:f>
        <x:v>273</x:v>
      </x:c>
      <x:c r="W141" s="34" t="n">
        <x:f>MAX(0,MIN(W$8+1,'Fleet'!$O138)-MAX(W$7,'Fleet'!$G138))</x:f>
        <x:v>0</x:v>
      </x:c>
      <x:c r="X141" s="34" t="n">
        <x:f>MAX(0,MIN(X$8+1,'Fleet'!$O138)-MAX(X$7,'Fleet'!$G138))</x:f>
        <x:v>0</x:v>
      </x:c>
      <x:c r="Y141" s="34" t="n">
        <x:f>MAX(0,MIN(Y$8+1,'Fleet'!$O138)-MAX(Y$7,'Fleet'!$G138))</x:f>
        <x:v>0</x:v>
      </x:c>
      <x:c r="Z141" s="34" t="n">
        <x:f>MAX(0,MIN(Z$8+1,'Fleet'!$O138)-MAX(Z$7,'Fleet'!$G138))</x:f>
        <x:v>0</x:v>
      </x:c>
      <x:c r="AA141" s="34" t="n">
        <x:f>MAX(0,MIN(AA$8+1,'Fleet'!$O138)-MAX(AA$7,'Fleet'!$G138))</x:f>
        <x:v>0</x:v>
      </x:c>
      <x:c r="AB141" s="34" t="n">
        <x:f>MAX(0,MIN(AB$8+1,'Fleet'!$O138)-MAX(AB$7,'Fleet'!$G138))</x:f>
        <x:v>0</x:v>
      </x:c>
      <x:c r="AC141" s="34" t="n">
        <x:f>MAX(0,MIN(AC$8+1,'Fleet'!$O138)-MAX(AC$7,'Fleet'!$G138))</x:f>
        <x:v>0</x:v>
      </x:c>
      <x:c r="AD141" s="34" t="n">
        <x:f>MAX(0,MIN(AD$8+1,'Fleet'!$O138)-MAX(AD$7,'Fleet'!$G138))</x:f>
        <x:v>0</x:v>
      </x:c>
      <x:c r="AE141" s="34" t="n">
        <x:f>MAX(0,MIN(AE$8+1,'Fleet'!$O138)-MAX(AE$7,'Fleet'!$G138))</x:f>
        <x:v>0</x:v>
      </x:c>
      <x:c r="AF141" s="34" t="n">
        <x:f>MAX(0,MIN(AF$8+1,'Fleet'!$O138)-MAX(AF$7,'Fleet'!$G138))</x:f>
        <x:v>0</x:v>
      </x:c>
      <x:c r="AG141" s="34" t="n">
        <x:f>MAX(0,MIN(AG$8+1,'Fleet'!$O138)-MAX(AG$7,'Fleet'!$G138))</x:f>
        <x:v>0</x:v>
      </x:c>
      <x:c r="AH141" s="34" t="n">
        <x:f>MAX(0,MIN(AH$8+1,'Fleet'!$O138)-MAX(AH$7,'Fleet'!$G138))</x:f>
        <x:v>0</x:v>
      </x:c>
      <x:c r="AI141" s="34" t="n">
        <x:f>MAX(0,MIN(AI$8+1,'Fleet'!$O138)-MAX(AI$7,'Fleet'!$G138))</x:f>
        <x:v>0</x:v>
      </x:c>
      <x:c r="AJ141" s="34" t="n">
        <x:f>MAX(0,MIN(AJ$8+1,'Fleet'!$O138)-MAX(AJ$7,'Fleet'!$G138))</x:f>
        <x:v>0</x:v>
      </x:c>
      <x:c r="AK141" s="34" t="n">
        <x:f>MAX(0,MIN(AK$8+1,'Fleet'!$O138)-MAX(AK$7,'Fleet'!$G138))</x:f>
        <x:v>0</x:v>
      </x:c>
      <x:c r="AL141" s="34" t="n">
        <x:f>MAX(0,MIN(AL$8+1,'Fleet'!$O138)-MAX(AL$7,'Fleet'!$G138))</x:f>
        <x:v>0</x:v>
      </x:c>
      <x:c r="AM141" s="34" t="n">
        <x:f>MAX(0,MIN(AM$8+1,'Fleet'!$O138)-MAX(AM$7,'Fleet'!$G138))</x:f>
        <x:v>0</x:v>
      </x:c>
      <x:c r="AN141" s="34" t="n">
        <x:f>MAX(0,MIN(AN$8+1,'Fleet'!$O138)-MAX(AN$7,'Fleet'!$G138))</x:f>
        <x:v>0</x:v>
      </x:c>
      <x:c r="AO141" s="34" t="n">
        <x:f>MAX(0,MIN(AO$8+1,'Fleet'!$O138)-MAX(AO$7,'Fleet'!$G138))</x:f>
        <x:v>0</x:v>
      </x:c>
      <x:c r="AP141" s="34" t="n">
        <x:f>MAX(0,MIN(AP$8+1,'Fleet'!$O138)-MAX(AP$7,'Fleet'!$G138))</x:f>
        <x:v>0</x:v>
      </x:c>
      <x:c r="AQ141" s="34" t="n">
        <x:f>MAX(0,MIN(AQ$8+1,'Fleet'!$O138)-MAX(AQ$7,'Fleet'!$G138))</x:f>
        <x:v>0</x:v>
      </x:c>
    </x:row>
    <x:row r="142" ht="21" customHeight="1">
      <x:c r="A142" s="2"/>
      <x:c r="B142" s="2"/>
      <x:c r="C142" s="5" t="str">
        <x:f>'Fleet'!C139</x:f>
        <x:v>Star Cleo</x:v>
      </x:c>
      <x:c r="D142" s="5" t="str">
        <x:f>'Fleet'!D139</x:f>
        <x:v>Supramax</x:v>
      </x:c>
      <x:c r="E142" s="34" t="n">
        <x:f>MAX(0,MIN(E$8+1,'Fleet'!$O139)-MAX(E$7,'Fleet'!$G139))</x:f>
        <x:v>83</x:v>
      </x:c>
      <x:c r="F142" s="34" t="n">
        <x:f>MAX(0,MIN(F$8+1,'Fleet'!$O139)-MAX(F$7,'Fleet'!$G139))</x:f>
        <x:v>90</x:v>
      </x:c>
      <x:c r="G142" s="34" t="n">
        <x:f>MAX(0,MIN(G$8+1,'Fleet'!$O139)-MAX(G$7,'Fleet'!$G139))</x:f>
        <x:v>91</x:v>
      </x:c>
      <x:c r="H142" s="34" t="n">
        <x:f>MAX(0,MIN(H$8+1,'Fleet'!$O139)-MAX(H$7,'Fleet'!$G139))</x:f>
        <x:v>92</x:v>
      </x:c>
      <x:c r="I142" s="34" t="n">
        <x:f>MAX(0,MIN(I$8+1,'Fleet'!$O139)-MAX(I$7,'Fleet'!$G139))</x:f>
        <x:v>92</x:v>
      </x:c>
      <x:c r="J142" s="34" t="n">
        <x:f>MAX(0,MIN(J$8+1,'Fleet'!$O139)-MAX(J$7,'Fleet'!$G139))</x:f>
        <x:v>91</x:v>
      </x:c>
      <x:c r="K142" s="34" t="n">
        <x:f>MAX(0,MIN(K$8+1,'Fleet'!$O139)-MAX(K$7,'Fleet'!$G139))</x:f>
        <x:v>91</x:v>
      </x:c>
      <x:c r="L142" s="34" t="n">
        <x:f>MAX(0,MIN(L$8+1,'Fleet'!$O139)-MAX(L$7,'Fleet'!$G139))</x:f>
        <x:v>92</x:v>
      </x:c>
      <x:c r="M142" s="34" t="n">
        <x:f>MAX(0,MIN(M$8+1,'Fleet'!$O139)-MAX(M$7,'Fleet'!$G139))</x:f>
        <x:v>92</x:v>
      </x:c>
      <x:c r="N142" s="34" t="n">
        <x:f>MAX(0,MIN(N$8+1,'Fleet'!$O139)-MAX(N$7,'Fleet'!$G139))</x:f>
        <x:v>90</x:v>
      </x:c>
      <x:c r="O142" s="34" t="n">
        <x:f>MAX(0,MIN(O$8+1,'Fleet'!$O139)-MAX(O$7,'Fleet'!$G139))</x:f>
        <x:v>91</x:v>
      </x:c>
      <x:c r="P142" s="34" t="n">
        <x:f>MAX(0,MIN(P$8+1,'Fleet'!$O139)-MAX(P$7,'Fleet'!$G139))</x:f>
        <x:v>92</x:v>
      </x:c>
      <x:c r="Q142" s="34" t="n">
        <x:f>MAX(0,MIN(Q$8+1,'Fleet'!$O139)-MAX(Q$7,'Fleet'!$G139))</x:f>
        <x:v>365</x:v>
      </x:c>
      <x:c r="R142" s="34" t="n">
        <x:f>MAX(0,MIN(R$8+1,'Fleet'!$O139)-MAX(R$7,'Fleet'!$G139))</x:f>
        <x:v>365</x:v>
      </x:c>
      <x:c r="S142" s="34" t="n">
        <x:f>MAX(0,MIN(S$8+1,'Fleet'!$O139)-MAX(S$7,'Fleet'!$G139))</x:f>
        <x:v>366</x:v>
      </x:c>
      <x:c r="T142" s="34" t="n">
        <x:f>MAX(0,MIN(T$8+1,'Fleet'!$O139)-MAX(T$7,'Fleet'!$G139))</x:f>
        <x:v>365</x:v>
      </x:c>
      <x:c r="U142" s="34" t="n">
        <x:f>MAX(0,MIN(U$8+1,'Fleet'!$O139)-MAX(U$7,'Fleet'!$G139))</x:f>
        <x:v>365</x:v>
      </x:c>
      <x:c r="V142" s="34" t="n">
        <x:f>MAX(0,MIN(V$8+1,'Fleet'!$O139)-MAX(V$7,'Fleet'!$G139))</x:f>
        <x:v>365</x:v>
      </x:c>
      <x:c r="W142" s="34" t="n">
        <x:f>MAX(0,MIN(W$8+1,'Fleet'!$O139)-MAX(W$7,'Fleet'!$G139))</x:f>
        <x:v>366</x:v>
      </x:c>
      <x:c r="X142" s="34" t="n">
        <x:f>MAX(0,MIN(X$8+1,'Fleet'!$O139)-MAX(X$7,'Fleet'!$G139))</x:f>
        <x:v>365</x:v>
      </x:c>
      <x:c r="Y142" s="34" t="n">
        <x:f>MAX(0,MIN(Y$8+1,'Fleet'!$O139)-MAX(Y$7,'Fleet'!$G139))</x:f>
        <x:v>273</x:v>
      </x:c>
      <x:c r="Z142" s="34" t="n">
        <x:f>MAX(0,MIN(Z$8+1,'Fleet'!$O139)-MAX(Z$7,'Fleet'!$G139))</x:f>
        <x:v>0</x:v>
      </x:c>
      <x:c r="AA142" s="34" t="n">
        <x:f>MAX(0,MIN(AA$8+1,'Fleet'!$O139)-MAX(AA$7,'Fleet'!$G139))</x:f>
        <x:v>0</x:v>
      </x:c>
      <x:c r="AB142" s="34" t="n">
        <x:f>MAX(0,MIN(AB$8+1,'Fleet'!$O139)-MAX(AB$7,'Fleet'!$G139))</x:f>
        <x:v>0</x:v>
      </x:c>
      <x:c r="AC142" s="34" t="n">
        <x:f>MAX(0,MIN(AC$8+1,'Fleet'!$O139)-MAX(AC$7,'Fleet'!$G139))</x:f>
        <x:v>0</x:v>
      </x:c>
      <x:c r="AD142" s="34" t="n">
        <x:f>MAX(0,MIN(AD$8+1,'Fleet'!$O139)-MAX(AD$7,'Fleet'!$G139))</x:f>
        <x:v>0</x:v>
      </x:c>
      <x:c r="AE142" s="34" t="n">
        <x:f>MAX(0,MIN(AE$8+1,'Fleet'!$O139)-MAX(AE$7,'Fleet'!$G139))</x:f>
        <x:v>0</x:v>
      </x:c>
      <x:c r="AF142" s="34" t="n">
        <x:f>MAX(0,MIN(AF$8+1,'Fleet'!$O139)-MAX(AF$7,'Fleet'!$G139))</x:f>
        <x:v>0</x:v>
      </x:c>
      <x:c r="AG142" s="34" t="n">
        <x:f>MAX(0,MIN(AG$8+1,'Fleet'!$O139)-MAX(AG$7,'Fleet'!$G139))</x:f>
        <x:v>0</x:v>
      </x:c>
      <x:c r="AH142" s="34" t="n">
        <x:f>MAX(0,MIN(AH$8+1,'Fleet'!$O139)-MAX(AH$7,'Fleet'!$G139))</x:f>
        <x:v>0</x:v>
      </x:c>
      <x:c r="AI142" s="34" t="n">
        <x:f>MAX(0,MIN(AI$8+1,'Fleet'!$O139)-MAX(AI$7,'Fleet'!$G139))</x:f>
        <x:v>0</x:v>
      </x:c>
      <x:c r="AJ142" s="34" t="n">
        <x:f>MAX(0,MIN(AJ$8+1,'Fleet'!$O139)-MAX(AJ$7,'Fleet'!$G139))</x:f>
        <x:v>0</x:v>
      </x:c>
      <x:c r="AK142" s="34" t="n">
        <x:f>MAX(0,MIN(AK$8+1,'Fleet'!$O139)-MAX(AK$7,'Fleet'!$G139))</x:f>
        <x:v>0</x:v>
      </x:c>
      <x:c r="AL142" s="34" t="n">
        <x:f>MAX(0,MIN(AL$8+1,'Fleet'!$O139)-MAX(AL$7,'Fleet'!$G139))</x:f>
        <x:v>0</x:v>
      </x:c>
      <x:c r="AM142" s="34" t="n">
        <x:f>MAX(0,MIN(AM$8+1,'Fleet'!$O139)-MAX(AM$7,'Fleet'!$G139))</x:f>
        <x:v>0</x:v>
      </x:c>
      <x:c r="AN142" s="34" t="n">
        <x:f>MAX(0,MIN(AN$8+1,'Fleet'!$O139)-MAX(AN$7,'Fleet'!$G139))</x:f>
        <x:v>0</x:v>
      </x:c>
      <x:c r="AO142" s="34" t="n">
        <x:f>MAX(0,MIN(AO$8+1,'Fleet'!$O139)-MAX(AO$7,'Fleet'!$G139))</x:f>
        <x:v>0</x:v>
      </x:c>
      <x:c r="AP142" s="34" t="n">
        <x:f>MAX(0,MIN(AP$8+1,'Fleet'!$O139)-MAX(AP$7,'Fleet'!$G139))</x:f>
        <x:v>0</x:v>
      </x:c>
      <x:c r="AQ142" s="34" t="n">
        <x:f>MAX(0,MIN(AQ$8+1,'Fleet'!$O139)-MAX(AQ$7,'Fleet'!$G139))</x:f>
        <x:v>0</x:v>
      </x:c>
    </x:row>
    <x:row r="143" ht="21" customHeight="1">
      <x:c r="A143" s="2"/>
      <x:c r="B143" s="2"/>
      <x:c r="C143" s="5" t="str">
        <x:f>'Fleet'!C140</x:f>
        <x:v>Star Pegasus</x:v>
      </x:c>
      <x:c r="D143" s="5" t="str">
        <x:f>'Fleet'!D140</x:f>
        <x:v>Supramax</x:v>
      </x:c>
      <x:c r="E143" s="34" t="n">
        <x:f>MAX(0,MIN(E$8+1,'Fleet'!$O140)-MAX(E$7,'Fleet'!$G140))</x:f>
        <x:v>83</x:v>
      </x:c>
      <x:c r="F143" s="34" t="n">
        <x:f>MAX(0,MIN(F$8+1,'Fleet'!$O140)-MAX(F$7,'Fleet'!$G140))</x:f>
        <x:v>90</x:v>
      </x:c>
      <x:c r="G143" s="34" t="n">
        <x:f>MAX(0,MIN(G$8+1,'Fleet'!$O140)-MAX(G$7,'Fleet'!$G140))</x:f>
        <x:v>91</x:v>
      </x:c>
      <x:c r="H143" s="34" t="n">
        <x:f>MAX(0,MIN(H$8+1,'Fleet'!$O140)-MAX(H$7,'Fleet'!$G140))</x:f>
        <x:v>92</x:v>
      </x:c>
      <x:c r="I143" s="34" t="n">
        <x:f>MAX(0,MIN(I$8+1,'Fleet'!$O140)-MAX(I$7,'Fleet'!$G140))</x:f>
        <x:v>92</x:v>
      </x:c>
      <x:c r="J143" s="34" t="n">
        <x:f>MAX(0,MIN(J$8+1,'Fleet'!$O140)-MAX(J$7,'Fleet'!$G140))</x:f>
        <x:v>91</x:v>
      </x:c>
      <x:c r="K143" s="34" t="n">
        <x:f>MAX(0,MIN(K$8+1,'Fleet'!$O140)-MAX(K$7,'Fleet'!$G140))</x:f>
        <x:v>91</x:v>
      </x:c>
      <x:c r="L143" s="34" t="n">
        <x:f>MAX(0,MIN(L$8+1,'Fleet'!$O140)-MAX(L$7,'Fleet'!$G140))</x:f>
        <x:v>92</x:v>
      </x:c>
      <x:c r="M143" s="34" t="n">
        <x:f>MAX(0,MIN(M$8+1,'Fleet'!$O140)-MAX(M$7,'Fleet'!$G140))</x:f>
        <x:v>92</x:v>
      </x:c>
      <x:c r="N143" s="34" t="n">
        <x:f>MAX(0,MIN(N$8+1,'Fleet'!$O140)-MAX(N$7,'Fleet'!$G140))</x:f>
        <x:v>90</x:v>
      </x:c>
      <x:c r="O143" s="34" t="n">
        <x:f>MAX(0,MIN(O$8+1,'Fleet'!$O140)-MAX(O$7,'Fleet'!$G140))</x:f>
        <x:v>91</x:v>
      </x:c>
      <x:c r="P143" s="34" t="n">
        <x:f>MAX(0,MIN(P$8+1,'Fleet'!$O140)-MAX(P$7,'Fleet'!$G140))</x:f>
        <x:v>92</x:v>
      </x:c>
      <x:c r="Q143" s="34" t="n">
        <x:f>MAX(0,MIN(Q$8+1,'Fleet'!$O140)-MAX(Q$7,'Fleet'!$G140))</x:f>
        <x:v>365</x:v>
      </x:c>
      <x:c r="R143" s="34" t="n">
        <x:f>MAX(0,MIN(R$8+1,'Fleet'!$O140)-MAX(R$7,'Fleet'!$G140))</x:f>
        <x:v>365</x:v>
      </x:c>
      <x:c r="S143" s="34" t="n">
        <x:f>MAX(0,MIN(S$8+1,'Fleet'!$O140)-MAX(S$7,'Fleet'!$G140))</x:f>
        <x:v>366</x:v>
      </x:c>
      <x:c r="T143" s="34" t="n">
        <x:f>MAX(0,MIN(T$8+1,'Fleet'!$O140)-MAX(T$7,'Fleet'!$G140))</x:f>
        <x:v>365</x:v>
      </x:c>
      <x:c r="U143" s="34" t="n">
        <x:f>MAX(0,MIN(U$8+1,'Fleet'!$O140)-MAX(U$7,'Fleet'!$G140))</x:f>
        <x:v>365</x:v>
      </x:c>
      <x:c r="V143" s="34" t="n">
        <x:f>MAX(0,MIN(V$8+1,'Fleet'!$O140)-MAX(V$7,'Fleet'!$G140))</x:f>
        <x:v>365</x:v>
      </x:c>
      <x:c r="W143" s="34" t="n">
        <x:f>MAX(0,MIN(W$8+1,'Fleet'!$O140)-MAX(W$7,'Fleet'!$G140))</x:f>
        <x:v>366</x:v>
      </x:c>
      <x:c r="X143" s="34" t="n">
        <x:f>MAX(0,MIN(X$8+1,'Fleet'!$O140)-MAX(X$7,'Fleet'!$G140))</x:f>
        <x:v>365</x:v>
      </x:c>
      <x:c r="Y143" s="34" t="n">
        <x:f>MAX(0,MIN(Y$8+1,'Fleet'!$O140)-MAX(Y$7,'Fleet'!$G140))</x:f>
        <x:v>273</x:v>
      </x:c>
      <x:c r="Z143" s="34" t="n">
        <x:f>MAX(0,MIN(Z$8+1,'Fleet'!$O140)-MAX(Z$7,'Fleet'!$G140))</x:f>
        <x:v>0</x:v>
      </x:c>
      <x:c r="AA143" s="34" t="n">
        <x:f>MAX(0,MIN(AA$8+1,'Fleet'!$O140)-MAX(AA$7,'Fleet'!$G140))</x:f>
        <x:v>0</x:v>
      </x:c>
      <x:c r="AB143" s="34" t="n">
        <x:f>MAX(0,MIN(AB$8+1,'Fleet'!$O140)-MAX(AB$7,'Fleet'!$G140))</x:f>
        <x:v>0</x:v>
      </x:c>
      <x:c r="AC143" s="34" t="n">
        <x:f>MAX(0,MIN(AC$8+1,'Fleet'!$O140)-MAX(AC$7,'Fleet'!$G140))</x:f>
        <x:v>0</x:v>
      </x:c>
      <x:c r="AD143" s="34" t="n">
        <x:f>MAX(0,MIN(AD$8+1,'Fleet'!$O140)-MAX(AD$7,'Fleet'!$G140))</x:f>
        <x:v>0</x:v>
      </x:c>
      <x:c r="AE143" s="34" t="n">
        <x:f>MAX(0,MIN(AE$8+1,'Fleet'!$O140)-MAX(AE$7,'Fleet'!$G140))</x:f>
        <x:v>0</x:v>
      </x:c>
      <x:c r="AF143" s="34" t="n">
        <x:f>MAX(0,MIN(AF$8+1,'Fleet'!$O140)-MAX(AF$7,'Fleet'!$G140))</x:f>
        <x:v>0</x:v>
      </x:c>
      <x:c r="AG143" s="34" t="n">
        <x:f>MAX(0,MIN(AG$8+1,'Fleet'!$O140)-MAX(AG$7,'Fleet'!$G140))</x:f>
        <x:v>0</x:v>
      </x:c>
      <x:c r="AH143" s="34" t="n">
        <x:f>MAX(0,MIN(AH$8+1,'Fleet'!$O140)-MAX(AH$7,'Fleet'!$G140))</x:f>
        <x:v>0</x:v>
      </x:c>
      <x:c r="AI143" s="34" t="n">
        <x:f>MAX(0,MIN(AI$8+1,'Fleet'!$O140)-MAX(AI$7,'Fleet'!$G140))</x:f>
        <x:v>0</x:v>
      </x:c>
      <x:c r="AJ143" s="34" t="n">
        <x:f>MAX(0,MIN(AJ$8+1,'Fleet'!$O140)-MAX(AJ$7,'Fleet'!$G140))</x:f>
        <x:v>0</x:v>
      </x:c>
      <x:c r="AK143" s="34" t="n">
        <x:f>MAX(0,MIN(AK$8+1,'Fleet'!$O140)-MAX(AK$7,'Fleet'!$G140))</x:f>
        <x:v>0</x:v>
      </x:c>
      <x:c r="AL143" s="34" t="n">
        <x:f>MAX(0,MIN(AL$8+1,'Fleet'!$O140)-MAX(AL$7,'Fleet'!$G140))</x:f>
        <x:v>0</x:v>
      </x:c>
      <x:c r="AM143" s="34" t="n">
        <x:f>MAX(0,MIN(AM$8+1,'Fleet'!$O140)-MAX(AM$7,'Fleet'!$G140))</x:f>
        <x:v>0</x:v>
      </x:c>
      <x:c r="AN143" s="34" t="n">
        <x:f>MAX(0,MIN(AN$8+1,'Fleet'!$O140)-MAX(AN$7,'Fleet'!$G140))</x:f>
        <x:v>0</x:v>
      </x:c>
      <x:c r="AO143" s="34" t="n">
        <x:f>MAX(0,MIN(AO$8+1,'Fleet'!$O140)-MAX(AO$7,'Fleet'!$G140))</x:f>
        <x:v>0</x:v>
      </x:c>
      <x:c r="AP143" s="34" t="n">
        <x:f>MAX(0,MIN(AP$8+1,'Fleet'!$O140)-MAX(AP$7,'Fleet'!$G140))</x:f>
        <x:v>0</x:v>
      </x:c>
      <x:c r="AQ143" s="34" t="n">
        <x:f>MAX(0,MIN(AQ$8+1,'Fleet'!$O140)-MAX(AQ$7,'Fleet'!$G140))</x:f>
        <x:v>0</x:v>
      </x:c>
    </x:row>
    <x:row r="144" ht="21" customHeight="1">
      <x:c r="A144" s="2"/>
      <x:c r="B144" s="2"/>
      <x:c r="C144" s="5" t="str">
        <x:f>'Fleet'!C141</x:f>
        <x:v>Star Bright</x:v>
      </x:c>
      <x:c r="D144" s="5" t="str">
        <x:f>'Fleet'!D141</x:f>
        <x:v>Supramax</x:v>
      </x:c>
      <x:c r="E144" s="34" t="n">
        <x:f>MAX(0,MIN(E$8+1,'Fleet'!$O141)-MAX(E$7,'Fleet'!$G141))</x:f>
        <x:v>83</x:v>
      </x:c>
      <x:c r="F144" s="34" t="n">
        <x:f>MAX(0,MIN(F$8+1,'Fleet'!$O141)-MAX(F$7,'Fleet'!$G141))</x:f>
        <x:v>90</x:v>
      </x:c>
      <x:c r="G144" s="34" t="n">
        <x:f>MAX(0,MIN(G$8+1,'Fleet'!$O141)-MAX(G$7,'Fleet'!$G141))</x:f>
        <x:v>91</x:v>
      </x:c>
      <x:c r="H144" s="34" t="n">
        <x:f>MAX(0,MIN(H$8+1,'Fleet'!$O141)-MAX(H$7,'Fleet'!$G141))</x:f>
        <x:v>92</x:v>
      </x:c>
      <x:c r="I144" s="34" t="n">
        <x:f>MAX(0,MIN(I$8+1,'Fleet'!$O141)-MAX(I$7,'Fleet'!$G141))</x:f>
        <x:v>92</x:v>
      </x:c>
      <x:c r="J144" s="34" t="n">
        <x:f>MAX(0,MIN(J$8+1,'Fleet'!$O141)-MAX(J$7,'Fleet'!$G141))</x:f>
        <x:v>91</x:v>
      </x:c>
      <x:c r="K144" s="34" t="n">
        <x:f>MAX(0,MIN(K$8+1,'Fleet'!$O141)-MAX(K$7,'Fleet'!$G141))</x:f>
        <x:v>91</x:v>
      </x:c>
      <x:c r="L144" s="34" t="n">
        <x:f>MAX(0,MIN(L$8+1,'Fleet'!$O141)-MAX(L$7,'Fleet'!$G141))</x:f>
        <x:v>92</x:v>
      </x:c>
      <x:c r="M144" s="34" t="n">
        <x:f>MAX(0,MIN(M$8+1,'Fleet'!$O141)-MAX(M$7,'Fleet'!$G141))</x:f>
        <x:v>92</x:v>
      </x:c>
      <x:c r="N144" s="34" t="n">
        <x:f>MAX(0,MIN(N$8+1,'Fleet'!$O141)-MAX(N$7,'Fleet'!$G141))</x:f>
        <x:v>90</x:v>
      </x:c>
      <x:c r="O144" s="34" t="n">
        <x:f>MAX(0,MIN(O$8+1,'Fleet'!$O141)-MAX(O$7,'Fleet'!$G141))</x:f>
        <x:v>91</x:v>
      </x:c>
      <x:c r="P144" s="34" t="n">
        <x:f>MAX(0,MIN(P$8+1,'Fleet'!$O141)-MAX(P$7,'Fleet'!$G141))</x:f>
        <x:v>92</x:v>
      </x:c>
      <x:c r="Q144" s="34" t="n">
        <x:f>MAX(0,MIN(Q$8+1,'Fleet'!$O141)-MAX(Q$7,'Fleet'!$G141))</x:f>
        <x:v>365</x:v>
      </x:c>
      <x:c r="R144" s="34" t="n">
        <x:f>MAX(0,MIN(R$8+1,'Fleet'!$O141)-MAX(R$7,'Fleet'!$G141))</x:f>
        <x:v>365</x:v>
      </x:c>
      <x:c r="S144" s="34" t="n">
        <x:f>MAX(0,MIN(S$8+1,'Fleet'!$O141)-MAX(S$7,'Fleet'!$G141))</x:f>
        <x:v>366</x:v>
      </x:c>
      <x:c r="T144" s="34" t="n">
        <x:f>MAX(0,MIN(T$8+1,'Fleet'!$O141)-MAX(T$7,'Fleet'!$G141))</x:f>
        <x:v>365</x:v>
      </x:c>
      <x:c r="U144" s="34" t="n">
        <x:f>MAX(0,MIN(U$8+1,'Fleet'!$O141)-MAX(U$7,'Fleet'!$G141))</x:f>
        <x:v>365</x:v>
      </x:c>
      <x:c r="V144" s="34" t="n">
        <x:f>MAX(0,MIN(V$8+1,'Fleet'!$O141)-MAX(V$7,'Fleet'!$G141))</x:f>
        <x:v>273</x:v>
      </x:c>
      <x:c r="W144" s="34" t="n">
        <x:f>MAX(0,MIN(W$8+1,'Fleet'!$O141)-MAX(W$7,'Fleet'!$G141))</x:f>
        <x:v>0</x:v>
      </x:c>
      <x:c r="X144" s="34" t="n">
        <x:f>MAX(0,MIN(X$8+1,'Fleet'!$O141)-MAX(X$7,'Fleet'!$G141))</x:f>
        <x:v>0</x:v>
      </x:c>
      <x:c r="Y144" s="34" t="n">
        <x:f>MAX(0,MIN(Y$8+1,'Fleet'!$O141)-MAX(Y$7,'Fleet'!$G141))</x:f>
        <x:v>0</x:v>
      </x:c>
      <x:c r="Z144" s="34" t="n">
        <x:f>MAX(0,MIN(Z$8+1,'Fleet'!$O141)-MAX(Z$7,'Fleet'!$G141))</x:f>
        <x:v>0</x:v>
      </x:c>
      <x:c r="AA144" s="34" t="n">
        <x:f>MAX(0,MIN(AA$8+1,'Fleet'!$O141)-MAX(AA$7,'Fleet'!$G141))</x:f>
        <x:v>0</x:v>
      </x:c>
      <x:c r="AB144" s="34" t="n">
        <x:f>MAX(0,MIN(AB$8+1,'Fleet'!$O141)-MAX(AB$7,'Fleet'!$G141))</x:f>
        <x:v>0</x:v>
      </x:c>
      <x:c r="AC144" s="34" t="n">
        <x:f>MAX(0,MIN(AC$8+1,'Fleet'!$O141)-MAX(AC$7,'Fleet'!$G141))</x:f>
        <x:v>0</x:v>
      </x:c>
      <x:c r="AD144" s="34" t="n">
        <x:f>MAX(0,MIN(AD$8+1,'Fleet'!$O141)-MAX(AD$7,'Fleet'!$G141))</x:f>
        <x:v>0</x:v>
      </x:c>
      <x:c r="AE144" s="34" t="n">
        <x:f>MAX(0,MIN(AE$8+1,'Fleet'!$O141)-MAX(AE$7,'Fleet'!$G141))</x:f>
        <x:v>0</x:v>
      </x:c>
      <x:c r="AF144" s="34" t="n">
        <x:f>MAX(0,MIN(AF$8+1,'Fleet'!$O141)-MAX(AF$7,'Fleet'!$G141))</x:f>
        <x:v>0</x:v>
      </x:c>
      <x:c r="AG144" s="34" t="n">
        <x:f>MAX(0,MIN(AG$8+1,'Fleet'!$O141)-MAX(AG$7,'Fleet'!$G141))</x:f>
        <x:v>0</x:v>
      </x:c>
      <x:c r="AH144" s="34" t="n">
        <x:f>MAX(0,MIN(AH$8+1,'Fleet'!$O141)-MAX(AH$7,'Fleet'!$G141))</x:f>
        <x:v>0</x:v>
      </x:c>
      <x:c r="AI144" s="34" t="n">
        <x:f>MAX(0,MIN(AI$8+1,'Fleet'!$O141)-MAX(AI$7,'Fleet'!$G141))</x:f>
        <x:v>0</x:v>
      </x:c>
      <x:c r="AJ144" s="34" t="n">
        <x:f>MAX(0,MIN(AJ$8+1,'Fleet'!$O141)-MAX(AJ$7,'Fleet'!$G141))</x:f>
        <x:v>0</x:v>
      </x:c>
      <x:c r="AK144" s="34" t="n">
        <x:f>MAX(0,MIN(AK$8+1,'Fleet'!$O141)-MAX(AK$7,'Fleet'!$G141))</x:f>
        <x:v>0</x:v>
      </x:c>
      <x:c r="AL144" s="34" t="n">
        <x:f>MAX(0,MIN(AL$8+1,'Fleet'!$O141)-MAX(AL$7,'Fleet'!$G141))</x:f>
        <x:v>0</x:v>
      </x:c>
      <x:c r="AM144" s="34" t="n">
        <x:f>MAX(0,MIN(AM$8+1,'Fleet'!$O141)-MAX(AM$7,'Fleet'!$G141))</x:f>
        <x:v>0</x:v>
      </x:c>
      <x:c r="AN144" s="34" t="n">
        <x:f>MAX(0,MIN(AN$8+1,'Fleet'!$O141)-MAX(AN$7,'Fleet'!$G141))</x:f>
        <x:v>0</x:v>
      </x:c>
      <x:c r="AO144" s="34" t="n">
        <x:f>MAX(0,MIN(AO$8+1,'Fleet'!$O141)-MAX(AO$7,'Fleet'!$G141))</x:f>
        <x:v>0</x:v>
      </x:c>
      <x:c r="AP144" s="34" t="n">
        <x:f>MAX(0,MIN(AP$8+1,'Fleet'!$O141)-MAX(AP$7,'Fleet'!$G141))</x:f>
        <x:v>0</x:v>
      </x:c>
      <x:c r="AQ144" s="34" t="n">
        <x:f>MAX(0,MIN(AQ$8+1,'Fleet'!$O141)-MAX(AQ$7,'Fleet'!$G141))</x:f>
        <x:v>0</x:v>
      </x:c>
    </x:row>
    <x:row r="145" ht="21" customHeight="1">
      <x:c r="A145" s="2"/>
      <x:c r="B145" s="2"/>
      <x:c r="C145" s="5" t="str">
        <x:f>'Fleet'!C142</x:f>
        <x:v>Star Irini</x:v>
      </x:c>
      <x:c r="D145" s="5" t="str">
        <x:f>'Fleet'!D142</x:f>
        <x:v>Kamsarmax</x:v>
      </x:c>
      <x:c r="E145" s="34" t="n">
        <x:f>MAX(0,MIN(E$8+1,'Fleet'!$O142)-MAX(E$7,'Fleet'!$G142))</x:f>
        <x:v>1</x:v>
      </x:c>
      <x:c r="F145" s="34" t="n">
        <x:f>MAX(0,MIN(F$8+1,'Fleet'!$O142)-MAX(F$7,'Fleet'!$G142))</x:f>
        <x:v>90</x:v>
      </x:c>
      <x:c r="G145" s="34" t="n">
        <x:f>MAX(0,MIN(G$8+1,'Fleet'!$O142)-MAX(G$7,'Fleet'!$G142))</x:f>
        <x:v>91</x:v>
      </x:c>
      <x:c r="H145" s="34" t="n">
        <x:f>MAX(0,MIN(H$8+1,'Fleet'!$O142)-MAX(H$7,'Fleet'!$G142))</x:f>
        <x:v>92</x:v>
      </x:c>
      <x:c r="I145" s="34" t="n">
        <x:f>MAX(0,MIN(I$8+1,'Fleet'!$O142)-MAX(I$7,'Fleet'!$G142))</x:f>
        <x:v>92</x:v>
      </x:c>
      <x:c r="J145" s="34" t="n">
        <x:f>MAX(0,MIN(J$8+1,'Fleet'!$O142)-MAX(J$7,'Fleet'!$G142))</x:f>
        <x:v>91</x:v>
      </x:c>
      <x:c r="K145" s="34" t="n">
        <x:f>MAX(0,MIN(K$8+1,'Fleet'!$O142)-MAX(K$7,'Fleet'!$G142))</x:f>
        <x:v>91</x:v>
      </x:c>
      <x:c r="L145" s="34" t="n">
        <x:f>MAX(0,MIN(L$8+1,'Fleet'!$O142)-MAX(L$7,'Fleet'!$G142))</x:f>
        <x:v>92</x:v>
      </x:c>
      <x:c r="M145" s="34" t="n">
        <x:f>MAX(0,MIN(M$8+1,'Fleet'!$O142)-MAX(M$7,'Fleet'!$G142))</x:f>
        <x:v>92</x:v>
      </x:c>
      <x:c r="N145" s="34" t="n">
        <x:f>MAX(0,MIN(N$8+1,'Fleet'!$O142)-MAX(N$7,'Fleet'!$G142))</x:f>
        <x:v>90</x:v>
      </x:c>
      <x:c r="O145" s="34" t="n">
        <x:f>MAX(0,MIN(O$8+1,'Fleet'!$O142)-MAX(O$7,'Fleet'!$G142))</x:f>
        <x:v>91</x:v>
      </x:c>
      <x:c r="P145" s="34" t="n">
        <x:f>MAX(0,MIN(P$8+1,'Fleet'!$O142)-MAX(P$7,'Fleet'!$G142))</x:f>
        <x:v>92</x:v>
      </x:c>
      <x:c r="Q145" s="34" t="n">
        <x:f>MAX(0,MIN(Q$8+1,'Fleet'!$O142)-MAX(Q$7,'Fleet'!$G142))</x:f>
        <x:v>365</x:v>
      </x:c>
      <x:c r="R145" s="34" t="n">
        <x:f>MAX(0,MIN(R$8+1,'Fleet'!$O142)-MAX(R$7,'Fleet'!$G142))</x:f>
        <x:v>365</x:v>
      </x:c>
      <x:c r="S145" s="34" t="n">
        <x:f>MAX(0,MIN(S$8+1,'Fleet'!$O142)-MAX(S$7,'Fleet'!$G142))</x:f>
        <x:v>366</x:v>
      </x:c>
      <x:c r="T145" s="34" t="n">
        <x:f>MAX(0,MIN(T$8+1,'Fleet'!$O142)-MAX(T$7,'Fleet'!$G142))</x:f>
        <x:v>365</x:v>
      </x:c>
      <x:c r="U145" s="34" t="n">
        <x:f>MAX(0,MIN(U$8+1,'Fleet'!$O142)-MAX(U$7,'Fleet'!$G142))</x:f>
        <x:v>365</x:v>
      </x:c>
      <x:c r="V145" s="34" t="n">
        <x:f>MAX(0,MIN(V$8+1,'Fleet'!$O142)-MAX(V$7,'Fleet'!$G142))</x:f>
        <x:v>365</x:v>
      </x:c>
      <x:c r="W145" s="34" t="n">
        <x:f>MAX(0,MIN(W$8+1,'Fleet'!$O142)-MAX(W$7,'Fleet'!$G142))</x:f>
        <x:v>366</x:v>
      </x:c>
      <x:c r="X145" s="34" t="n">
        <x:f>MAX(0,MIN(X$8+1,'Fleet'!$O142)-MAX(X$7,'Fleet'!$G142))</x:f>
        <x:v>365</x:v>
      </x:c>
      <x:c r="Y145" s="34" t="n">
        <x:f>MAX(0,MIN(Y$8+1,'Fleet'!$O142)-MAX(Y$7,'Fleet'!$G142))</x:f>
        <x:v>365</x:v>
      </x:c>
      <x:c r="Z145" s="34" t="n">
        <x:f>MAX(0,MIN(Z$8+1,'Fleet'!$O142)-MAX(Z$7,'Fleet'!$G142))</x:f>
        <x:v>365</x:v>
      </x:c>
      <x:c r="AA145" s="34" t="n">
        <x:f>MAX(0,MIN(AA$8+1,'Fleet'!$O142)-MAX(AA$7,'Fleet'!$G142))</x:f>
        <x:v>366</x:v>
      </x:c>
      <x:c r="AB145" s="34" t="n">
        <x:f>MAX(0,MIN(AB$8+1,'Fleet'!$O142)-MAX(AB$7,'Fleet'!$G142))</x:f>
        <x:v>365</x:v>
      </x:c>
      <x:c r="AC145" s="34" t="n">
        <x:f>MAX(0,MIN(AC$8+1,'Fleet'!$O142)-MAX(AC$7,'Fleet'!$G142))</x:f>
        <x:v>365</x:v>
      </x:c>
      <x:c r="AD145" s="34" t="n">
        <x:f>MAX(0,MIN(AD$8+1,'Fleet'!$O142)-MAX(AD$7,'Fleet'!$G142))</x:f>
        <x:v>365</x:v>
      </x:c>
      <x:c r="AE145" s="34" t="n">
        <x:f>MAX(0,MIN(AE$8+1,'Fleet'!$O142)-MAX(AE$7,'Fleet'!$G142))</x:f>
        <x:v>366</x:v>
      </x:c>
      <x:c r="AF145" s="34" t="n">
        <x:f>MAX(0,MIN(AF$8+1,'Fleet'!$O142)-MAX(AF$7,'Fleet'!$G142))</x:f>
        <x:v>365</x:v>
      </x:c>
      <x:c r="AG145" s="34" t="n">
        <x:f>MAX(0,MIN(AG$8+1,'Fleet'!$O142)-MAX(AG$7,'Fleet'!$G142))</x:f>
        <x:v>365</x:v>
      </x:c>
      <x:c r="AH145" s="34" t="n">
        <x:f>MAX(0,MIN(AH$8+1,'Fleet'!$O142)-MAX(AH$7,'Fleet'!$G142))</x:f>
        <x:v>365</x:v>
      </x:c>
      <x:c r="AI145" s="34" t="n">
        <x:f>MAX(0,MIN(AI$8+1,'Fleet'!$O142)-MAX(AI$7,'Fleet'!$G142))</x:f>
        <x:v>366</x:v>
      </x:c>
      <x:c r="AJ145" s="34" t="n">
        <x:f>MAX(0,MIN(AJ$8+1,'Fleet'!$O142)-MAX(AJ$7,'Fleet'!$G142))</x:f>
        <x:v>365</x:v>
      </x:c>
      <x:c r="AK145" s="34" t="n">
        <x:f>MAX(0,MIN(AK$8+1,'Fleet'!$O142)-MAX(AK$7,'Fleet'!$G142))</x:f>
        <x:v>365</x:v>
      </x:c>
      <x:c r="AL145" s="34" t="n">
        <x:f>MAX(0,MIN(AL$8+1,'Fleet'!$O142)-MAX(AL$7,'Fleet'!$G142))</x:f>
        <x:v>273</x:v>
      </x:c>
      <x:c r="AM145" s="34" t="n">
        <x:f>MAX(0,MIN(AM$8+1,'Fleet'!$O142)-MAX(AM$7,'Fleet'!$G142))</x:f>
        <x:v>0</x:v>
      </x:c>
      <x:c r="AN145" s="34" t="n">
        <x:f>MAX(0,MIN(AN$8+1,'Fleet'!$O142)-MAX(AN$7,'Fleet'!$G142))</x:f>
        <x:v>0</x:v>
      </x:c>
      <x:c r="AO145" s="34" t="n">
        <x:f>MAX(0,MIN(AO$8+1,'Fleet'!$O142)-MAX(AO$7,'Fleet'!$G142))</x:f>
        <x:v>0</x:v>
      </x:c>
      <x:c r="AP145" s="34" t="n">
        <x:f>MAX(0,MIN(AP$8+1,'Fleet'!$O142)-MAX(AP$7,'Fleet'!$G142))</x:f>
        <x:v>0</x:v>
      </x:c>
      <x:c r="AQ145" s="34" t="n">
        <x:f>MAX(0,MIN(AQ$8+1,'Fleet'!$O142)-MAX(AQ$7,'Fleet'!$G142))</x:f>
        <x:v>0</x:v>
      </x:c>
    </x:row>
    <x:row r="146" ht="21" customHeight="1">
      <x:c r="A146" s="2"/>
      <x:c r="B146" s="2"/>
      <x:c r="C146" s="5" t="str">
        <x:f>'Fleet'!C143</x:f>
        <x:v>Star Aline</x:v>
      </x:c>
      <x:c r="D146" s="5" t="str">
        <x:f>'Fleet'!D143</x:f>
        <x:v>Kamsarmax</x:v>
      </x:c>
      <x:c r="E146" s="34" t="n">
        <x:f>MAX(0,MIN(E$8+1,'Fleet'!$O143)-MAX(E$7,'Fleet'!$G143))</x:f>
        <x:v>1</x:v>
      </x:c>
      <x:c r="F146" s="34" t="n">
        <x:f>MAX(0,MIN(F$8+1,'Fleet'!$O143)-MAX(F$7,'Fleet'!$G143))</x:f>
        <x:v>90</x:v>
      </x:c>
      <x:c r="G146" s="34" t="n">
        <x:f>MAX(0,MIN(G$8+1,'Fleet'!$O143)-MAX(G$7,'Fleet'!$G143))</x:f>
        <x:v>91</x:v>
      </x:c>
      <x:c r="H146" s="34" t="n">
        <x:f>MAX(0,MIN(H$8+1,'Fleet'!$O143)-MAX(H$7,'Fleet'!$G143))</x:f>
        <x:v>92</x:v>
      </x:c>
      <x:c r="I146" s="34" t="n">
        <x:f>MAX(0,MIN(I$8+1,'Fleet'!$O143)-MAX(I$7,'Fleet'!$G143))</x:f>
        <x:v>92</x:v>
      </x:c>
      <x:c r="J146" s="34" t="n">
        <x:f>MAX(0,MIN(J$8+1,'Fleet'!$O143)-MAX(J$7,'Fleet'!$G143))</x:f>
        <x:v>91</x:v>
      </x:c>
      <x:c r="K146" s="34" t="n">
        <x:f>MAX(0,MIN(K$8+1,'Fleet'!$O143)-MAX(K$7,'Fleet'!$G143))</x:f>
        <x:v>91</x:v>
      </x:c>
      <x:c r="L146" s="34" t="n">
        <x:f>MAX(0,MIN(L$8+1,'Fleet'!$O143)-MAX(L$7,'Fleet'!$G143))</x:f>
        <x:v>92</x:v>
      </x:c>
      <x:c r="M146" s="34" t="n">
        <x:f>MAX(0,MIN(M$8+1,'Fleet'!$O143)-MAX(M$7,'Fleet'!$G143))</x:f>
        <x:v>92</x:v>
      </x:c>
      <x:c r="N146" s="34" t="n">
        <x:f>MAX(0,MIN(N$8+1,'Fleet'!$O143)-MAX(N$7,'Fleet'!$G143))</x:f>
        <x:v>90</x:v>
      </x:c>
      <x:c r="O146" s="34" t="n">
        <x:f>MAX(0,MIN(O$8+1,'Fleet'!$O143)-MAX(O$7,'Fleet'!$G143))</x:f>
        <x:v>91</x:v>
      </x:c>
      <x:c r="P146" s="34" t="n">
        <x:f>MAX(0,MIN(P$8+1,'Fleet'!$O143)-MAX(P$7,'Fleet'!$G143))</x:f>
        <x:v>92</x:v>
      </x:c>
      <x:c r="Q146" s="34" t="n">
        <x:f>MAX(0,MIN(Q$8+1,'Fleet'!$O143)-MAX(Q$7,'Fleet'!$G143))</x:f>
        <x:v>365</x:v>
      </x:c>
      <x:c r="R146" s="34" t="n">
        <x:f>MAX(0,MIN(R$8+1,'Fleet'!$O143)-MAX(R$7,'Fleet'!$G143))</x:f>
        <x:v>365</x:v>
      </x:c>
      <x:c r="S146" s="34" t="n">
        <x:f>MAX(0,MIN(S$8+1,'Fleet'!$O143)-MAX(S$7,'Fleet'!$G143))</x:f>
        <x:v>366</x:v>
      </x:c>
      <x:c r="T146" s="34" t="n">
        <x:f>MAX(0,MIN(T$8+1,'Fleet'!$O143)-MAX(T$7,'Fleet'!$G143))</x:f>
        <x:v>365</x:v>
      </x:c>
      <x:c r="U146" s="34" t="n">
        <x:f>MAX(0,MIN(U$8+1,'Fleet'!$O143)-MAX(U$7,'Fleet'!$G143))</x:f>
        <x:v>365</x:v>
      </x:c>
      <x:c r="V146" s="34" t="n">
        <x:f>MAX(0,MIN(V$8+1,'Fleet'!$O143)-MAX(V$7,'Fleet'!$G143))</x:f>
        <x:v>365</x:v>
      </x:c>
      <x:c r="W146" s="34" t="n">
        <x:f>MAX(0,MIN(W$8+1,'Fleet'!$O143)-MAX(W$7,'Fleet'!$G143))</x:f>
        <x:v>366</x:v>
      </x:c>
      <x:c r="X146" s="34" t="n">
        <x:f>MAX(0,MIN(X$8+1,'Fleet'!$O143)-MAX(X$7,'Fleet'!$G143))</x:f>
        <x:v>365</x:v>
      </x:c>
      <x:c r="Y146" s="34" t="n">
        <x:f>MAX(0,MIN(Y$8+1,'Fleet'!$O143)-MAX(Y$7,'Fleet'!$G143))</x:f>
        <x:v>365</x:v>
      </x:c>
      <x:c r="Z146" s="34" t="n">
        <x:f>MAX(0,MIN(Z$8+1,'Fleet'!$O143)-MAX(Z$7,'Fleet'!$G143))</x:f>
        <x:v>365</x:v>
      </x:c>
      <x:c r="AA146" s="34" t="n">
        <x:f>MAX(0,MIN(AA$8+1,'Fleet'!$O143)-MAX(AA$7,'Fleet'!$G143))</x:f>
        <x:v>366</x:v>
      </x:c>
      <x:c r="AB146" s="34" t="n">
        <x:f>MAX(0,MIN(AB$8+1,'Fleet'!$O143)-MAX(AB$7,'Fleet'!$G143))</x:f>
        <x:v>365</x:v>
      </x:c>
      <x:c r="AC146" s="34" t="n">
        <x:f>MAX(0,MIN(AC$8+1,'Fleet'!$O143)-MAX(AC$7,'Fleet'!$G143))</x:f>
        <x:v>365</x:v>
      </x:c>
      <x:c r="AD146" s="34" t="n">
        <x:f>MAX(0,MIN(AD$8+1,'Fleet'!$O143)-MAX(AD$7,'Fleet'!$G143))</x:f>
        <x:v>365</x:v>
      </x:c>
      <x:c r="AE146" s="34" t="n">
        <x:f>MAX(0,MIN(AE$8+1,'Fleet'!$O143)-MAX(AE$7,'Fleet'!$G143))</x:f>
        <x:v>366</x:v>
      </x:c>
      <x:c r="AF146" s="34" t="n">
        <x:f>MAX(0,MIN(AF$8+1,'Fleet'!$O143)-MAX(AF$7,'Fleet'!$G143))</x:f>
        <x:v>365</x:v>
      </x:c>
      <x:c r="AG146" s="34" t="n">
        <x:f>MAX(0,MIN(AG$8+1,'Fleet'!$O143)-MAX(AG$7,'Fleet'!$G143))</x:f>
        <x:v>365</x:v>
      </x:c>
      <x:c r="AH146" s="34" t="n">
        <x:f>MAX(0,MIN(AH$8+1,'Fleet'!$O143)-MAX(AH$7,'Fleet'!$G143))</x:f>
        <x:v>365</x:v>
      </x:c>
      <x:c r="AI146" s="34" t="n">
        <x:f>MAX(0,MIN(AI$8+1,'Fleet'!$O143)-MAX(AI$7,'Fleet'!$G143))</x:f>
        <x:v>366</x:v>
      </x:c>
      <x:c r="AJ146" s="34" t="n">
        <x:f>MAX(0,MIN(AJ$8+1,'Fleet'!$O143)-MAX(AJ$7,'Fleet'!$G143))</x:f>
        <x:v>365</x:v>
      </x:c>
      <x:c r="AK146" s="34" t="n">
        <x:f>MAX(0,MIN(AK$8+1,'Fleet'!$O143)-MAX(AK$7,'Fleet'!$G143))</x:f>
        <x:v>365</x:v>
      </x:c>
      <x:c r="AL146" s="34" t="n">
        <x:f>MAX(0,MIN(AL$8+1,'Fleet'!$O143)-MAX(AL$7,'Fleet'!$G143))</x:f>
        <x:v>273</x:v>
      </x:c>
      <x:c r="AM146" s="34" t="n">
        <x:f>MAX(0,MIN(AM$8+1,'Fleet'!$O143)-MAX(AM$7,'Fleet'!$G143))</x:f>
        <x:v>0</x:v>
      </x:c>
      <x:c r="AN146" s="34" t="n">
        <x:f>MAX(0,MIN(AN$8+1,'Fleet'!$O143)-MAX(AN$7,'Fleet'!$G143))</x:f>
        <x:v>0</x:v>
      </x:c>
      <x:c r="AO146" s="34" t="n">
        <x:f>MAX(0,MIN(AO$8+1,'Fleet'!$O143)-MAX(AO$7,'Fleet'!$G143))</x:f>
        <x:v>0</x:v>
      </x:c>
      <x:c r="AP146" s="34" t="n">
        <x:f>MAX(0,MIN(AP$8+1,'Fleet'!$O143)-MAX(AP$7,'Fleet'!$G143))</x:f>
        <x:v>0</x:v>
      </x:c>
      <x:c r="AQ146" s="34" t="n">
        <x:f>MAX(0,MIN(AQ$8+1,'Fleet'!$O143)-MAX(AQ$7,'Fleet'!$G143))</x:f>
        <x:v>0</x:v>
      </x:c>
    </x:row>
    <x:row r="147" ht="21" customHeight="1">
      <x:c r="A147" s="2"/>
      <x:c r="B147" s="2"/>
      <x:c r="C147" s="5" t="str">
        <x:f>'Fleet'!C144</x:f>
        <x:v>Star Argyro</x:v>
      </x:c>
      <x:c r="D147" s="5" t="str">
        <x:f>'Fleet'!D144</x:f>
        <x:v>Kamsarmax</x:v>
      </x:c>
      <x:c r="E147" s="34" t="n">
        <x:f>MAX(0,MIN(E$8+1,'Fleet'!$O144)-MAX(E$7,'Fleet'!$G144))</x:f>
        <x:v>1</x:v>
      </x:c>
      <x:c r="F147" s="34" t="n">
        <x:f>MAX(0,MIN(F$8+1,'Fleet'!$O144)-MAX(F$7,'Fleet'!$G144))</x:f>
        <x:v>90</x:v>
      </x:c>
      <x:c r="G147" s="34" t="n">
        <x:f>MAX(0,MIN(G$8+1,'Fleet'!$O144)-MAX(G$7,'Fleet'!$G144))</x:f>
        <x:v>91</x:v>
      </x:c>
      <x:c r="H147" s="34" t="n">
        <x:f>MAX(0,MIN(H$8+1,'Fleet'!$O144)-MAX(H$7,'Fleet'!$G144))</x:f>
        <x:v>92</x:v>
      </x:c>
      <x:c r="I147" s="34" t="n">
        <x:f>MAX(0,MIN(I$8+1,'Fleet'!$O144)-MAX(I$7,'Fleet'!$G144))</x:f>
        <x:v>92</x:v>
      </x:c>
      <x:c r="J147" s="34" t="n">
        <x:f>MAX(0,MIN(J$8+1,'Fleet'!$O144)-MAX(J$7,'Fleet'!$G144))</x:f>
        <x:v>91</x:v>
      </x:c>
      <x:c r="K147" s="34" t="n">
        <x:f>MAX(0,MIN(K$8+1,'Fleet'!$O144)-MAX(K$7,'Fleet'!$G144))</x:f>
        <x:v>91</x:v>
      </x:c>
      <x:c r="L147" s="34" t="n">
        <x:f>MAX(0,MIN(L$8+1,'Fleet'!$O144)-MAX(L$7,'Fleet'!$G144))</x:f>
        <x:v>92</x:v>
      </x:c>
      <x:c r="M147" s="34" t="n">
        <x:f>MAX(0,MIN(M$8+1,'Fleet'!$O144)-MAX(M$7,'Fleet'!$G144))</x:f>
        <x:v>92</x:v>
      </x:c>
      <x:c r="N147" s="34" t="n">
        <x:f>MAX(0,MIN(N$8+1,'Fleet'!$O144)-MAX(N$7,'Fleet'!$G144))</x:f>
        <x:v>90</x:v>
      </x:c>
      <x:c r="O147" s="34" t="n">
        <x:f>MAX(0,MIN(O$8+1,'Fleet'!$O144)-MAX(O$7,'Fleet'!$G144))</x:f>
        <x:v>91</x:v>
      </x:c>
      <x:c r="P147" s="34" t="n">
        <x:f>MAX(0,MIN(P$8+1,'Fleet'!$O144)-MAX(P$7,'Fleet'!$G144))</x:f>
        <x:v>92</x:v>
      </x:c>
      <x:c r="Q147" s="34" t="n">
        <x:f>MAX(0,MIN(Q$8+1,'Fleet'!$O144)-MAX(Q$7,'Fleet'!$G144))</x:f>
        <x:v>365</x:v>
      </x:c>
      <x:c r="R147" s="34" t="n">
        <x:f>MAX(0,MIN(R$8+1,'Fleet'!$O144)-MAX(R$7,'Fleet'!$G144))</x:f>
        <x:v>365</x:v>
      </x:c>
      <x:c r="S147" s="34" t="n">
        <x:f>MAX(0,MIN(S$8+1,'Fleet'!$O144)-MAX(S$7,'Fleet'!$G144))</x:f>
        <x:v>366</x:v>
      </x:c>
      <x:c r="T147" s="34" t="n">
        <x:f>MAX(0,MIN(T$8+1,'Fleet'!$O144)-MAX(T$7,'Fleet'!$G144))</x:f>
        <x:v>365</x:v>
      </x:c>
      <x:c r="U147" s="34" t="n">
        <x:f>MAX(0,MIN(U$8+1,'Fleet'!$O144)-MAX(U$7,'Fleet'!$G144))</x:f>
        <x:v>365</x:v>
      </x:c>
      <x:c r="V147" s="34" t="n">
        <x:f>MAX(0,MIN(V$8+1,'Fleet'!$O144)-MAX(V$7,'Fleet'!$G144))</x:f>
        <x:v>365</x:v>
      </x:c>
      <x:c r="W147" s="34" t="n">
        <x:f>MAX(0,MIN(W$8+1,'Fleet'!$O144)-MAX(W$7,'Fleet'!$G144))</x:f>
        <x:v>366</x:v>
      </x:c>
      <x:c r="X147" s="34" t="n">
        <x:f>MAX(0,MIN(X$8+1,'Fleet'!$O144)-MAX(X$7,'Fleet'!$G144))</x:f>
        <x:v>365</x:v>
      </x:c>
      <x:c r="Y147" s="34" t="n">
        <x:f>MAX(0,MIN(Y$8+1,'Fleet'!$O144)-MAX(Y$7,'Fleet'!$G144))</x:f>
        <x:v>365</x:v>
      </x:c>
      <x:c r="Z147" s="34" t="n">
        <x:f>MAX(0,MIN(Z$8+1,'Fleet'!$O144)-MAX(Z$7,'Fleet'!$G144))</x:f>
        <x:v>365</x:v>
      </x:c>
      <x:c r="AA147" s="34" t="n">
        <x:f>MAX(0,MIN(AA$8+1,'Fleet'!$O144)-MAX(AA$7,'Fleet'!$G144))</x:f>
        <x:v>366</x:v>
      </x:c>
      <x:c r="AB147" s="34" t="n">
        <x:f>MAX(0,MIN(AB$8+1,'Fleet'!$O144)-MAX(AB$7,'Fleet'!$G144))</x:f>
        <x:v>365</x:v>
      </x:c>
      <x:c r="AC147" s="34" t="n">
        <x:f>MAX(0,MIN(AC$8+1,'Fleet'!$O144)-MAX(AC$7,'Fleet'!$G144))</x:f>
        <x:v>365</x:v>
      </x:c>
      <x:c r="AD147" s="34" t="n">
        <x:f>MAX(0,MIN(AD$8+1,'Fleet'!$O144)-MAX(AD$7,'Fleet'!$G144))</x:f>
        <x:v>365</x:v>
      </x:c>
      <x:c r="AE147" s="34" t="n">
        <x:f>MAX(0,MIN(AE$8+1,'Fleet'!$O144)-MAX(AE$7,'Fleet'!$G144))</x:f>
        <x:v>366</x:v>
      </x:c>
      <x:c r="AF147" s="34" t="n">
        <x:f>MAX(0,MIN(AF$8+1,'Fleet'!$O144)-MAX(AF$7,'Fleet'!$G144))</x:f>
        <x:v>365</x:v>
      </x:c>
      <x:c r="AG147" s="34" t="n">
        <x:f>MAX(0,MIN(AG$8+1,'Fleet'!$O144)-MAX(AG$7,'Fleet'!$G144))</x:f>
        <x:v>365</x:v>
      </x:c>
      <x:c r="AH147" s="34" t="n">
        <x:f>MAX(0,MIN(AH$8+1,'Fleet'!$O144)-MAX(AH$7,'Fleet'!$G144))</x:f>
        <x:v>365</x:v>
      </x:c>
      <x:c r="AI147" s="34" t="n">
        <x:f>MAX(0,MIN(AI$8+1,'Fleet'!$O144)-MAX(AI$7,'Fleet'!$G144))</x:f>
        <x:v>366</x:v>
      </x:c>
      <x:c r="AJ147" s="34" t="n">
        <x:f>MAX(0,MIN(AJ$8+1,'Fleet'!$O144)-MAX(AJ$7,'Fleet'!$G144))</x:f>
        <x:v>365</x:v>
      </x:c>
      <x:c r="AK147" s="34" t="n">
        <x:f>MAX(0,MIN(AK$8+1,'Fleet'!$O144)-MAX(AK$7,'Fleet'!$G144))</x:f>
        <x:v>365</x:v>
      </x:c>
      <x:c r="AL147" s="34" t="n">
        <x:f>MAX(0,MIN(AL$8+1,'Fleet'!$O144)-MAX(AL$7,'Fleet'!$G144))</x:f>
        <x:v>273</x:v>
      </x:c>
      <x:c r="AM147" s="34" t="n">
        <x:f>MAX(0,MIN(AM$8+1,'Fleet'!$O144)-MAX(AM$7,'Fleet'!$G144))</x:f>
        <x:v>0</x:v>
      </x:c>
      <x:c r="AN147" s="34" t="n">
        <x:f>MAX(0,MIN(AN$8+1,'Fleet'!$O144)-MAX(AN$7,'Fleet'!$G144))</x:f>
        <x:v>0</x:v>
      </x:c>
      <x:c r="AO147" s="34" t="n">
        <x:f>MAX(0,MIN(AO$8+1,'Fleet'!$O144)-MAX(AO$7,'Fleet'!$G144))</x:f>
        <x:v>0</x:v>
      </x:c>
      <x:c r="AP147" s="34" t="n">
        <x:f>MAX(0,MIN(AP$8+1,'Fleet'!$O144)-MAX(AP$7,'Fleet'!$G144))</x:f>
        <x:v>0</x:v>
      </x:c>
      <x:c r="AQ147" s="34" t="n">
        <x:f>MAX(0,MIN(AQ$8+1,'Fleet'!$O144)-MAX(AQ$7,'Fleet'!$G144))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1" customHeight="1">
      <x:c r="A2" s="2"/>
      <x:c r="B2" s="2"/>
      <x:c r="C2" s="3" t="str">
        <x:v>Historical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30" t="str">
        <x:v>H1 2026 operating reconciliation</x:v>
      </x:c>
      <x:c r="D6" s="30"/>
      <x:c r="E6" s="30"/>
      <x:c r="F6" s="30"/>
      <x:c r="G6" s="30"/>
      <x:c r="H6" s="30"/>
      <x:c r="I6" s="2"/>
      <x:c r="J6" s="2"/>
      <x:c r="K6" s="2"/>
      <x:c r="L6" s="2"/>
      <x:c r="M6" s="2"/>
      <x:c r="N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1" customHeight="1">
      <x:c r="A8" s="2"/>
      <x:c r="B8" s="2"/>
      <x:c r="C8" s="2" t="str">
        <x:v>Voyage revenue</x:v>
      </x:c>
      <x:c r="D8" s="37" t="n">
        <x:f>'Sources'!$D$15</x:f>
        <x:v>638564000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1" customHeight="1">
      <x:c r="A9" s="2"/>
      <x:c r="B9" s="2"/>
      <x:c r="C9" s="2" t="str">
        <x:v>Voyage expenses</x:v>
      </x:c>
      <x:c r="D9" s="37" t="n">
        <x:f>-'Sources'!$D$16</x:f>
        <x:v>-110373000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1" customHeight="1">
      <x:c r="A10" s="2"/>
      <x:c r="B10" s="2"/>
      <x:c r="C10" s="2" t="str">
        <x:v>Charter-in hire</x:v>
      </x:c>
      <x:c r="D10" s="37" t="n">
        <x:f>-'Sources'!$D$17</x:f>
        <x:v>-27103000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1" customHeight="1">
      <x:c r="A11" s="2"/>
      <x:c r="B11" s="2"/>
      <x:c r="C11" s="2" t="str">
        <x:v>Realized derivatives</x:v>
      </x:c>
      <x:c r="D11" s="37" t="n">
        <x:f>'Sources'!$D$18</x:f>
        <x:v>-2363000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1" customHeight="1">
      <x:c r="A12" s="2"/>
      <x:c r="B12" s="2"/>
      <x:c r="C12" s="2" t="str">
        <x:v>Reconstructed TCE revenue</x:v>
      </x:c>
      <x:c r="D12" s="39" t="n">
        <x:f>SUM(D8:D11)</x:f>
        <x:v>498725000</x:v>
      </x:c>
      <x:c r="E12" s="2"/>
      <x:c r="F12" s="2" t="str">
        <x:v>Reported TCE already deducts charter-in hire. No second deduction.</x:v>
      </x:c>
      <x:c r="G12" s="2"/>
      <x:c r="H12" s="2"/>
      <x:c r="I12" s="2"/>
      <x:c r="J12" s="2"/>
      <x:c r="K12" s="2"/>
      <x:c r="L12" s="2"/>
      <x:c r="M12" s="2"/>
      <x:c r="N12" s="2"/>
    </x:row>
    <x:row r="13" ht="21" customHeight="1">
      <x:c r="A13" s="2"/>
      <x:c r="B13" s="2"/>
      <x:c r="C13" s="2" t="str">
        <x:v>Reported TCE revenue</x:v>
      </x:c>
      <x:c r="D13" s="37" t="n">
        <x:f>'Sources'!$D$19</x:f>
        <x:v>498725000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1" customHeight="1">
      <x:c r="A14" s="2"/>
      <x:c r="B14" s="2"/>
      <x:c r="C14" s="2" t="str">
        <x:v>Reconciliation difference</x:v>
      </x:c>
      <x:c r="D14" s="39" t="n">
        <x:f>D12-D13</x:f>
        <x:v>0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1" customHeight="1">
      <x:c r="A16" s="2"/>
      <x:c r="B16" s="2"/>
      <x:c r="C16" s="2" t="str">
        <x:v>Available days</x:v>
      </x:c>
      <x:c r="D16" s="5" t="n">
        <x:f>'Sources'!$D$13</x:f>
        <x:v>23202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1" customHeight="1">
      <x:c r="A17" s="2"/>
      <x:c r="B17" s="2"/>
      <x:c r="C17" s="2" t="str">
        <x:v>Reconstructed TCE (USD/day)</x:v>
      </x:c>
      <x:c r="D17" s="47" t="n">
        <x:f>D12/D16</x:f>
        <x:v>21494.914231531766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1" customHeight="1">
      <x:c r="A18" s="2"/>
      <x:c r="B18" s="2"/>
      <x:c r="C18" s="2" t="str">
        <x:v>Reported rounded TCE</x:v>
      </x:c>
      <x:c r="D18" s="34" t="n">
        <x:f>'Sources'!$D$20</x:f>
        <x:v>21495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1" customHeight="1">
      <x:c r="A20" s="2"/>
      <x:c r="B20" s="2"/>
      <x:c r="C20" s="2" t="str">
        <x:v>Disclosed bunker-sale gain</x:v>
      </x:c>
      <x:c r="D20" s="37" t="n">
        <x:f>'Sources'!$D$21</x:f>
        <x:v>27000000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1" customHeight="1">
      <x:c r="A21" s="2"/>
      <x:c r="B21" s="2"/>
      <x:c r="C21" s="2" t="str">
        <x:v>TCE excluding bunker gain</x:v>
      </x:c>
      <x:c r="D21" s="47" t="n">
        <x:f>(D12-D20)/D16</x:f>
        <x:v>20331.221446427033</x:v>
      </x:c>
      <x:c r="E21" s="2"/>
      <x:c r="F21" s="2" t="str">
        <x:v>Single disclosed normalization, not a fully normalized mid-cycle earnings estimate.</x:v>
      </x:c>
      <x:c r="G21" s="2"/>
      <x:c r="H21" s="2"/>
      <x:c r="I21" s="2"/>
      <x:c r="J21" s="2"/>
      <x:c r="K21" s="2"/>
      <x:c r="L21" s="2"/>
      <x:c r="M21" s="2"/>
      <x:c r="N21" s="2"/>
    </x:row>
    <x:row r="22" ht="21" customHeight="1">
      <x:c r="A22" s="2"/>
      <x:c r="B22" s="2"/>
      <x:c r="C22" s="2"/>
      <x:c r="D22" s="33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1" customHeight="1">
      <x:c r="A23" s="2"/>
      <x:c r="B23" s="2"/>
      <x:c r="C23" s="2" t="str">
        <x:v>Owned days</x:v>
      </x:c>
      <x:c r="D23" s="34" t="n">
        <x:f>'Sources'!$D$14</x:f>
        <x:v>24401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1" customHeight="1">
      <x:c r="A24" s="2"/>
      <x:c r="B24" s="2"/>
      <x:c r="C24" s="2" t="str">
        <x:v>Unavailable fraction</x:v>
      </x:c>
      <x:c r="D24" s="48" t="n">
        <x:f>1-D16/D23</x:f>
        <x:v>0.049137330437277194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1" customHeight="1">
      <x:c r="A25" s="2"/>
      <x:c r="B25" s="2"/>
      <x:c r="C25" s="2" t="str">
        <x:v>Vessel opex (USD/day)</x:v>
      </x:c>
      <x:c r="D25" s="34" t="n">
        <x:f>'Sources'!$D$22/D23</x:f>
        <x:v>5168.312774066637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1" customHeight="1">
      <x:c r="A26" s="2"/>
      <x:c r="B26" s="2"/>
      <x:c r="C26" s="2" t="str">
        <x:v>Management cost (USD/day)</x:v>
      </x:c>
      <x:c r="D26" s="34" t="n">
        <x:f>'Sources'!$D$23/D23</x:f>
        <x:v>454.2436785377648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1" customHeight="1">
      <x:c r="A29" s="2"/>
      <x:c r="B29" s="2"/>
      <x:c r="C29" s="2" t="str">
        <x:v>Opening cash incl. restricted</x:v>
      </x:c>
      <x:c r="D29" s="37" t="n">
        <x:f>'Sources'!$D$30</x:f>
        <x:v>501934000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1" customHeight="1">
      <x:c r="A30" s="2"/>
      <x:c r="B30" s="2"/>
      <x:c r="C30" s="2" t="str">
        <x:v>Cash from operations</x:v>
      </x:c>
      <x:c r="D30" s="37" t="n">
        <x:f>'Sources'!$D$27</x:f>
        <x:v>262275000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1" customHeight="1">
      <x:c r="A31" s="2"/>
      <x:c r="B31" s="2"/>
      <x:c r="C31" s="2" t="str">
        <x:v>Cash from investing</x:v>
      </x:c>
      <x:c r="D31" s="37" t="n">
        <x:f>'Sources'!$D$28</x:f>
        <x:v>-17317000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1" customHeight="1">
      <x:c r="A32" s="2"/>
      <x:c r="B32" s="2"/>
      <x:c r="C32" s="2" t="str">
        <x:v>Cash from financing</x:v>
      </x:c>
      <x:c r="D32" s="37" t="n">
        <x:f>'Sources'!$D$29</x:f>
        <x:v>-181610000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1" customHeight="1">
      <x:c r="A33" s="2"/>
      <x:c r="B33" s="2"/>
      <x:c r="C33" s="2" t="str">
        <x:v>Reconstructed closing cash</x:v>
      </x:c>
      <x:c r="D33" s="39" t="n">
        <x:f>SUM(D29:D32)</x:f>
        <x:v>565282000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1" customHeight="1">
      <x:c r="A34" s="2"/>
      <x:c r="B34" s="2"/>
      <x:c r="C34" s="2" t="str">
        <x:v>Reported closing cash</x:v>
      </x:c>
      <x:c r="D34" s="37" t="n">
        <x:f>'Sources'!$D$31</x:f>
        <x:v>565282000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1" customHeight="1">
      <x:c r="A35" s="2"/>
      <x:c r="B35" s="2"/>
      <x:c r="C35" s="2" t="str">
        <x:v>Cash reconciliation difference</x:v>
      </x:c>
      <x:c r="D35" s="39" t="n">
        <x:f>D33-D34</x:f>
        <x:v>0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24" hidden="0" customWidth="1"/>
    <x:col min="8" max="8" width="55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1" customHeight="1">
      <x:c r="A2" s="2"/>
      <x:c r="B2" s="2"/>
      <x:c r="C2" s="3" t="str">
        <x:v>Sources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8" customHeight="1">
      <x:c r="A6" s="2"/>
      <x:c r="B6" s="2"/>
      <x:c r="C6" s="25" t="str">
        <x:v>Input</x:v>
      </x:c>
      <x:c r="D6" s="25" t="str">
        <x:v>Value</x:v>
      </x:c>
      <x:c r="E6" s="25" t="str">
        <x:v>Unit</x:v>
      </x:c>
      <x:c r="F6" s="25" t="str">
        <x:v>Period</x:v>
      </x:c>
      <x:c r="G6" s="25" t="str">
        <x:v>Source ID</x:v>
      </x:c>
      <x:c r="H6" s="25" t="str">
        <x:v>Location</x:v>
      </x:c>
      <x:c r="I6" s="2"/>
      <x:c r="J6" s="2"/>
      <x:c r="K6" s="2"/>
      <x:c r="L6" s="2"/>
      <x:c r="M6" s="2"/>
      <x:c r="N6" s="2"/>
    </x:row>
    <x:row r="7" ht="21" customHeight="1">
      <x:c r="A7" s="2"/>
      <x:c r="B7" s="2"/>
      <x:c r="C7" s="2" t="str">
        <x:v>cash</x:v>
      </x:c>
      <x:c r="D7" s="27" t="n">
        <x:v>498165000</x:v>
      </x:c>
      <x:c r="E7" s="2" t="str">
        <x:v>USD</x:v>
      </x:c>
      <x:c r="F7" s="28" t="n">
        <x:v>46203</x:v>
      </x:c>
      <x:c r="G7" s="2" t="str">
        <x:v>SBLK_INTERIM</x:v>
      </x:c>
      <x:c r="H7" s="2" t="str">
        <x:v>F-2 balance sheet</x:v>
      </x:c>
      <x:c r="I7" s="2"/>
      <x:c r="J7" s="2"/>
      <x:c r="K7" s="2"/>
      <x:c r="L7" s="2"/>
      <x:c r="M7" s="2"/>
      <x:c r="N7" s="2"/>
    </x:row>
    <x:row r="8" ht="21" customHeight="1">
      <x:c r="A8" s="2"/>
      <x:c r="B8" s="2"/>
      <x:c r="C8" s="2" t="str">
        <x:v>restricted_cash</x:v>
      </x:c>
      <x:c r="D8" s="27" t="n">
        <x:v>67117000</x:v>
      </x:c>
      <x:c r="E8" s="2" t="str">
        <x:v>USD</x:v>
      </x:c>
      <x:c r="F8" s="28" t="n">
        <x:v>46203</x:v>
      </x:c>
      <x:c r="G8" s="2" t="str">
        <x:v>SBLK_INTERIM</x:v>
      </x:c>
      <x:c r="H8" s="2" t="str">
        <x:v>F-2 balance sheet</x:v>
      </x:c>
      <x:c r="I8" s="2"/>
      <x:c r="J8" s="2"/>
      <x:c r="K8" s="2"/>
      <x:c r="L8" s="2"/>
      <x:c r="M8" s="2"/>
      <x:c r="N8" s="2"/>
    </x:row>
    <x:row r="9" ht="21" customHeight="1">
      <x:c r="A9" s="2"/>
      <x:c r="B9" s="2"/>
      <x:c r="C9" s="2" t="str">
        <x:v>bank_debt_gross</x:v>
      </x:c>
      <x:c r="D9" s="27" t="n">
        <x:v>1030086000</x:v>
      </x:c>
      <x:c r="E9" s="2" t="str">
        <x:v>USD</x:v>
      </x:c>
      <x:c r="F9" s="28" t="n">
        <x:v>46203</x:v>
      </x:c>
      <x:c r="G9" s="2" t="str">
        <x:v>SBLK_INTERIM</x:v>
      </x:c>
      <x:c r="H9" s="2" t="str">
        <x:v>Note 9 debt</x:v>
      </x:c>
      <x:c r="I9" s="2"/>
      <x:c r="J9" s="2"/>
      <x:c r="K9" s="2"/>
      <x:c r="L9" s="2"/>
      <x:c r="M9" s="2"/>
      <x:c r="N9" s="2"/>
    </x:row>
    <x:row r="10" ht="21" customHeight="1">
      <x:c r="A10" s="2"/>
      <x:c r="B10" s="2"/>
      <x:c r="C10" s="2" t="str">
        <x:v>finance_leases</x:v>
      </x:c>
      <x:c r="D10" s="27" t="n">
        <x:v>11209000</x:v>
      </x:c>
      <x:c r="E10" s="2" t="str">
        <x:v>USD</x:v>
      </x:c>
      <x:c r="F10" s="28" t="n">
        <x:v>46203</x:v>
      </x:c>
      <x:c r="G10" s="2" t="str">
        <x:v>SBLK_INTERIM</x:v>
      </x:c>
      <x:c r="H10" s="2" t="str">
        <x:v>Note 8 financing leases</x:v>
      </x:c>
      <x:c r="I10" s="2"/>
      <x:c r="J10" s="2"/>
      <x:c r="K10" s="2"/>
      <x:c r="L10" s="2"/>
      <x:c r="M10" s="2"/>
      <x:c r="N10" s="2"/>
    </x:row>
    <x:row r="11" ht="21" customHeight="1">
      <x:c r="A11" s="2"/>
      <x:c r="B11" s="2"/>
      <x:c r="C11" s="2" t="str">
        <x:v>debt_issuance_costs</x:v>
      </x:c>
      <x:c r="D11" s="27" t="n">
        <x:v>4717000</x:v>
      </x:c>
      <x:c r="E11" s="2" t="str">
        <x:v>USD</x:v>
      </x:c>
      <x:c r="F11" s="28" t="n">
        <x:v>46203</x:v>
      </x:c>
      <x:c r="G11" s="2" t="str">
        <x:v>SBLK_INTERIM</x:v>
      </x:c>
      <x:c r="H11" s="2" t="str">
        <x:v>Note 9 debt</x:v>
      </x:c>
      <x:c r="I11" s="2"/>
      <x:c r="J11" s="2"/>
      <x:c r="K11" s="2"/>
      <x:c r="L11" s="2"/>
      <x:c r="M11" s="2"/>
      <x:c r="N11" s="2"/>
    </x:row>
    <x:row r="12" ht="21" customHeight="1">
      <x:c r="A12" s="2"/>
      <x:c r="B12" s="2"/>
      <x:c r="C12" s="2" t="str">
        <x:v>shares</x:v>
      </x:c>
      <x:c r="D12" s="27" t="n">
        <x:v>111671386</x:v>
      </x:c>
      <x:c r="E12" s="2" t="str">
        <x:v>shares</x:v>
      </x:c>
      <x:c r="F12" s="28" t="n">
        <x:v>46203</x:v>
      </x:c>
      <x:c r="G12" s="2" t="str">
        <x:v>SBLK_INTERIM</x:v>
      </x:c>
      <x:c r="H12" s="2" t="str">
        <x:v>F-2 balance sheet</x:v>
      </x:c>
      <x:c r="I12" s="2"/>
      <x:c r="J12" s="2"/>
      <x:c r="K12" s="2"/>
      <x:c r="L12" s="2"/>
      <x:c r="M12" s="2"/>
      <x:c r="N12" s="2"/>
    </x:row>
    <x:row r="13" ht="21" customHeight="1">
      <x:c r="A13" s="2"/>
      <x:c r="B13" s="2"/>
      <x:c r="C13" s="2" t="str">
        <x:v>available_days</x:v>
      </x:c>
      <x:c r="D13" s="27" t="n">
        <x:v>23202</x:v>
      </x:c>
      <x:c r="E13" s="2" t="str">
        <x:v>days</x:v>
      </x:c>
      <x:c r="F13" s="28" t="n">
        <x:v>46203</x:v>
      </x:c>
      <x:c r="G13" s="2" t="str">
        <x:v>SBLK_INTERIM</x:v>
      </x:c>
      <x:c r="H13" s="2" t="str">
        <x:v>Operating data and TCE reconciliation, pp 9-10</x:v>
      </x:c>
      <x:c r="I13" s="2"/>
      <x:c r="J13" s="2"/>
      <x:c r="K13" s="2"/>
      <x:c r="L13" s="2"/>
      <x:c r="M13" s="2"/>
      <x:c r="N13" s="2"/>
    </x:row>
    <x:row r="14" ht="21" customHeight="1">
      <x:c r="A14" s="2"/>
      <x:c r="B14" s="2"/>
      <x:c r="C14" s="2" t="str">
        <x:v>ownership_days</x:v>
      </x:c>
      <x:c r="D14" s="27" t="n">
        <x:v>24401</x:v>
      </x:c>
      <x:c r="E14" s="2" t="str">
        <x:v>days</x:v>
      </x:c>
      <x:c r="F14" s="28" t="n">
        <x:v>46203</x:v>
      </x:c>
      <x:c r="G14" s="2" t="str">
        <x:v>SBLK_INTERIM</x:v>
      </x:c>
      <x:c r="H14" s="2" t="str">
        <x:v>Operating data and TCE reconciliation, pp 9-10</x:v>
      </x:c>
      <x:c r="I14" s="2"/>
      <x:c r="J14" s="2"/>
      <x:c r="K14" s="2"/>
      <x:c r="L14" s="2"/>
      <x:c r="M14" s="2"/>
      <x:c r="N14" s="2"/>
    </x:row>
    <x:row r="15" ht="21" customHeight="1">
      <x:c r="A15" s="2"/>
      <x:c r="B15" s="2"/>
      <x:c r="C15" s="2" t="str">
        <x:v>voyage_revenue</x:v>
      </x:c>
      <x:c r="D15" s="27" t="n">
        <x:v>638564000</x:v>
      </x:c>
      <x:c r="E15" s="2" t="str">
        <x:v>USD</x:v>
      </x:c>
      <x:c r="F15" s="28" t="n">
        <x:v>46203</x:v>
      </x:c>
      <x:c r="G15" s="2" t="str">
        <x:v>SBLK_INTERIM</x:v>
      </x:c>
      <x:c r="H15" s="2" t="str">
        <x:v>Operating data and TCE reconciliation, pp 9-10</x:v>
      </x:c>
      <x:c r="I15" s="2"/>
      <x:c r="J15" s="2"/>
      <x:c r="K15" s="2"/>
      <x:c r="L15" s="2"/>
      <x:c r="M15" s="2"/>
      <x:c r="N15" s="2"/>
    </x:row>
    <x:row r="16" ht="21" customHeight="1">
      <x:c r="A16" s="2"/>
      <x:c r="B16" s="2"/>
      <x:c r="C16" s="2" t="str">
        <x:v>voyage_cost</x:v>
      </x:c>
      <x:c r="D16" s="27" t="n">
        <x:v>110373000</x:v>
      </x:c>
      <x:c r="E16" s="2" t="str">
        <x:v>USD</x:v>
      </x:c>
      <x:c r="F16" s="28" t="n">
        <x:v>46203</x:v>
      </x:c>
      <x:c r="G16" s="2" t="str">
        <x:v>SBLK_INTERIM</x:v>
      </x:c>
      <x:c r="H16" s="2" t="str">
        <x:v>Operating data and TCE reconciliation, pp 9-10</x:v>
      </x:c>
      <x:c r="I16" s="2"/>
      <x:c r="J16" s="2"/>
      <x:c r="K16" s="2"/>
      <x:c r="L16" s="2"/>
      <x:c r="M16" s="2"/>
      <x:c r="N16" s="2"/>
    </x:row>
    <x:row r="17" ht="21" customHeight="1">
      <x:c r="A17" s="2"/>
      <x:c r="B17" s="2"/>
      <x:c r="C17" s="2" t="str">
        <x:v>charter_hire</x:v>
      </x:c>
      <x:c r="D17" s="27" t="n">
        <x:v>27103000</x:v>
      </x:c>
      <x:c r="E17" s="2" t="str">
        <x:v>USD</x:v>
      </x:c>
      <x:c r="F17" s="28" t="n">
        <x:v>46203</x:v>
      </x:c>
      <x:c r="G17" s="2" t="str">
        <x:v>SBLK_INTERIM</x:v>
      </x:c>
      <x:c r="H17" s="2" t="str">
        <x:v>Operating data and TCE reconciliation, pp 9-10</x:v>
      </x:c>
      <x:c r="I17" s="2"/>
      <x:c r="J17" s="2"/>
      <x:c r="K17" s="2"/>
      <x:c r="L17" s="2"/>
      <x:c r="M17" s="2"/>
      <x:c r="N17" s="2"/>
    </x:row>
    <x:row r="18" ht="21" customHeight="1">
      <x:c r="A18" s="2"/>
      <x:c r="B18" s="2"/>
      <x:c r="C18" s="2" t="str">
        <x:v>realized_derivatives</x:v>
      </x:c>
      <x:c r="D18" s="27" t="n">
        <x:v>-2363000</x:v>
      </x:c>
      <x:c r="E18" s="2" t="str">
        <x:v>USD</x:v>
      </x:c>
      <x:c r="F18" s="28" t="n">
        <x:v>46203</x:v>
      </x:c>
      <x:c r="G18" s="2" t="str">
        <x:v>SBLK_INTERIM</x:v>
      </x:c>
      <x:c r="H18" s="2" t="str">
        <x:v>Operating data and TCE reconciliation, pp 9-10</x:v>
      </x:c>
      <x:c r="I18" s="2"/>
      <x:c r="J18" s="2"/>
      <x:c r="K18" s="2"/>
      <x:c r="L18" s="2"/>
      <x:c r="M18" s="2"/>
      <x:c r="N18" s="2"/>
    </x:row>
    <x:row r="19" ht="21" customHeight="1">
      <x:c r="A19" s="2"/>
      <x:c r="B19" s="2"/>
      <x:c r="C19" s="2" t="str">
        <x:v>tce_revenue</x:v>
      </x:c>
      <x:c r="D19" s="27" t="n">
        <x:v>498725000</x:v>
      </x:c>
      <x:c r="E19" s="2" t="str">
        <x:v>USD</x:v>
      </x:c>
      <x:c r="F19" s="28" t="n">
        <x:v>46203</x:v>
      </x:c>
      <x:c r="G19" s="2" t="str">
        <x:v>SBLK_INTERIM</x:v>
      </x:c>
      <x:c r="H19" s="2" t="str">
        <x:v>Operating data and TCE reconciliation, pp 9-10</x:v>
      </x:c>
      <x:c r="I19" s="2"/>
      <x:c r="J19" s="2"/>
      <x:c r="K19" s="2"/>
      <x:c r="L19" s="2"/>
      <x:c r="M19" s="2"/>
      <x:c r="N19" s="2"/>
    </x:row>
    <x:row r="20" ht="21" customHeight="1">
      <x:c r="A20" s="2"/>
      <x:c r="B20" s="2"/>
      <x:c r="C20" s="2" t="str">
        <x:v>reported_tce</x:v>
      </x:c>
      <x:c r="D20" s="27" t="n">
        <x:v>21495</x:v>
      </x:c>
      <x:c r="E20" s="2" t="str">
        <x:v>USD/day</x:v>
      </x:c>
      <x:c r="F20" s="28" t="n">
        <x:v>46203</x:v>
      </x:c>
      <x:c r="G20" s="2" t="str">
        <x:v>SBLK_INTERIM</x:v>
      </x:c>
      <x:c r="H20" s="2" t="str">
        <x:v>Operating data and TCE reconciliation, pp 9-10</x:v>
      </x:c>
      <x:c r="I20" s="2"/>
      <x:c r="J20" s="2"/>
      <x:c r="K20" s="2"/>
      <x:c r="L20" s="2"/>
      <x:c r="M20" s="2"/>
      <x:c r="N20" s="2"/>
    </x:row>
    <x:row r="21" ht="21" customHeight="1">
      <x:c r="A21" s="2"/>
      <x:c r="B21" s="2"/>
      <x:c r="C21" s="2" t="str">
        <x:v>bunker_gain</x:v>
      </x:c>
      <x:c r="D21" s="27" t="n">
        <x:v>27000000</x:v>
      </x:c>
      <x:c r="E21" s="2" t="str">
        <x:v>USD</x:v>
      </x:c>
      <x:c r="F21" s="28" t="n">
        <x:v>46203</x:v>
      </x:c>
      <x:c r="G21" s="2" t="str">
        <x:v>SBLK_INTERIM</x:v>
      </x:c>
      <x:c r="H21" s="2" t="str">
        <x:v>Operating data and TCE reconciliation, pp 9-10</x:v>
      </x:c>
      <x:c r="I21" s="2"/>
      <x:c r="J21" s="2"/>
      <x:c r="K21" s="2"/>
      <x:c r="L21" s="2"/>
      <x:c r="M21" s="2"/>
      <x:c r="N21" s="2"/>
    </x:row>
    <x:row r="22" ht="21" customHeight="1">
      <x:c r="A22" s="2"/>
      <x:c r="B22" s="2"/>
      <x:c r="C22" s="2" t="str">
        <x:v>vessel_opex</x:v>
      </x:c>
      <x:c r="D22" s="27" t="n">
        <x:v>126112000</x:v>
      </x:c>
      <x:c r="E22" s="2" t="str">
        <x:v>USD</x:v>
      </x:c>
      <x:c r="F22" s="28" t="n">
        <x:v>46203</x:v>
      </x:c>
      <x:c r="G22" s="2" t="str">
        <x:v>SBLK_INTERIM</x:v>
      </x:c>
      <x:c r="H22" s="2" t="str">
        <x:v>F-3 income statement</x:v>
      </x:c>
      <x:c r="I22" s="2"/>
      <x:c r="J22" s="2"/>
      <x:c r="K22" s="2"/>
      <x:c r="L22" s="2"/>
      <x:c r="M22" s="2"/>
      <x:c r="N22" s="2"/>
    </x:row>
    <x:row r="23" ht="21" customHeight="1">
      <x:c r="A23" s="2"/>
      <x:c r="B23" s="2"/>
      <x:c r="C23" s="2" t="str">
        <x:v>management_fees</x:v>
      </x:c>
      <x:c r="D23" s="27" t="n">
        <x:v>11084000</x:v>
      </x:c>
      <x:c r="E23" s="2" t="str">
        <x:v>USD</x:v>
      </x:c>
      <x:c r="F23" s="28" t="n">
        <x:v>46203</x:v>
      </x:c>
      <x:c r="G23" s="2" t="str">
        <x:v>SBLK_INTERIM</x:v>
      </x:c>
      <x:c r="H23" s="2" t="str">
        <x:v>F-3 income statement</x:v>
      </x:c>
      <x:c r="I23" s="2"/>
      <x:c r="J23" s="2"/>
      <x:c r="K23" s="2"/>
      <x:c r="L23" s="2"/>
      <x:c r="M23" s="2"/>
      <x:c r="N23" s="2"/>
    </x:row>
    <x:row r="24" ht="21" customHeight="1">
      <x:c r="A24" s="2"/>
      <x:c r="B24" s="2"/>
      <x:c r="C24" s="2" t="str">
        <x:v>ga</x:v>
      </x:c>
      <x:c r="D24" s="27" t="n">
        <x:v>30546000</x:v>
      </x:c>
      <x:c r="E24" s="2" t="str">
        <x:v>USD</x:v>
      </x:c>
      <x:c r="F24" s="28" t="n">
        <x:v>46203</x:v>
      </x:c>
      <x:c r="G24" s="2" t="str">
        <x:v>SBLK_INTERIM</x:v>
      </x:c>
      <x:c r="H24" s="2" t="str">
        <x:v>F-3 income statement</x:v>
      </x:c>
      <x:c r="I24" s="2"/>
      <x:c r="J24" s="2"/>
      <x:c r="K24" s="2"/>
      <x:c r="L24" s="2"/>
      <x:c r="M24" s="2"/>
      <x:c r="N24" s="2"/>
    </x:row>
    <x:row r="25" ht="21" customHeight="1">
      <x:c r="A25" s="2"/>
      <x:c r="B25" s="2"/>
      <x:c r="C25" s="2" t="str">
        <x:v>stock_comp</x:v>
      </x:c>
      <x:c r="D25" s="27" t="n">
        <x:v>5902000</x:v>
      </x:c>
      <x:c r="E25" s="2" t="str">
        <x:v>USD</x:v>
      </x:c>
      <x:c r="F25" s="28" t="n">
        <x:v>46203</x:v>
      </x:c>
      <x:c r="G25" s="2" t="str">
        <x:v>SBLK_INTERIM</x:v>
      </x:c>
      <x:c r="H25" s="2" t="str">
        <x:v>F-6 cash flow statement</x:v>
      </x:c>
      <x:c r="I25" s="2"/>
      <x:c r="J25" s="2"/>
      <x:c r="K25" s="2"/>
      <x:c r="L25" s="2"/>
      <x:c r="M25" s="2"/>
      <x:c r="N25" s="2"/>
    </x:row>
    <x:row r="26" ht="21" customHeight="1">
      <x:c r="A26" s="2"/>
      <x:c r="B26" s="2"/>
      <x:c r="C26" s="2" t="str">
        <x:v>drydock_expense</x:v>
      </x:c>
      <x:c r="D26" s="27" t="n">
        <x:v>39146000</x:v>
      </x:c>
      <x:c r="E26" s="2" t="str">
        <x:v>USD</x:v>
      </x:c>
      <x:c r="F26" s="28" t="n">
        <x:v>46203</x:v>
      </x:c>
      <x:c r="G26" s="2" t="str">
        <x:v>SBLK_INTERIM</x:v>
      </x:c>
      <x:c r="H26" s="2" t="str">
        <x:v>F-3 income statement</x:v>
      </x:c>
      <x:c r="I26" s="2"/>
      <x:c r="J26" s="2"/>
      <x:c r="K26" s="2"/>
      <x:c r="L26" s="2"/>
      <x:c r="M26" s="2"/>
      <x:c r="N26" s="2"/>
    </x:row>
    <x:row r="27" ht="21" customHeight="1">
      <x:c r="A27" s="2"/>
      <x:c r="B27" s="2"/>
      <x:c r="C27" s="2" t="str">
        <x:v>cash_from_operations</x:v>
      </x:c>
      <x:c r="D27" s="27" t="n">
        <x:v>262275000</x:v>
      </x:c>
      <x:c r="E27" s="2" t="str">
        <x:v>USD</x:v>
      </x:c>
      <x:c r="F27" s="28" t="n">
        <x:v>46203</x:v>
      </x:c>
      <x:c r="G27" s="2" t="str">
        <x:v>SBLK_INTERIM</x:v>
      </x:c>
      <x:c r="H27" s="2" t="str">
        <x:v>F-6 cash flow statement</x:v>
      </x:c>
      <x:c r="I27" s="2"/>
      <x:c r="J27" s="2"/>
      <x:c r="K27" s="2"/>
      <x:c r="L27" s="2"/>
      <x:c r="M27" s="2"/>
      <x:c r="N27" s="2"/>
    </x:row>
    <x:row r="28" ht="21" customHeight="1">
      <x:c r="A28" s="2"/>
      <x:c r="B28" s="2"/>
      <x:c r="C28" s="2" t="str">
        <x:v>cash_from_investing</x:v>
      </x:c>
      <x:c r="D28" s="27" t="n">
        <x:v>-17317000</x:v>
      </x:c>
      <x:c r="E28" s="2" t="str">
        <x:v>USD</x:v>
      </x:c>
      <x:c r="F28" s="28" t="n">
        <x:v>46203</x:v>
      </x:c>
      <x:c r="G28" s="2" t="str">
        <x:v>SBLK_INTERIM</x:v>
      </x:c>
      <x:c r="H28" s="2" t="str">
        <x:v>F-6 cash flow statement</x:v>
      </x:c>
      <x:c r="I28" s="2"/>
      <x:c r="J28" s="2"/>
      <x:c r="K28" s="2"/>
      <x:c r="L28" s="2"/>
      <x:c r="M28" s="2"/>
      <x:c r="N28" s="2"/>
    </x:row>
    <x:row r="29" ht="21" customHeight="1">
      <x:c r="A29" s="2"/>
      <x:c r="B29" s="2"/>
      <x:c r="C29" s="2" t="str">
        <x:v>cash_from_financing</x:v>
      </x:c>
      <x:c r="D29" s="27" t="n">
        <x:v>-181610000</x:v>
      </x:c>
      <x:c r="E29" s="2" t="str">
        <x:v>USD</x:v>
      </x:c>
      <x:c r="F29" s="28" t="n">
        <x:v>46203</x:v>
      </x:c>
      <x:c r="G29" s="2" t="str">
        <x:v>SBLK_INTERIM</x:v>
      </x:c>
      <x:c r="H29" s="2" t="str">
        <x:v>F-6 cash flow statement</x:v>
      </x:c>
      <x:c r="I29" s="2"/>
      <x:c r="J29" s="2"/>
      <x:c r="K29" s="2"/>
      <x:c r="L29" s="2"/>
      <x:c r="M29" s="2"/>
      <x:c r="N29" s="2"/>
    </x:row>
    <x:row r="30" ht="21" customHeight="1">
      <x:c r="A30" s="2"/>
      <x:c r="B30" s="2"/>
      <x:c r="C30" s="2" t="str">
        <x:v>opening_total_cash</x:v>
      </x:c>
      <x:c r="D30" s="27" t="n">
        <x:v>501934000</x:v>
      </x:c>
      <x:c r="E30" s="2" t="str">
        <x:v>USD</x:v>
      </x:c>
      <x:c r="F30" s="28" t="n">
        <x:v>46203</x:v>
      </x:c>
      <x:c r="G30" s="2" t="str">
        <x:v>SBLK_INTERIM</x:v>
      </x:c>
      <x:c r="H30" s="2" t="str">
        <x:v>F-6 cash flow statement</x:v>
      </x:c>
      <x:c r="I30" s="2"/>
      <x:c r="J30" s="2"/>
      <x:c r="K30" s="2"/>
      <x:c r="L30" s="2"/>
      <x:c r="M30" s="2"/>
      <x:c r="N30" s="2"/>
    </x:row>
    <x:row r="31" ht="21" customHeight="1">
      <x:c r="A31" s="2"/>
      <x:c r="B31" s="2"/>
      <x:c r="C31" s="2" t="str">
        <x:v>closing_total_cash</x:v>
      </x:c>
      <x:c r="D31" s="27" t="n">
        <x:v>565282000</x:v>
      </x:c>
      <x:c r="E31" s="2" t="str">
        <x:v>USD</x:v>
      </x:c>
      <x:c r="F31" s="28" t="n">
        <x:v>46203</x:v>
      </x:c>
      <x:c r="G31" s="2" t="str">
        <x:v>SBLK_INTERIM</x:v>
      </x:c>
      <x:c r="H31" s="2" t="str">
        <x:v>F-6 cash flow statement</x:v>
      </x:c>
      <x:c r="I31" s="2"/>
      <x:c r="J31" s="2"/>
      <x:c r="K31" s="2"/>
      <x:c r="L31" s="2"/>
      <x:c r="M31" s="2"/>
      <x:c r="N31" s="2"/>
    </x:row>
    <x:row r="32" ht="21" customHeight="1">
      <x:c r="A32" s="2"/>
      <x:c r="B32" s="2"/>
      <x:c r="C32" s="2" t="str">
        <x:v>newbuilding_commitment</x:v>
      </x:c>
      <x:c r="D32" s="27" t="n">
        <x:v>122035000</x:v>
      </x:c>
      <x:c r="E32" s="2" t="str">
        <x:v>USD</x:v>
      </x:c>
      <x:c r="F32" s="28" t="n">
        <x:v>46203</x:v>
      </x:c>
      <x:c r="G32" s="2" t="str">
        <x:v>SBLK_INTERIM</x:v>
      </x:c>
      <x:c r="H32" s="2" t="str">
        <x:v>Note 6 newbuild commitments</x:v>
      </x:c>
      <x:c r="I32" s="2"/>
      <x:c r="J32" s="2"/>
      <x:c r="K32" s="2"/>
      <x:c r="L32" s="2"/>
      <x:c r="M32" s="2"/>
      <x:c r="N32" s="2"/>
    </x:row>
    <x:row r="33" ht="21" customHeight="1">
      <x:c r="A33" s="2"/>
      <x:c r="B33" s="2"/>
      <x:c r="C33" s="2" t="str">
        <x:v>net_fixed_assets</x:v>
      </x:c>
      <x:c r="D33" s="27" t="n">
        <x:v>2838550000</x:v>
      </x:c>
      <x:c r="E33" s="2" t="str">
        <x:v>USD</x:v>
      </x:c>
      <x:c r="F33" s="28" t="n">
        <x:v>46203</x:v>
      </x:c>
      <x:c r="G33" s="2" t="str">
        <x:v>SBLK_INTERIM</x:v>
      </x:c>
      <x:c r="H33" s="2" t="str">
        <x:v>F-2 balance sheet</x:v>
      </x:c>
      <x:c r="I33" s="2"/>
      <x:c r="J33" s="2"/>
      <x:c r="K33" s="2"/>
      <x:c r="L33" s="2"/>
      <x:c r="M33" s="2"/>
      <x:c r="N33" s="2"/>
    </x:row>
    <x:row r="34" ht="21" customHeight="1">
      <x:c r="A34" s="2"/>
      <x:c r="B34" s="2"/>
      <x:c r="C34" s="2" t="str">
        <x:v>book_equity</x:v>
      </x:c>
      <x:c r="D34" s="27" t="n">
        <x:v>2514480000</x:v>
      </x:c>
      <x:c r="E34" s="2" t="str">
        <x:v>USD</x:v>
      </x:c>
      <x:c r="F34" s="28" t="n">
        <x:v>46203</x:v>
      </x:c>
      <x:c r="G34" s="2" t="str">
        <x:v>SBLK_INTERIM</x:v>
      </x:c>
      <x:c r="H34" s="2" t="str">
        <x:v>F-2 balance sheet</x:v>
      </x:c>
      <x:c r="I34" s="2"/>
      <x:c r="J34" s="2"/>
      <x:c r="K34" s="2"/>
      <x:c r="L34" s="2"/>
      <x:c r="M34" s="2"/>
      <x:c r="N34" s="2"/>
    </x:row>
    <x:row r="35" ht="21" customHeight="1">
      <x:c r="A35" s="2"/>
      <x:c r="B35" s="2"/>
      <x:c r="C35" s="2" t="str">
        <x:v>minimum_unrestricted_liquidity</x:v>
      </x:c>
      <x:c r="D35" s="27" t="n">
        <x:v>67500000</x:v>
      </x:c>
      <x:c r="E35" s="2" t="str">
        <x:v>USD</x:v>
      </x:c>
      <x:c r="F35" s="28" t="n">
        <x:v>46203</x:v>
      </x:c>
      <x:c r="G35" s="2" t="str">
        <x:v>SBLK_INTERIM</x:v>
      </x:c>
      <x:c r="H35" s="2" t="str">
        <x:v>Note 9 debt</x:v>
      </x:c>
      <x:c r="I35" s="2"/>
      <x:c r="J35" s="2"/>
      <x:c r="K35" s="2"/>
      <x:c r="L35" s="2"/>
      <x:c r="M35" s="2"/>
      <x:c r="N35" s="2"/>
    </x:row>
    <x:row r="36" ht="21" customHeight="1">
      <x:c r="A36" s="2"/>
      <x:c r="B36" s="2"/>
      <x:c r="C36" s="2" t="str">
        <x:v>equity_issued</x:v>
      </x:c>
      <x:c r="D36" s="27" t="n">
        <x:v>4400000</x:v>
      </x:c>
      <x:c r="E36" s="2" t="str">
        <x:v>shares</x:v>
      </x:c>
      <x:c r="F36" s="28" t="n">
        <x:v>46280</x:v>
      </x:c>
      <x:c r="G36" s="2" t="str">
        <x:v>SBLK_PROSPECTUS</x:v>
      </x:c>
      <x:c r="H36" s="2" t="str">
        <x:v>Capitalization S-19; offering cover</x:v>
      </x:c>
      <x:c r="I36" s="2"/>
      <x:c r="J36" s="2"/>
      <x:c r="K36" s="2"/>
      <x:c r="L36" s="2"/>
      <x:c r="M36" s="2"/>
      <x:c r="N36" s="2"/>
    </x:row>
    <x:row r="37" ht="21" customHeight="1">
      <x:c r="A37" s="2"/>
      <x:c r="B37" s="2"/>
      <x:c r="C37" s="2" t="str">
        <x:v>equity_proceeds</x:v>
      </x:c>
      <x:c r="D37" s="27" t="n">
        <x:v>116000000</x:v>
      </x:c>
      <x:c r="E37" s="2" t="str">
        <x:v>USD</x:v>
      </x:c>
      <x:c r="F37" s="28" t="n">
        <x:v>46280</x:v>
      </x:c>
      <x:c r="G37" s="2" t="str">
        <x:v>SBLK_PROSPECTUS</x:v>
      </x:c>
      <x:c r="H37" s="2" t="str">
        <x:v>Capitalization S-19; offering cover</x:v>
      </x:c>
      <x:c r="I37" s="2"/>
      <x:c r="J37" s="2"/>
      <x:c r="K37" s="2"/>
      <x:c r="L37" s="2"/>
      <x:c r="M37" s="2"/>
      <x:c r="N37" s="2"/>
    </x:row>
    <x:row r="38" ht="21" customHeight="1">
      <x:c r="A38" s="2"/>
      <x:c r="B38" s="2"/>
      <x:c r="C38" s="2" t="str">
        <x:v>subsequent_dividend</x:v>
      </x:c>
      <x:c r="D38" s="27" t="n">
        <x:v>100800000</x:v>
      </x:c>
      <x:c r="E38" s="2" t="str">
        <x:v>USD</x:v>
      </x:c>
      <x:c r="F38" s="28" t="n">
        <x:v>46280</x:v>
      </x:c>
      <x:c r="G38" s="2" t="str">
        <x:v>SBLK_PROSPECTUS</x:v>
      </x:c>
      <x:c r="H38" s="2" t="str">
        <x:v>Capitalization S-19; offering cover</x:v>
      </x:c>
      <x:c r="I38" s="2"/>
      <x:c r="J38" s="2"/>
      <x:c r="K38" s="2"/>
      <x:c r="L38" s="2"/>
      <x:c r="M38" s="2"/>
      <x:c r="N38" s="2"/>
    </x:row>
    <x:row r="39" ht="21" customHeight="1">
      <x:c r="A39" s="2"/>
      <x:c r="B39" s="2"/>
      <x:c r="C39" s="2" t="str">
        <x:v>debt_payments</x:v>
      </x:c>
      <x:c r="D39" s="27" t="n">
        <x:v>92223000</x:v>
      </x:c>
      <x:c r="E39" s="2" t="str">
        <x:v>USD</x:v>
      </x:c>
      <x:c r="F39" s="28" t="n">
        <x:v>46280</x:v>
      </x:c>
      <x:c r="G39" s="2" t="str">
        <x:v>SBLK_PROSPECTUS</x:v>
      </x:c>
      <x:c r="H39" s="2" t="str">
        <x:v>Capitalization S-19; offering cover</x:v>
      </x:c>
      <x:c r="I39" s="2"/>
      <x:c r="J39" s="2"/>
      <x:c r="K39" s="2"/>
      <x:c r="L39" s="2"/>
      <x:c r="M39" s="2"/>
      <x:c r="N39" s="2"/>
    </x:row>
    <x:row r="40" ht="21" customHeight="1">
      <x:c r="A40" s="2"/>
      <x:c r="B40" s="2"/>
      <x:c r="C40" s="2" t="str">
        <x:v>adjusted_debt_carrying</x:v>
      </x:c>
      <x:c r="D40" s="27" t="n">
        <x:v>944355000</x:v>
      </x:c>
      <x:c r="E40" s="2" t="str">
        <x:v>USD</x:v>
      </x:c>
      <x:c r="F40" s="28" t="n">
        <x:v>46280</x:v>
      </x:c>
      <x:c r="G40" s="2" t="str">
        <x:v>SBLK_PROSPECTUS</x:v>
      </x:c>
      <x:c r="H40" s="2" t="str">
        <x:v>Capitalization S-19; offering cover</x:v>
      </x:c>
      <x:c r="I40" s="2"/>
      <x:c r="J40" s="2"/>
      <x:c r="K40" s="2"/>
      <x:c r="L40" s="2"/>
      <x:c r="M40" s="2"/>
      <x:c r="N40" s="2"/>
    </x:row>
    <x:row r="41" ht="21" customHeight="1">
      <x:c r="A41" s="2"/>
      <x:c r="B41" s="2"/>
      <x:c r="C41" s="2" t="str">
        <x:v>adjusted_shares</x:v>
      </x:c>
      <x:c r="D41" s="27" t="n">
        <x:v>116071386</x:v>
      </x:c>
      <x:c r="E41" s="2" t="str">
        <x:v>shares</x:v>
      </x:c>
      <x:c r="F41" s="28" t="n">
        <x:v>46280</x:v>
      </x:c>
      <x:c r="G41" s="2" t="str">
        <x:v>SBLK_PROSPECTUS</x:v>
      </x:c>
      <x:c r="H41" s="2" t="str">
        <x:v>Capitalization S-19; offering cover</x:v>
      </x:c>
      <x:c r="I41" s="2"/>
      <x:c r="J41" s="2"/>
      <x:c r="K41" s="2"/>
      <x:c r="L41" s="2"/>
      <x:c r="M41" s="2"/>
      <x:c r="N41" s="2"/>
    </x:row>
    <x:row r="42" ht="21" customHeight="1">
      <x:c r="A42" s="2"/>
      <x:c r="B42" s="2"/>
      <x:c r="C42" s="2" t="str">
        <x:v>atm_jefferies</x:v>
      </x:c>
      <x:c r="D42" s="27" t="n">
        <x:v>75000000</x:v>
      </x:c>
      <x:c r="E42" s="2" t="str">
        <x:v>USD</x:v>
      </x:c>
      <x:c r="F42" s="28" t="n">
        <x:v>46304</x:v>
      </x:c>
      <x:c r="G42" s="2" t="str">
        <x:v>SBLK_PROSPECTUS</x:v>
      </x:c>
      <x:c r="H42" s="2" t="str">
        <x:v>Capitalization S-19; offering cover</x:v>
      </x:c>
      <x:c r="I42" s="2"/>
      <x:c r="J42" s="2"/>
      <x:c r="K42" s="2"/>
      <x:c r="L42" s="2"/>
      <x:c r="M42" s="2"/>
      <x:c r="N42" s="2"/>
    </x:row>
    <x:row r="43" ht="21" customHeight="1">
      <x:c r="A43" s="2"/>
      <x:c r="B43" s="2"/>
      <x:c r="C43" s="2" t="str">
        <x:v>atm_deutsche</x:v>
      </x:c>
      <x:c r="D43" s="27" t="n">
        <x:v>41371110</x:v>
      </x:c>
      <x:c r="E43" s="2" t="str">
        <x:v>USD</x:v>
      </x:c>
      <x:c r="F43" s="28" t="n">
        <x:v>46304</x:v>
      </x:c>
      <x:c r="G43" s="2" t="str">
        <x:v>SBLK_PROSPECTUS</x:v>
      </x:c>
      <x:c r="H43" s="2" t="str">
        <x:v>Capitalization S-19; offering cover</x:v>
      </x:c>
      <x:c r="I43" s="2"/>
      <x:c r="J43" s="2"/>
      <x:c r="K43" s="2"/>
      <x:c r="L43" s="2"/>
      <x:c r="M43" s="2"/>
      <x:c r="N43" s="2"/>
    </x:row>
    <x:row r="44" ht="21" customHeight="1">
      <x:c r="A44" s="2"/>
      <x:c r="B44" s="2"/>
      <x:c r="C44" s="2" t="str">
        <x:v>share_price</x:v>
      </x:c>
      <x:c r="D44" s="27" t="n">
        <x:v>29.7</x:v>
      </x:c>
      <x:c r="E44" s="2" t="str">
        <x:v>USD/share</x:v>
      </x:c>
      <x:c r="F44" s="28" t="n">
        <x:v>46304</x:v>
      </x:c>
      <x:c r="G44" s="2" t="str">
        <x:v>SBLK_PRICE</x:v>
      </x:c>
      <x:c r="H44" s="2" t="str">
        <x:v>Oct 9 historical OHLC close</x:v>
      </x:c>
      <x:c r="I44" s="2"/>
      <x:c r="J44" s="2"/>
      <x:c r="K44" s="2"/>
      <x:c r="L44" s="2"/>
      <x:c r="M44" s="2"/>
      <x:c r="N44" s="2"/>
    </x:row>
    <x:row r="45" ht="21" customHeight="1">
      <x:c r="A45" s="2"/>
      <x:c r="B45" s="2"/>
      <x:c r="C45" s="2" t="str">
        <x:v>operating_working_capital</x:v>
      </x:c>
      <x:c r="D45" s="27" t="n">
        <x:v>26595000</x:v>
      </x:c>
      <x:c r="E45" s="2" t="str">
        <x:v>USD</x:v>
      </x:c>
      <x:c r="F45" s="28" t="n">
        <x:v>46203</x:v>
      </x:c>
      <x:c r="G45" s="2" t="str">
        <x:v>SBLK_INTERIM</x:v>
      </x:c>
      <x:c r="H45" s="2" t="str">
        <x:v>F-2 selected operating current assets and liabilities</x:v>
      </x:c>
      <x:c r="I45" s="2"/>
      <x:c r="J45" s="2"/>
      <x:c r="K45" s="2"/>
      <x:c r="L45" s="2"/>
      <x:c r="M45" s="2"/>
      <x:c r="N45" s="2"/>
    </x:row>
    <x:row r="46" ht="21" customHeight="1">
      <x:c r="A46" s="2"/>
      <x:c r="B46" s="2"/>
      <x:c r="C46" s="2" t="str">
        <x:v>atm_capacity</x:v>
      </x:c>
      <x:c r="D46" s="27" t="n">
        <x:v>116371110</x:v>
      </x:c>
      <x:c r="E46" s="2" t="str">
        <x:v>USD</x:v>
      </x:c>
      <x:c r="F46" s="28" t="n">
        <x:v>46304</x:v>
      </x:c>
      <x:c r="G46" s="2" t="str">
        <x:v>SBLK_PROSPECTUS</x:v>
      </x:c>
      <x:c r="H46" s="2" t="str">
        <x:v>Cover: Jefferies + concurrent Deutsche Bank capacity</x:v>
      </x:c>
      <x:c r="I46" s="2"/>
      <x:c r="J46" s="2"/>
      <x:c r="K46" s="2"/>
      <x:c r="L46" s="2"/>
      <x:c r="M46" s="2"/>
      <x:c r="N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5" customHeight="1">
      <x:c r="A50" s="2"/>
      <x:c r="B50" s="2"/>
      <x:c r="C50" s="30" t="str">
        <x:v>Source register</x:v>
      </x:c>
      <x:c r="D50" s="30"/>
      <x:c r="E50" s="30"/>
      <x:c r="F50" s="30"/>
      <x:c r="G50" s="30"/>
      <x:c r="H50" s="30"/>
      <x:c r="I50" s="2"/>
      <x:c r="J50" s="2"/>
      <x:c r="K50" s="2"/>
      <x:c r="L50" s="2"/>
      <x:c r="M50" s="2"/>
      <x:c r="N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1" customHeight="1">
      <x:c r="A52" s="2"/>
      <x:c r="B52" s="2"/>
      <x:c r="C52" s="2" t="str">
        <x:v>SBLK_INTERIM</x:v>
      </x:c>
      <x:c r="D52" s="2" t="str">
        <x:v>Star Bulk H1 2026 interim filing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1" customHeight="1">
      <x:c r="A53" s="2"/>
      <x:c r="B53" s="2"/>
      <x:c r="C53" s="31" t="str">
        <x:v>https://www.sec.gov/Archives/edgar/data/1386716/000095015726000860/sblk-20260630.htm</x:v>
      </x:c>
      <x:c r="D53" s="31"/>
      <x:c r="E53" s="31"/>
      <x:c r="F53" s="31"/>
      <x:c r="G53" s="31"/>
      <x:c r="H53" s="31"/>
      <x:c r="I53" s="2"/>
      <x:c r="J53" s="2"/>
      <x:c r="K53" s="2"/>
      <x:c r="L53" s="2"/>
      <x:c r="M53" s="2"/>
      <x:c r="N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1" customHeight="1">
      <x:c r="A55" s="2"/>
      <x:c r="B55" s="2"/>
      <x:c r="C55" s="2" t="str">
        <x:v>SBLK_APPRAISAL</x:v>
      </x:c>
      <x:c r="D55" s="2" t="str">
        <x:v>Arrow fleet appraisal filed by Star Bulk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1" customHeight="1">
      <x:c r="A56" s="2"/>
      <x:c r="B56" s="2"/>
      <x:c r="C56" s="31" t="str">
        <x:v>https://www.sec.gov/Archives/edgar/data/1386716/000095015726000983/ex99-1.htm</x:v>
      </x:c>
      <x:c r="D56" s="31"/>
      <x:c r="E56" s="31"/>
      <x:c r="F56" s="31"/>
      <x:c r="G56" s="31"/>
      <x:c r="H56" s="31"/>
      <x:c r="I56" s="2"/>
      <x:c r="J56" s="2"/>
      <x:c r="K56" s="2"/>
      <x:c r="L56" s="2"/>
      <x:c r="M56" s="2"/>
      <x:c r="N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1" customHeight="1">
      <x:c r="A58" s="2"/>
      <x:c r="B58" s="2"/>
      <x:c r="C58" s="2" t="str">
        <x:v>SBLK_PROSPECTUS</x:v>
      </x:c>
      <x:c r="D58" s="2" t="str">
        <x:v>Star Bulk October 9 prospectus supplement</x:v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1" customHeight="1">
      <x:c r="A59" s="2"/>
      <x:c r="B59" s="2"/>
      <x:c r="C59" s="31" t="str">
        <x:v>https://www.sec.gov/Archives/edgar/data/1386716/000114036126039279/ny20083494x2_424b5.htm</x:v>
      </x:c>
      <x:c r="D59" s="31"/>
      <x:c r="E59" s="31"/>
      <x:c r="F59" s="31"/>
      <x:c r="G59" s="31"/>
      <x:c r="H59" s="31"/>
      <x:c r="I59" s="2"/>
      <x:c r="J59" s="2"/>
      <x:c r="K59" s="2"/>
      <x:c r="L59" s="2"/>
      <x:c r="M59" s="2"/>
      <x:c r="N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1" customHeight="1">
      <x:c r="A61" s="2"/>
      <x:c r="B61" s="2"/>
      <x:c r="C61" s="2" t="str">
        <x:v>SBLK_PRICE</x:v>
      </x:c>
      <x:c r="D61" s="2" t="str">
        <x:v>SBLK Nasdaq historical close</x:v>
      </x:c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1" customHeight="1">
      <x:c r="A62" s="2"/>
      <x:c r="B62" s="2"/>
      <x:c r="C62" s="31" t="str">
        <x:v>https://stockanalysis.com/stocks/sblk/history/</x:v>
      </x:c>
      <x:c r="D62" s="31"/>
      <x:c r="E62" s="31"/>
      <x:c r="F62" s="31"/>
      <x:c r="G62" s="31"/>
      <x:c r="H62" s="31"/>
      <x:c r="I62" s="2"/>
      <x:c r="J62" s="2"/>
      <x:c r="K62" s="2"/>
      <x:c r="L62" s="2"/>
      <x:c r="M62" s="2"/>
      <x:c r="N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1" customHeight="1">
      <x:c r="A64" s="2"/>
      <x:c r="B64" s="2"/>
      <x:c r="C64" s="2" t="str">
        <x:v>SBLK_PRICE_CHECK</x:v>
      </x:c>
      <x:c r="D64" s="2" t="str">
        <x:v>SBLK historical OHLC cross-check</x:v>
      </x:c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1" customHeight="1">
      <x:c r="A65" s="2"/>
      <x:c r="B65" s="2"/>
      <x:c r="C65" s="31" t="str">
        <x:v>https://chartexchange.com/symbol/nasdaq-sblk/historical/</x:v>
      </x:c>
      <x:c r="D65" s="31"/>
      <x:c r="E65" s="31"/>
      <x:c r="F65" s="31"/>
      <x:c r="G65" s="31"/>
      <x:c r="H65" s="31"/>
      <x:c r="I65" s="2"/>
      <x:c r="J65" s="2"/>
      <x:c r="K65" s="2"/>
      <x:c r="L65" s="2"/>
      <x:c r="M65" s="2"/>
      <x:c r="N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1" customHeight="1">
      <x:c r="A69" s="2"/>
      <x:c r="B69" s="2"/>
      <x:c r="C69" s="2" t="str">
        <x:v>Source extracts are dated. Appraisal marks are not current broker quotes.</x:v>
      </x:c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</x:sheetData>
  <x:mergeCells>
    <x:mergeCell ref="C53:H53"/>
    <x:mergeCell ref="C56:H56"/>
    <x:mergeCell ref="C59:H59"/>
    <x:mergeCell ref="C62:H62"/>
    <x:mergeCell ref="C65:H6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8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1" customHeight="1">
      <x:c r="A2" s="2"/>
      <x:c r="B2" s="2"/>
      <x:c r="C2" s="3" t="str">
        <x:v>Checks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</x:row>
    <x:row r="4" ht="21" customHeight="1">
      <x:c r="A4" s="2"/>
      <x:c r="B4" s="2"/>
      <x:c r="C4" s="2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8" customHeight="1">
      <x:c r="A6" s="2"/>
      <x:c r="B6" s="2"/>
      <x:c r="C6" s="25" t="str">
        <x:v>Reconciliation</x:v>
      </x:c>
      <x:c r="D6" s="25" t="str">
        <x:v>Difference</x:v>
      </x:c>
      <x:c r="E6" s="25" t="str">
        <x:v>Tolerance</x:v>
      </x:c>
      <x:c r="F6" s="25" t="str">
        <x:v>Result</x:v>
      </x:c>
      <x:c r="G6" s="2"/>
      <x:c r="H6" s="2"/>
      <x:c r="I6" s="2"/>
      <x:c r="J6" s="2"/>
      <x:c r="K6" s="2"/>
      <x:c r="L6" s="2"/>
      <x:c r="M6" s="2"/>
      <x:c r="N6" s="2"/>
    </x:row>
    <x:row r="7" ht="21" customHeight="1">
      <x:c r="A7" s="2"/>
      <x:c r="B7" s="2"/>
      <x:c r="C7" s="2" t="str">
        <x:v>Historical TCE revenue</x:v>
      </x:c>
      <x:c r="D7" s="62" t="n">
        <x:f>'Historical'!D14</x:f>
        <x:v>0</x:v>
      </x:c>
      <x:c r="E7" s="62" t="n">
        <x:v>1</x:v>
      </x:c>
      <x:c r="F7" s="2" t="str">
        <x:f>IF(ABS(D7)&lt;=E7,"PASS","REVIEW")</x:f>
        <x:v>PASS</x:v>
      </x:c>
      <x:c r="G7" s="2"/>
      <x:c r="H7" s="2"/>
      <x:c r="I7" s="2"/>
      <x:c r="J7" s="2"/>
      <x:c r="K7" s="2"/>
      <x:c r="L7" s="2"/>
      <x:c r="M7" s="2"/>
      <x:c r="N7" s="2"/>
    </x:row>
    <x:row r="8" ht="21" customHeight="1">
      <x:c r="A8" s="2"/>
      <x:c r="B8" s="2"/>
      <x:c r="C8" s="2" t="str">
        <x:v>Historical cash flow</x:v>
      </x:c>
      <x:c r="D8" s="62" t="n">
        <x:f>'Historical'!D35</x:f>
        <x:v>0</x:v>
      </x:c>
      <x:c r="E8" s="62" t="n">
        <x:v>1</x:v>
      </x:c>
      <x:c r="F8" s="2" t="str">
        <x:f>IF(ABS(D8)&lt;=E8,"PASS","REVIEW")</x:f>
        <x:v>PASS</x:v>
      </x:c>
      <x:c r="G8" s="2"/>
      <x:c r="H8" s="2"/>
      <x:c r="I8" s="2"/>
      <x:c r="J8" s="2"/>
      <x:c r="K8" s="2"/>
      <x:c r="L8" s="2"/>
      <x:c r="M8" s="2"/>
      <x:c r="N8" s="2"/>
    </x:row>
    <x:row r="9" ht="21" customHeight="1">
      <x:c r="A9" s="2"/>
      <x:c r="B9" s="2"/>
      <x:c r="C9" s="2" t="str">
        <x:v>Completed share-count bridge</x:v>
      </x:c>
      <x:c r="D9" s="62" t="n">
        <x:f>'NAV'!D27-'Assumptions'!$D$125-'Assumptions'!$D$130/'Sources'!$D$44-'Sources'!$D$41</x:f>
        <x:v>0</x:v>
      </x:c>
      <x:c r="E9" s="62" t="n">
        <x:v>0</x:v>
      </x:c>
      <x:c r="F9" s="2" t="str">
        <x:f>IF(ABS(D9)&lt;=E9,"PASS","REVIEW")</x:f>
        <x:v>PASS</x:v>
      </x:c>
      <x:c r="G9" s="2"/>
      <x:c r="H9" s="2"/>
      <x:c r="I9" s="2"/>
      <x:c r="J9" s="2"/>
      <x:c r="K9" s="2"/>
      <x:c r="L9" s="2"/>
      <x:c r="M9" s="2"/>
      <x:c r="N9" s="2"/>
    </x:row>
    <x:row r="10" ht="21" customHeight="1">
      <x:c r="A10" s="2"/>
      <x:c r="B10" s="2"/>
      <x:c r="C10" s="2" t="str">
        <x:v>Debt carrying-value bridge</x:v>
      </x:c>
      <x:c r="D10" s="62" t="n">
        <x:f>'NAV'!D20-'Sources'!$D$11-'Sources'!$D$40</x:f>
        <x:v>0</x:v>
      </x:c>
      <x:c r="E10" s="62" t="n">
        <x:v>1</x:v>
      </x:c>
      <x:c r="F10" s="2" t="str">
        <x:f>IF(ABS(D10)&lt;=E10,"PASS","REVIEW")</x:f>
        <x:v>PASS</x:v>
      </x:c>
      <x:c r="G10" s="2"/>
      <x:c r="H10" s="2"/>
      <x:c r="I10" s="2"/>
      <x:c r="J10" s="2"/>
      <x:c r="K10" s="2"/>
      <x:c r="L10" s="2"/>
      <x:c r="M10" s="2"/>
      <x:c r="N10" s="2"/>
    </x:row>
    <x:row r="11" ht="21" customHeight="1">
      <x:c r="A11" s="2"/>
      <x:c r="B11" s="2"/>
      <x:c r="C11" s="2" t="str">
        <x:v>Debt schedule ties to gross debt</x:v>
      </x:c>
      <x:c r="D11" s="62" t="n">
        <x:f>SUM('Debt'!D31:D36)-'NAV'!D20</x:f>
        <x:v>0</x:v>
      </x:c>
      <x:c r="E11" s="62" t="n">
        <x:v>1</x:v>
      </x:c>
      <x:c r="F11" s="2" t="str">
        <x:f>IF(ABS(D11)&lt;=E11,"PASS","REVIEW")</x:f>
        <x:v>PASS</x:v>
      </x:c>
      <x:c r="G11" s="2"/>
      <x:c r="H11" s="2"/>
      <x:c r="I11" s="2"/>
      <x:c r="J11" s="2"/>
      <x:c r="K11" s="2"/>
      <x:c r="L11" s="2"/>
      <x:c r="M11" s="2"/>
      <x:c r="N11" s="2"/>
    </x:row>
    <x:row r="12" ht="21" customHeight="1">
      <x:c r="A12" s="2"/>
      <x:c r="B12" s="2"/>
      <x:c r="C12" s="2" t="str">
        <x:v>All newbuild capex forecast once</x:v>
      </x:c>
      <x:c r="D12" s="62" t="n">
        <x:f>SUM('Cash Flow'!E90:AQ90)-'NAV'!D22</x:f>
        <x:v>0</x:v>
      </x:c>
      <x:c r="E12" s="62" t="n">
        <x:v>1</x:v>
      </x:c>
      <x:c r="F12" s="2" t="str">
        <x:f>IF(ABS(D12)&lt;=E12,"PASS","REVIEW")</x:f>
        <x:v>PASS</x:v>
      </x:c>
      <x:c r="G12" s="2"/>
      <x:c r="H12" s="2"/>
      <x:c r="I12" s="2"/>
      <x:c r="J12" s="2"/>
      <x:c r="K12" s="2"/>
      <x:c r="L12" s="2"/>
      <x:c r="M12" s="2"/>
      <x:c r="N12" s="2"/>
    </x:row>
    <x:row r="13" ht="21" customHeight="1">
      <x:c r="A13" s="2"/>
      <x:c r="B13" s="2"/>
      <x:c r="C13" s="2" t="str">
        <x:v>Debt fully repaid</x:v>
      </x:c>
      <x:c r="D13" s="62" t="n">
        <x:f>'Debt'!AQ14</x:f>
        <x:v>0</x:v>
      </x:c>
      <x:c r="E13" s="62" t="n">
        <x:v>1</x:v>
      </x:c>
      <x:c r="F13" s="2" t="str">
        <x:f>IF(ABS(D13)&lt;=E13,"PASS","REVIEW")</x:f>
        <x:v>PASS</x:v>
      </x:c>
      <x:c r="G13" s="2"/>
      <x:c r="H13" s="2"/>
      <x:c r="I13" s="2"/>
      <x:c r="J13" s="2"/>
      <x:c r="K13" s="2"/>
      <x:c r="L13" s="2"/>
      <x:c r="M13" s="2"/>
      <x:c r="N13" s="2"/>
    </x:row>
    <x:row r="14" ht="21" customHeight="1">
      <x:c r="A14" s="2"/>
      <x:c r="B14" s="2"/>
      <x:c r="C14" s="2" t="str">
        <x:v>Fleet fully retired</x:v>
      </x:c>
      <x:c r="D14" s="62" t="n">
        <x:f>'Cash Flow'!AQ80</x:f>
        <x:v>0</x:v>
      </x:c>
      <x:c r="E14" s="62" t="n">
        <x:v>0</x:v>
      </x:c>
      <x:c r="F14" s="2" t="str">
        <x:f>IF(ABS(D14)&lt;=E14,"PASS","REVIEW")</x:f>
        <x:v>PASS</x:v>
      </x:c>
      <x:c r="G14" s="2"/>
      <x:c r="H14" s="2"/>
      <x:c r="I14" s="2"/>
      <x:c r="J14" s="2"/>
      <x:c r="K14" s="2"/>
      <x:c r="L14" s="2"/>
      <x:c r="M14" s="2"/>
      <x:c r="N14" s="2"/>
    </x:row>
    <x:row r="15" ht="21" customHeight="1">
      <x:c r="A15" s="2"/>
      <x:c r="B15" s="2"/>
      <x:c r="C15" s="2" t="str">
        <x:v>Reverse valuation residual</x:v>
      </x:c>
      <x:c r="D15" s="62" t="n">
        <x:f>'Summary'!D31</x:f>
        <x:v>0</x:v>
      </x:c>
      <x:c r="E15" s="62" t="n">
        <x:v>0.000001</x:v>
      </x:c>
      <x:c r="F15" s="2" t="str">
        <x:f>IF(ABS(D15)&lt;=E15,"PASS","REVIEW")</x:f>
        <x:v>PASS</x:v>
      </x:c>
      <x:c r="G15" s="2"/>
      <x:c r="H15" s="2"/>
      <x:c r="I15" s="2"/>
      <x:c r="J15" s="2"/>
      <x:c r="K15" s="2"/>
      <x:c r="L15" s="2"/>
      <x:c r="M15" s="2"/>
      <x:c r="N15" s="2"/>
    </x:row>
    <x:row r="16" ht="21" customHeight="1">
      <x:c r="A16" s="2"/>
      <x:c r="B16" s="2"/>
      <x:c r="C16" s="2" t="str">
        <x:v>Operating fleet DWT vs prospectus</x:v>
      </x:c>
      <x:c r="D16" s="62" t="n">
        <x:f>SUMIFS('Fleet'!E7:E144,'Fleet'!G7:G144,"&lt;="&amp;'Summary'!D6)-13504552</x:f>
        <x:v>0</x:v>
      </x:c>
      <x:c r="E16" s="62" t="n">
        <x:v>0</x:v>
      </x:c>
      <x:c r="F16" s="2" t="str">
        <x:f>IF(ABS(D16)&lt;=E16,"PASS","REVIEW")</x:f>
        <x:v>PASS</x:v>
      </x:c>
      <x:c r="G16" s="2"/>
      <x:c r="H16" s="2"/>
      <x:c r="I16" s="2"/>
      <x:c r="J16" s="2"/>
      <x:c r="K16" s="2"/>
      <x:c r="L16" s="2"/>
      <x:c r="M16" s="2"/>
      <x:c r="N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1" customHeight="1">
      <x:c r="A20" s="2"/>
      <x:c r="B20" s="2"/>
      <x:c r="C20" s="2" t="str">
        <x:v>Source discrepancy: appraisal introduction says 133 owned; Annex A lists 135 including two disposals.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1" customHeight="1">
      <x:c r="A21" s="2"/>
      <x:c r="B21" s="2"/>
      <x:c r="C21" s="2" t="str">
        <x:v>Individual appraisal records are joined to the October prospectus, excluding Pendulum and Star Eva.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1" customHeight="1">
      <x:c r="A22" s="2"/>
      <x:c r="B22" s="2"/>
      <x:c r="C22" s="2" t="str">
        <x:v>PASS means arithmetic reconciles. It does not validate assumptions or investment suitability.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1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1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1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1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</x:sheetData>
  <x:conditionalFormatting sqref="F7:F16">
    <x:cfRule type="containsText" dxfId="1" priority="1" operator="containsText" text="REVIEW"/>
  </x:conditionalFormatting>
  <x:pageMargins left="0.7" right="0.7" top="0.75" bottom="0.75" header="0.3" footer="0.3"/>
</x:worksheet>
</file>